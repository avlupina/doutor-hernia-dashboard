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inel_Semanal" sheetId="2" state="visible" r:id="rId4"/>
    <sheet name="Config" sheetId="3" state="visible" r:id="rId5"/>
    <sheet name="Calendario" sheetId="4" state="visible" r:id="rId6"/>
    <sheet name="Base_Semanal" sheetId="5" state="visible" r:id="rId7"/>
    <sheet name="Contratos" sheetId="6" state="visible" r:id="rId8"/>
    <sheet name="Financeiro" sheetId="7" state="visible" r:id="rId9"/>
    <sheet name="Leads_Canal" sheetId="8" state="visible" r:id="rId10"/>
    <sheet name="Reuniao_Semanal" sheetId="9" state="visible" r:id="rId11"/>
    <sheet name="Plano_Acao" sheetId="10" state="visible" r:id="rId12"/>
    <sheet name="Resumo_Semanal" sheetId="11" state="visible" r:id="rId13"/>
    <sheet name="Resumo_Mensal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<sst xmlns="http://schemas.openxmlformats.org/spreadsheetml/2006/main" count="1553" uniqueCount="543">
  <si>
    <t xml:space="preserve">Base de dados da clínica — estrutura e orientações</t>
  </si>
  <si>
    <t xml:space="preserve">Planilha-base para alimentar o SaaS e o painel da reunião semanal.</t>
  </si>
  <si>
    <t xml:space="preserve">Legenda</t>
  </si>
  <si>
    <t xml:space="preserve">Célula amarela</t>
  </si>
  <si>
    <t xml:space="preserve">Preencher (dado coletado)</t>
  </si>
  <si>
    <t xml:space="preserve">Célula branca</t>
  </si>
  <si>
    <t xml:space="preserve">Calculada automaticamente — não editar</t>
  </si>
  <si>
    <t xml:space="preserve">Fluxo de uso</t>
  </si>
  <si>
    <t xml:space="preserve">1. Config: confirme os nomes dos fisioterapeutas (Fisio 1 / Fisio 2), as metas semanais e mensais e as listas de opções.</t>
  </si>
  <si>
    <t xml:space="preserve">2. Base_Semanal: ao fim de cada semana, preencha a linha da semana (leads, avaliações, contratos, atendimentos, agenda, tempos).</t>
  </si>
  <si>
    <t xml:space="preserve">3. Contratos: registre cada avaliação ou protocolo contratado com valor, condição e forma de pagamento e canal de ingresso.</t>
  </si>
  <si>
    <t xml:space="preserve">4. Financeiro: registre receitas, gastos, impostos e marketing; use o status para pendências (Pendente) e inadimplência (Atrasado).</t>
  </si>
  <si>
    <t xml:space="preserve">5. Leads_Canal: distribua os leads da semana por canal (meios de comunicação de ingresso).</t>
  </si>
  <si>
    <t xml:space="preserve">6. Reuniao_Semanal e Plano_Acao: registre o qualitativo da reunião e as ações 5W2H.</t>
  </si>
  <si>
    <t xml:space="preserve">7. Painel_Semanal: escolha a semana na célula C3 e conduza a reunião pelo painel. Resumo_Semanal e Resumo_Mensal consolidam tudo.</t>
  </si>
  <si>
    <t xml:space="preserve">Premissas</t>
  </si>
  <si>
    <t xml:space="preserve">Semanas seguem o padrão ISO (segunda a domingo), identificadas como AAAA-Sww; o mês de uma semana é o mês da sua data de início.</t>
  </si>
  <si>
    <t xml:space="preserve">Contratos e lançamentos financeiros recebem semana e mês automaticamente pela data informada.</t>
  </si>
  <si>
    <t xml:space="preserve">As linhas marcadas como 'Exemplo' (semanas 2026-S39, S40 e S41) são ilustrativas e devem ser substituídas pelos dados reais.</t>
  </si>
  <si>
    <t xml:space="preserve">Lançamentos com status Cancelado não entram nos totais financeiros.</t>
  </si>
  <si>
    <t xml:space="preserve">O 'Resultado geral (automático)' do painel compara seis indicadores com a semana anterior; o resultado registrado pela equipe fica na Reuniao_Semanal.</t>
  </si>
  <si>
    <t xml:space="preserve">Fórmulas usam SUMIFS/COUNTIFS/INDEX/MATCH, compatíveis com Excel 2007+, LibreOffice e Google Sheets.</t>
  </si>
  <si>
    <t xml:space="preserve">Dicionário de dados (para modelagem do SaaS)</t>
  </si>
  <si>
    <t xml:space="preserve">Aba (tabela)</t>
  </si>
  <si>
    <t xml:space="preserve">Campo</t>
  </si>
  <si>
    <t xml:space="preserve">Origem</t>
  </si>
  <si>
    <t xml:space="preserve">Descrição</t>
  </si>
  <si>
    <t xml:space="preserve">Base_Semanal</t>
  </si>
  <si>
    <t xml:space="preserve">id_semana</t>
  </si>
  <si>
    <t xml:space="preserve">preenchido</t>
  </si>
  <si>
    <t xml:space="preserve">Identificador da semana (AAAA-Sww), pré-preenchido a partir do Calendário</t>
  </si>
  <si>
    <t xml:space="preserve">Início</t>
  </si>
  <si>
    <t xml:space="preserve">automático</t>
  </si>
  <si>
    <t xml:space="preserve">Data de início da semana (automático)</t>
  </si>
  <si>
    <t xml:space="preserve">Fim</t>
  </si>
  <si>
    <t xml:space="preserve">Data de fim da semana (automático)</t>
  </si>
  <si>
    <t xml:space="preserve">Mês</t>
  </si>
  <si>
    <t xml:space="preserve">Mês de referência AAAA-MM (automático)</t>
  </si>
  <si>
    <t xml:space="preserve">Leads recebidos</t>
  </si>
  <si>
    <t xml:space="preserve">Total de leads recebidos na semana</t>
  </si>
  <si>
    <t xml:space="preserve">Aval. agendadas</t>
  </si>
  <si>
    <t xml:space="preserve">Avaliações agendadas na semana</t>
  </si>
  <si>
    <t xml:space="preserve">Aval. canceladas</t>
  </si>
  <si>
    <t xml:space="preserve">Avaliações canceladas na semana</t>
  </si>
  <si>
    <t xml:space="preserve">Aval. realizadas Fisio 1</t>
  </si>
  <si>
    <t xml:space="preserve">Avaliações realizadas pelo Fisio 1</t>
  </si>
  <si>
    <t xml:space="preserve">Aval. realizadas Fisio 2</t>
  </si>
  <si>
    <t xml:space="preserve">Avaliações realizadas pelo Fisio 2</t>
  </si>
  <si>
    <t xml:space="preserve">Contratos fechados Fisio 1</t>
  </si>
  <si>
    <t xml:space="preserve">Contratos (tratamentos) fechados pelo Fisio 1</t>
  </si>
  <si>
    <t xml:space="preserve">Contratos fechados Fisio 2</t>
  </si>
  <si>
    <t xml:space="preserve">Contratos (tratamentos) fechados pelo Fisio 2</t>
  </si>
  <si>
    <t xml:space="preserve">Atendimentos Fisio 1</t>
  </si>
  <si>
    <t xml:space="preserve">Atendimentos realizados pelo Fisio 1</t>
  </si>
  <si>
    <t xml:space="preserve">Atendimentos Fisio 2</t>
  </si>
  <si>
    <t xml:space="preserve">Atendimentos realizados pelo Fisio 2</t>
  </si>
  <si>
    <t xml:space="preserve">Cancelamentos de atendimentos</t>
  </si>
  <si>
    <t xml:space="preserve">Atendimentos cancelados/faltas na semana</t>
  </si>
  <si>
    <t xml:space="preserve">Novos pacientes</t>
  </si>
  <si>
    <t xml:space="preserve">Pacientes que iniciaram na clínica na semana</t>
  </si>
  <si>
    <t xml:space="preserve">Horários disponíveis manhã</t>
  </si>
  <si>
    <t xml:space="preserve">Capacidade de agenda no turno da manhã (nº de horários)</t>
  </si>
  <si>
    <t xml:space="preserve">Horários ocupados manhã</t>
  </si>
  <si>
    <t xml:space="preserve">Horários ocupados/agendados no turno da manhã</t>
  </si>
  <si>
    <t xml:space="preserve">Horários disponíveis tarde</t>
  </si>
  <si>
    <t xml:space="preserve">Capacidade de agenda no turno da tarde</t>
  </si>
  <si>
    <t xml:space="preserve">Horários ocupados tarde</t>
  </si>
  <si>
    <t xml:space="preserve">Horários ocupados/agendados no turno da tarde</t>
  </si>
  <si>
    <t xml:space="preserve">Tempo médio atend. Fisio 1 (min)</t>
  </si>
  <si>
    <t xml:space="preserve">Tempo médio por atendimento do Fisio 1, em minutos</t>
  </si>
  <si>
    <t xml:space="preserve">Desvio padrão Fisio 1 (min)</t>
  </si>
  <si>
    <t xml:space="preserve">Desvio padrão do tempo de atendimento do Fisio 1</t>
  </si>
  <si>
    <t xml:space="preserve">Tempo médio atend. Fisio 2 (min)</t>
  </si>
  <si>
    <t xml:space="preserve">Tempo médio por atendimento do Fisio 2, em minutos</t>
  </si>
  <si>
    <t xml:space="preserve">Desvio padrão Fisio 2 (min)</t>
  </si>
  <si>
    <t xml:space="preserve">Desvio padrão do tempo de atendimento do Fisio 2</t>
  </si>
  <si>
    <t xml:space="preserve">Observações</t>
  </si>
  <si>
    <t xml:space="preserve">Texto livre</t>
  </si>
  <si>
    <t xml:space="preserve">Contratos</t>
  </si>
  <si>
    <t xml:space="preserve">Data</t>
  </si>
  <si>
    <t xml:space="preserve">Data do fechamento</t>
  </si>
  <si>
    <t xml:space="preserve">Semana do fechamento (automático)</t>
  </si>
  <si>
    <t xml:space="preserve">Mês AAAA-MM (automático)</t>
  </si>
  <si>
    <t xml:space="preserve">Paciente</t>
  </si>
  <si>
    <t xml:space="preserve">Nome do paciente</t>
  </si>
  <si>
    <t xml:space="preserve">Tipo</t>
  </si>
  <si>
    <t xml:space="preserve">Avaliação ou Protocolo</t>
  </si>
  <si>
    <t xml:space="preserve">Fisioterapeuta</t>
  </si>
  <si>
    <t xml:space="preserve">Profissional responsável</t>
  </si>
  <si>
    <t xml:space="preserve">Protocolo / descrição</t>
  </si>
  <si>
    <t xml:space="preserve">Nome do protocolo ou descrição</t>
  </si>
  <si>
    <t xml:space="preserve">Nº sessões</t>
  </si>
  <si>
    <t xml:space="preserve">Quantidade de sessões contratadas</t>
  </si>
  <si>
    <t xml:space="preserve">Valor (R$)</t>
  </si>
  <si>
    <t xml:space="preserve">Valor total contratado</t>
  </si>
  <si>
    <t xml:space="preserve">Condição de pagamento</t>
  </si>
  <si>
    <t xml:space="preserve">À vista ou Parcelado</t>
  </si>
  <si>
    <t xml:space="preserve">Forma de pagamento</t>
  </si>
  <si>
    <t xml:space="preserve">Pix, cartão, boleto...</t>
  </si>
  <si>
    <t xml:space="preserve">Parcelas</t>
  </si>
  <si>
    <t xml:space="preserve">Número de parcelas (1 = à vista)</t>
  </si>
  <si>
    <t xml:space="preserve">Status pagamento</t>
  </si>
  <si>
    <t xml:space="preserve">Pago, Pendente, Atrasado, Cancelado</t>
  </si>
  <si>
    <t xml:space="preserve">Canal de ingresso</t>
  </si>
  <si>
    <t xml:space="preserve">Meio pelo qual o paciente chegou</t>
  </si>
  <si>
    <t xml:space="preserve">Financeiro</t>
  </si>
  <si>
    <t xml:space="preserve">Data do lançamento (competência)</t>
  </si>
  <si>
    <t xml:space="preserve">Semana (automático)</t>
  </si>
  <si>
    <t xml:space="preserve">Categoria</t>
  </si>
  <si>
    <t xml:space="preserve">Receita, Gasto, Imposto ou Marketing</t>
  </si>
  <si>
    <t xml:space="preserve">Tipo de custo</t>
  </si>
  <si>
    <t xml:space="preserve">Fixo ou Variável (somente gastos) — usado no ponto de equilíbrio</t>
  </si>
  <si>
    <t xml:space="preserve">Descrição do lançamento</t>
  </si>
  <si>
    <t xml:space="preserve">Valor do lançamento (sempre positivo)</t>
  </si>
  <si>
    <t xml:space="preserve">Status</t>
  </si>
  <si>
    <t xml:space="preserve">Vencimento</t>
  </si>
  <si>
    <t xml:space="preserve">Data de vencimento (para pendências/inadimplência)</t>
  </si>
  <si>
    <t xml:space="preserve">Paciente / fornecedor</t>
  </si>
  <si>
    <t xml:space="preserve">Contraparte</t>
  </si>
  <si>
    <t xml:space="preserve">Leads_Canal</t>
  </si>
  <si>
    <t xml:space="preserve">Semana (escolher da lista)</t>
  </si>
  <si>
    <t xml:space="preserve">Canal</t>
  </si>
  <si>
    <t xml:space="preserve">Canal de ingresso (lista em Config)</t>
  </si>
  <si>
    <t xml:space="preserve">Quantidade</t>
  </si>
  <si>
    <t xml:space="preserve">Leads recebidos pelo canal na semana</t>
  </si>
  <si>
    <t xml:space="preserve">Reuniao_Semanal</t>
  </si>
  <si>
    <t xml:space="preserve">Semana da reunião</t>
  </si>
  <si>
    <t xml:space="preserve">Resultado geral (registrado)</t>
  </si>
  <si>
    <t xml:space="preserve">Melhor, Igual ou Pior que a semana anterior — percepção da equipe</t>
  </si>
  <si>
    <t xml:space="preserve">Pontos positivos</t>
  </si>
  <si>
    <t xml:space="preserve">Abertura</t>
  </si>
  <si>
    <t xml:space="preserve">Pontos a melhorar</t>
  </si>
  <si>
    <t xml:space="preserve">Pacientes críticos / risco de desistência</t>
  </si>
  <si>
    <t xml:space="preserve">Experiência do paciente</t>
  </si>
  <si>
    <t xml:space="preserve">Pontos pertinentes</t>
  </si>
  <si>
    <t xml:space="preserve">Problemas no atendimento</t>
  </si>
  <si>
    <t xml:space="preserve">Algo prejudicando a experiência?</t>
  </si>
  <si>
    <t xml:space="preserve">Sim/Não</t>
  </si>
  <si>
    <t xml:space="preserve">Descrição do que prejudica</t>
  </si>
  <si>
    <t xml:space="preserve">Detalhe, se Sim</t>
  </si>
  <si>
    <t xml:space="preserve">Demandas da recepção e equipe</t>
  </si>
  <si>
    <t xml:space="preserve">Operação da semana / próxima semana</t>
  </si>
  <si>
    <t xml:space="preserve">Pontos relevantes (próxima semana)</t>
  </si>
  <si>
    <t xml:space="preserve">Operação da próxima semana</t>
  </si>
  <si>
    <t xml:space="preserve">Outros pontos</t>
  </si>
  <si>
    <t xml:space="preserve">O que mais ocorrer</t>
  </si>
  <si>
    <t xml:space="preserve">Metas da semana</t>
  </si>
  <si>
    <t xml:space="preserve">Plano de ação</t>
  </si>
  <si>
    <t xml:space="preserve">Soluções para os problemas identificados</t>
  </si>
  <si>
    <t xml:space="preserve">Plano_Acao</t>
  </si>
  <si>
    <t xml:space="preserve">Semana em que a ação foi definida</t>
  </si>
  <si>
    <t xml:space="preserve">Ordem</t>
  </si>
  <si>
    <t xml:space="preserve">Sequência da ação dentro da semana (automático)</t>
  </si>
  <si>
    <t xml:space="preserve">Problema / meta</t>
  </si>
  <si>
    <t xml:space="preserve">Origem da ação</t>
  </si>
  <si>
    <t xml:space="preserve">O quê (What)</t>
  </si>
  <si>
    <t xml:space="preserve">Ação a executar</t>
  </si>
  <si>
    <t xml:space="preserve">Por quê (Why)</t>
  </si>
  <si>
    <t xml:space="preserve">Justificativa</t>
  </si>
  <si>
    <t xml:space="preserve">Onde (Where)</t>
  </si>
  <si>
    <t xml:space="preserve">Local/área</t>
  </si>
  <si>
    <t xml:space="preserve">Quando (When)</t>
  </si>
  <si>
    <t xml:space="preserve">Prazo</t>
  </si>
  <si>
    <t xml:space="preserve">Quem (Who)</t>
  </si>
  <si>
    <t xml:space="preserve">Responsável</t>
  </si>
  <si>
    <t xml:space="preserve">Como (How)</t>
  </si>
  <si>
    <t xml:space="preserve">Método</t>
  </si>
  <si>
    <t xml:space="preserve">Quanto (How much)</t>
  </si>
  <si>
    <t xml:space="preserve">Custo estimado (R$)</t>
  </si>
  <si>
    <t xml:space="preserve">A fazer, Em andamento, Concluída, Cancelada</t>
  </si>
  <si>
    <t xml:space="preserve">chave</t>
  </si>
  <si>
    <t xml:space="preserve">Chave id_semana-ordem usada pelo painel (automático)</t>
  </si>
  <si>
    <t xml:space="preserve">Resumo_Semanal</t>
  </si>
  <si>
    <t xml:space="preserve">Calculado</t>
  </si>
  <si>
    <t xml:space="preserve">Aval. realizadas F1</t>
  </si>
  <si>
    <t xml:space="preserve">Aval. realizadas F2</t>
  </si>
  <si>
    <t xml:space="preserve">Aval. realizadas total</t>
  </si>
  <si>
    <t xml:space="preserve">Taxa canc. avaliações</t>
  </si>
  <si>
    <t xml:space="preserve">Contratos F1</t>
  </si>
  <si>
    <t xml:space="preserve">Contratos F2</t>
  </si>
  <si>
    <t xml:space="preserve">Contratos total</t>
  </si>
  <si>
    <t xml:space="preserve">Conversão aval→contrato</t>
  </si>
  <si>
    <t xml:space="preserve">Atend. F1</t>
  </si>
  <si>
    <t xml:space="preserve">Atend. F2</t>
  </si>
  <si>
    <t xml:space="preserve">Atend. total</t>
  </si>
  <si>
    <t xml:space="preserve">Cancelamentos atend.</t>
  </si>
  <si>
    <t xml:space="preserve">Ocupação manhã</t>
  </si>
  <si>
    <t xml:space="preserve">Ocupação tarde</t>
  </si>
  <si>
    <t xml:space="preserve">Ocupação total</t>
  </si>
  <si>
    <t xml:space="preserve">Tempo médio F1</t>
  </si>
  <si>
    <t xml:space="preserve">Desvio F1</t>
  </si>
  <si>
    <t xml:space="preserve">Tempo médio F2</t>
  </si>
  <si>
    <t xml:space="preserve">Desvio F2</t>
  </si>
  <si>
    <t xml:space="preserve">Aval. contratadas (qtd)</t>
  </si>
  <si>
    <t xml:space="preserve">Valor avaliações</t>
  </si>
  <si>
    <t xml:space="preserve">Protocolos contratados (qtd)</t>
  </si>
  <si>
    <t xml:space="preserve">Valor protocolos</t>
  </si>
  <si>
    <t xml:space="preserve">Contratos à vista (qtd)</t>
  </si>
  <si>
    <t xml:space="preserve">Contratos parcelados (qtd)</t>
  </si>
  <si>
    <t xml:space="preserve">Receitas</t>
  </si>
  <si>
    <t xml:space="preserve">Gastos</t>
  </si>
  <si>
    <t xml:space="preserve">Impostos</t>
  </si>
  <si>
    <t xml:space="preserve">Marketing</t>
  </si>
  <si>
    <t xml:space="preserve">Resultado</t>
  </si>
  <si>
    <t xml:space="preserve">Receita vs meta</t>
  </si>
  <si>
    <t xml:space="preserve">Gastos vs meta</t>
  </si>
  <si>
    <t xml:space="preserve">CAC (marketing / novos pac.)</t>
  </si>
  <si>
    <t xml:space="preserve">Receita acum. mês</t>
  </si>
  <si>
    <t xml:space="preserve">Gastos acum. mês</t>
  </si>
  <si>
    <t xml:space="preserve">Leads por canal (soma)</t>
  </si>
  <si>
    <t xml:space="preserve">Checagem leads</t>
  </si>
  <si>
    <t xml:space="preserve">Checagem contratos</t>
  </si>
  <si>
    <t xml:space="preserve">Resumo_Mensal</t>
  </si>
  <si>
    <t xml:space="preserve">Calculado por mês</t>
  </si>
  <si>
    <t xml:space="preserve">Receita vs meta mensal</t>
  </si>
  <si>
    <t xml:space="preserve">Gastos vs meta mensal</t>
  </si>
  <si>
    <t xml:space="preserve">Painel de resultados — reunião semanal</t>
  </si>
  <si>
    <t xml:space="preserve">Escolha a semana na célula amarela (C3). Tudo o mais é calculado.</t>
  </si>
  <si>
    <t xml:space="preserve">Semana selecionada</t>
  </si>
  <si>
    <t xml:space="preserve">2026-S40</t>
  </si>
  <si>
    <t xml:space="preserve">Semana anterior</t>
  </si>
  <si>
    <t xml:space="preserve">Próxima semana</t>
  </si>
  <si>
    <t xml:space="preserve">Período</t>
  </si>
  <si>
    <t xml:space="preserve">1. ABERTURA</t>
  </si>
  <si>
    <t xml:space="preserve">Resultado geral (automático — leads, avaliações, contratos, atendimentos, receita e gastos vs. semana anterior)</t>
  </si>
  <si>
    <t xml:space="preserve">Resultado geral (registrado na reunião)</t>
  </si>
  <si>
    <t xml:space="preserve">2. INDICADORES-CHAVE — CRESCIMENTO</t>
  </si>
  <si>
    <t xml:space="preserve">Indicador</t>
  </si>
  <si>
    <t xml:space="preserve">Semana atual</t>
  </si>
  <si>
    <t xml:space="preserve">Variação</t>
  </si>
  <si>
    <t xml:space="preserve">Meta semanal</t>
  </si>
  <si>
    <t xml:space="preserve">% da meta</t>
  </si>
  <si>
    <t xml:space="preserve">Acumulado no mês</t>
  </si>
  <si>
    <t xml:space="preserve">Meta mensal</t>
  </si>
  <si>
    <t xml:space="preserve">Avaliações agendadas</t>
  </si>
  <si>
    <t xml:space="preserve">Avaliações canceladas</t>
  </si>
  <si>
    <t xml:space="preserve">Taxa de cancelamento de avaliações</t>
  </si>
  <si>
    <t xml:space="preserve">Avaliações realizadas — total</t>
  </si>
  <si>
    <t xml:space="preserve">Tratamentos contratados — total</t>
  </si>
  <si>
    <t xml:space="preserve">Conversão avaliação → contrato</t>
  </si>
  <si>
    <t xml:space="preserve">Avaliações contratadas (qtd)</t>
  </si>
  <si>
    <t xml:space="preserve">Valor de avaliações contratadas</t>
  </si>
  <si>
    <t xml:space="preserve">Valor de protocolos contratados</t>
  </si>
  <si>
    <t xml:space="preserve">Meios de comunicação de ingresso (leads por canal)</t>
  </si>
  <si>
    <t xml:space="preserve">% do total (atual)</t>
  </si>
  <si>
    <t xml:space="preserve">3. AGENDA E ATENDIMENTOS</t>
  </si>
  <si>
    <t xml:space="preserve">Atendimentos realizados — total</t>
  </si>
  <si>
    <t xml:space="preserve">Taxa de ocupação — manhã</t>
  </si>
  <si>
    <t xml:space="preserve">Taxa de ocupação — tarde</t>
  </si>
  <si>
    <t xml:space="preserve">Taxa de ocupação — total</t>
  </si>
  <si>
    <t xml:space="preserve">4. INDICADORES FINANCEIROS</t>
  </si>
  <si>
    <t xml:space="preserve">Receita semanal</t>
  </si>
  <si>
    <t xml:space="preserve">Gastos semanais</t>
  </si>
  <si>
    <t xml:space="preserve">Investimento em marketing</t>
  </si>
  <si>
    <t xml:space="preserve">Resultado (receita − gastos − impostos − marketing)</t>
  </si>
  <si>
    <t xml:space="preserve">CAC (marketing / novos pacientes)</t>
  </si>
  <si>
    <t xml:space="preserve">Pendências — receitas a receber (status Pendente)</t>
  </si>
  <si>
    <t xml:space="preserve">Inadimplência — receitas em atraso (status Atrasado)</t>
  </si>
  <si>
    <t xml:space="preserve">Pendências e inadimplência consideram todos os lançamentos em aberto, independentemente da semana.</t>
  </si>
  <si>
    <t xml:space="preserve">5. EXPERIÊNCIA DO PACIENTE</t>
  </si>
  <si>
    <t xml:space="preserve">Pacientes críticos | riscos de desistência</t>
  </si>
  <si>
    <t xml:space="preserve">Existe algo prejudicando a experiência do paciente?</t>
  </si>
  <si>
    <t xml:space="preserve">6. OPERAÇÃO DA SEMANA | PRÓXIMA SEMANA</t>
  </si>
  <si>
    <t xml:space="preserve">Agenda da próxima semana</t>
  </si>
  <si>
    <t xml:space="preserve">Ocupação já agendada</t>
  </si>
  <si>
    <t xml:space="preserve">Meta</t>
  </si>
  <si>
    <t xml:space="preserve">Preencha os horários disponíveis/ocupados da próxima semana na Base_Semanal para ver a ocupação já agendada.</t>
  </si>
  <si>
    <t xml:space="preserve">Pontos relevantes</t>
  </si>
  <si>
    <t xml:space="preserve">7. O QUE MAIS OCORRER</t>
  </si>
  <si>
    <t xml:space="preserve">8. PLANO DE AÇÃO</t>
  </si>
  <si>
    <t xml:space="preserve">Ações para executar (5W2H) — até 8 ações da semana; lista completa na aba Plano_Acao</t>
  </si>
  <si>
    <t xml:space="preserve">O quê</t>
  </si>
  <si>
    <t xml:space="preserve">Por quê</t>
  </si>
  <si>
    <t xml:space="preserve">Onde</t>
  </si>
  <si>
    <t xml:space="preserve">Quando</t>
  </si>
  <si>
    <t xml:space="preserve">Quem</t>
  </si>
  <si>
    <t xml:space="preserve">Como</t>
  </si>
  <si>
    <t xml:space="preserve">Configurações, metas e listas</t>
  </si>
  <si>
    <t xml:space="preserve">Células amarelas: preencher. As listas alimentam os menus (validação) das abas de coleta.</t>
  </si>
  <si>
    <t xml:space="preserve">Equipe</t>
  </si>
  <si>
    <t xml:space="preserve">Fisio 1</t>
  </si>
  <si>
    <t xml:space="preserve">Ariosto</t>
  </si>
  <si>
    <t xml:space="preserve">Fisio 2</t>
  </si>
  <si>
    <t xml:space="preserve">Tássia</t>
  </si>
  <si>
    <t xml:space="preserve">Metas</t>
  </si>
  <si>
    <t xml:space="preserve">Tipo de contrato</t>
  </si>
  <si>
    <t xml:space="preserve">Status de pagamento</t>
  </si>
  <si>
    <t xml:space="preserve">Categoria financeira</t>
  </si>
  <si>
    <t xml:space="preserve">Status da ação</t>
  </si>
  <si>
    <t xml:space="preserve">Resultado geral</t>
  </si>
  <si>
    <t xml:space="preserve">Avaliação</t>
  </si>
  <si>
    <t xml:space="preserve">À vista</t>
  </si>
  <si>
    <t xml:space="preserve">Pix</t>
  </si>
  <si>
    <t xml:space="preserve">Pago</t>
  </si>
  <si>
    <t xml:space="preserve">Instagram</t>
  </si>
  <si>
    <t xml:space="preserve">Receita</t>
  </si>
  <si>
    <t xml:space="preserve">Fixo</t>
  </si>
  <si>
    <t xml:space="preserve">A fazer</t>
  </si>
  <si>
    <t xml:space="preserve">Melhor</t>
  </si>
  <si>
    <t xml:space="preserve">Sim</t>
  </si>
  <si>
    <t xml:space="preserve">Protocolo</t>
  </si>
  <si>
    <t xml:space="preserve">Parcelado</t>
  </si>
  <si>
    <t xml:space="preserve">Dinheiro</t>
  </si>
  <si>
    <t xml:space="preserve">Pendente</t>
  </si>
  <si>
    <t xml:space="preserve">Google</t>
  </si>
  <si>
    <t xml:space="preserve">Gasto</t>
  </si>
  <si>
    <t xml:space="preserve">Variável</t>
  </si>
  <si>
    <t xml:space="preserve">Em andamento</t>
  </si>
  <si>
    <t xml:space="preserve">Igual</t>
  </si>
  <si>
    <t xml:space="preserve">Não</t>
  </si>
  <si>
    <t xml:space="preserve">Avaliações realizadas</t>
  </si>
  <si>
    <t xml:space="preserve">Cartão de débito</t>
  </si>
  <si>
    <t xml:space="preserve">Atrasado</t>
  </si>
  <si>
    <t xml:space="preserve">WhatsApp direto</t>
  </si>
  <si>
    <t xml:space="preserve">Imposto</t>
  </si>
  <si>
    <t xml:space="preserve">Concluída</t>
  </si>
  <si>
    <t xml:space="preserve">Pior</t>
  </si>
  <si>
    <t xml:space="preserve">Contratos fechados (tratamentos)</t>
  </si>
  <si>
    <t xml:space="preserve">Cartão de crédito</t>
  </si>
  <si>
    <t xml:space="preserve">Cancelado</t>
  </si>
  <si>
    <t xml:space="preserve">Indicação</t>
  </si>
  <si>
    <t xml:space="preserve">Cancelada</t>
  </si>
  <si>
    <t xml:space="preserve">Atendimentos realizados</t>
  </si>
  <si>
    <t xml:space="preserve">Boleto</t>
  </si>
  <si>
    <t xml:space="preserve">Facebook</t>
  </si>
  <si>
    <t xml:space="preserve">Taxa de ocupação da agenda</t>
  </si>
  <si>
    <t xml:space="preserve">Transferência</t>
  </si>
  <si>
    <t xml:space="preserve">Site</t>
  </si>
  <si>
    <t xml:space="preserve">Convênio</t>
  </si>
  <si>
    <t xml:space="preserve">Convênio/Parceria</t>
  </si>
  <si>
    <t xml:space="preserve">Passante/Fachada</t>
  </si>
  <si>
    <t xml:space="preserve">Outro</t>
  </si>
  <si>
    <t xml:space="preserve">Taxa máx. de cancelamento de avaliações</t>
  </si>
  <si>
    <t xml:space="preserve">Metas são valores de referência informados pelo usuário; ajuste conforme o planejamento da clínica.</t>
  </si>
  <si>
    <t xml:space="preserve">Calendário de semanas</t>
  </si>
  <si>
    <t xml:space="preserve">Semanas ISO (segunda a domingo). O mês da semana é o mês da data de início.</t>
  </si>
  <si>
    <t xml:space="preserve">2026-S02</t>
  </si>
  <si>
    <t xml:space="preserve">2026-01</t>
  </si>
  <si>
    <t xml:space="preserve">2026-S03</t>
  </si>
  <si>
    <t xml:space="preserve">2026-S04</t>
  </si>
  <si>
    <t xml:space="preserve">2026-S05</t>
  </si>
  <si>
    <t xml:space="preserve">2026-S06</t>
  </si>
  <si>
    <t xml:space="preserve">2026-02</t>
  </si>
  <si>
    <t xml:space="preserve">2026-S07</t>
  </si>
  <si>
    <t xml:space="preserve">2026-S08</t>
  </si>
  <si>
    <t xml:space="preserve">2026-S09</t>
  </si>
  <si>
    <t xml:space="preserve">2026-S10</t>
  </si>
  <si>
    <t xml:space="preserve">2026-03</t>
  </si>
  <si>
    <t xml:space="preserve">2026-S11</t>
  </si>
  <si>
    <t xml:space="preserve">2026-S12</t>
  </si>
  <si>
    <t xml:space="preserve">2026-S13</t>
  </si>
  <si>
    <t xml:space="preserve">2026-S14</t>
  </si>
  <si>
    <t xml:space="preserve">2026-S15</t>
  </si>
  <si>
    <t xml:space="preserve">2026-04</t>
  </si>
  <si>
    <t xml:space="preserve">2026-S16</t>
  </si>
  <si>
    <t xml:space="preserve">2026-S17</t>
  </si>
  <si>
    <t xml:space="preserve">2026-S18</t>
  </si>
  <si>
    <t xml:space="preserve">2026-S19</t>
  </si>
  <si>
    <t xml:space="preserve">2026-05</t>
  </si>
  <si>
    <t xml:space="preserve">2026-S20</t>
  </si>
  <si>
    <t xml:space="preserve">2026-S21</t>
  </si>
  <si>
    <t xml:space="preserve">2026-S22</t>
  </si>
  <si>
    <t xml:space="preserve">2026-S23</t>
  </si>
  <si>
    <t xml:space="preserve">2026-06</t>
  </si>
  <si>
    <t xml:space="preserve">2026-S24</t>
  </si>
  <si>
    <t xml:space="preserve">2026-S25</t>
  </si>
  <si>
    <t xml:space="preserve">2026-S26</t>
  </si>
  <si>
    <t xml:space="preserve">2026-S27</t>
  </si>
  <si>
    <t xml:space="preserve">2026-S28</t>
  </si>
  <si>
    <t xml:space="preserve">2026-07</t>
  </si>
  <si>
    <t xml:space="preserve">2026-S29</t>
  </si>
  <si>
    <t xml:space="preserve">2026-S30</t>
  </si>
  <si>
    <t xml:space="preserve">2026-S31</t>
  </si>
  <si>
    <t xml:space="preserve">2026-S32</t>
  </si>
  <si>
    <t xml:space="preserve">2026-08</t>
  </si>
  <si>
    <t xml:space="preserve">2026-S33</t>
  </si>
  <si>
    <t xml:space="preserve">2026-S34</t>
  </si>
  <si>
    <t xml:space="preserve">2026-S35</t>
  </si>
  <si>
    <t xml:space="preserve">2026-S36</t>
  </si>
  <si>
    <t xml:space="preserve">2026-S37</t>
  </si>
  <si>
    <t xml:space="preserve">2026-09</t>
  </si>
  <si>
    <t xml:space="preserve">2026-S38</t>
  </si>
  <si>
    <t xml:space="preserve">2026-S39</t>
  </si>
  <si>
    <t xml:space="preserve">2026-S41</t>
  </si>
  <si>
    <t xml:space="preserve">2026-10</t>
  </si>
  <si>
    <t xml:space="preserve">2026-S42</t>
  </si>
  <si>
    <t xml:space="preserve">2026-S43</t>
  </si>
  <si>
    <t xml:space="preserve">2026-S44</t>
  </si>
  <si>
    <t xml:space="preserve">2026-S45</t>
  </si>
  <si>
    <t xml:space="preserve">2026-11</t>
  </si>
  <si>
    <t xml:space="preserve">2026-S46</t>
  </si>
  <si>
    <t xml:space="preserve">2026-S47</t>
  </si>
  <si>
    <t xml:space="preserve">2026-S48</t>
  </si>
  <si>
    <t xml:space="preserve">2026-S49</t>
  </si>
  <si>
    <t xml:space="preserve">2026-S50</t>
  </si>
  <si>
    <t xml:space="preserve">2026-12</t>
  </si>
  <si>
    <t xml:space="preserve">2026-S51</t>
  </si>
  <si>
    <t xml:space="preserve">2026-S52</t>
  </si>
  <si>
    <t xml:space="preserve">2026-S53</t>
  </si>
  <si>
    <t xml:space="preserve">2027-S01</t>
  </si>
  <si>
    <t xml:space="preserve">2027-01</t>
  </si>
  <si>
    <t xml:space="preserve">2027-S02</t>
  </si>
  <si>
    <t xml:space="preserve">2027-S03</t>
  </si>
  <si>
    <t xml:space="preserve">2027-S04</t>
  </si>
  <si>
    <t xml:space="preserve">2027-S05</t>
  </si>
  <si>
    <t xml:space="preserve">2027-02</t>
  </si>
  <si>
    <t xml:space="preserve">2027-S06</t>
  </si>
  <si>
    <t xml:space="preserve">2027-S07</t>
  </si>
  <si>
    <t xml:space="preserve">2027-S08</t>
  </si>
  <si>
    <t xml:space="preserve">2027-S09</t>
  </si>
  <si>
    <t xml:space="preserve">2027-03</t>
  </si>
  <si>
    <t xml:space="preserve">2027-S10</t>
  </si>
  <si>
    <t xml:space="preserve">2027-S11</t>
  </si>
  <si>
    <t xml:space="preserve">2027-S12</t>
  </si>
  <si>
    <t xml:space="preserve">2027-S13</t>
  </si>
  <si>
    <t xml:space="preserve">2027-S14</t>
  </si>
  <si>
    <t xml:space="preserve">2027-04</t>
  </si>
  <si>
    <t xml:space="preserve">2027-S15</t>
  </si>
  <si>
    <t xml:space="preserve">2027-S16</t>
  </si>
  <si>
    <t xml:space="preserve">2027-S17</t>
  </si>
  <si>
    <t xml:space="preserve">2027-S18</t>
  </si>
  <si>
    <t xml:space="preserve">2027-05</t>
  </si>
  <si>
    <t xml:space="preserve">2027-S19</t>
  </si>
  <si>
    <t xml:space="preserve">2027-S20</t>
  </si>
  <si>
    <t xml:space="preserve">2027-S21</t>
  </si>
  <si>
    <t xml:space="preserve">2027-S22</t>
  </si>
  <si>
    <t xml:space="preserve">2027-S23</t>
  </si>
  <si>
    <t xml:space="preserve">2027-06</t>
  </si>
  <si>
    <t xml:space="preserve">2027-S24</t>
  </si>
  <si>
    <t xml:space="preserve">2027-S25</t>
  </si>
  <si>
    <t xml:space="preserve">2027-S26</t>
  </si>
  <si>
    <t xml:space="preserve">2027-S27</t>
  </si>
  <si>
    <t xml:space="preserve">2027-07</t>
  </si>
  <si>
    <t xml:space="preserve">2027-S28</t>
  </si>
  <si>
    <t xml:space="preserve">2027-S29</t>
  </si>
  <si>
    <t xml:space="preserve">2027-S30</t>
  </si>
  <si>
    <t xml:space="preserve">2027-S31</t>
  </si>
  <si>
    <t xml:space="preserve">2027-08</t>
  </si>
  <si>
    <t xml:space="preserve">2027-S32</t>
  </si>
  <si>
    <t xml:space="preserve">2027-S33</t>
  </si>
  <si>
    <t xml:space="preserve">2027-S34</t>
  </si>
  <si>
    <t xml:space="preserve">2027-S35</t>
  </si>
  <si>
    <t xml:space="preserve">2027-S36</t>
  </si>
  <si>
    <t xml:space="preserve">2027-09</t>
  </si>
  <si>
    <t xml:space="preserve">2027-S37</t>
  </si>
  <si>
    <t xml:space="preserve">2027-S38</t>
  </si>
  <si>
    <t xml:space="preserve">2027-S39</t>
  </si>
  <si>
    <t xml:space="preserve">2027-S40</t>
  </si>
  <si>
    <t xml:space="preserve">2027-10</t>
  </si>
  <si>
    <t xml:space="preserve">2027-S41</t>
  </si>
  <si>
    <t xml:space="preserve">2027-S42</t>
  </si>
  <si>
    <t xml:space="preserve">2027-S43</t>
  </si>
  <si>
    <t xml:space="preserve">2027-S44</t>
  </si>
  <si>
    <t xml:space="preserve">2027-11</t>
  </si>
  <si>
    <t xml:space="preserve">2027-S45</t>
  </si>
  <si>
    <t xml:space="preserve">2027-S46</t>
  </si>
  <si>
    <t xml:space="preserve">2027-S47</t>
  </si>
  <si>
    <t xml:space="preserve">2027-S48</t>
  </si>
  <si>
    <t xml:space="preserve">2027-S49</t>
  </si>
  <si>
    <t xml:space="preserve">2027-12</t>
  </si>
  <si>
    <t xml:space="preserve">2027-S50</t>
  </si>
  <si>
    <t xml:space="preserve">2027-S51</t>
  </si>
  <si>
    <t xml:space="preserve">2027-S52</t>
  </si>
  <si>
    <t xml:space="preserve">Base de dados semanal (coleta)</t>
  </si>
  <si>
    <t xml:space="preserve">Preencha as colunas amarelas; uma linha por semana. As três primeiras colunas de datas são automáticas.</t>
  </si>
  <si>
    <t xml:space="preserve">Exemplo — substitua pelos dados reais</t>
  </si>
  <si>
    <t xml:space="preserve">Exemplo — agenda já ocupada para a próxima semana</t>
  </si>
  <si>
    <t xml:space="preserve">Avaliações e protocolos contratados</t>
  </si>
  <si>
    <t xml:space="preserve">Uma linha por contrato fechado. Semana e mês são calculados pela data.</t>
  </si>
  <si>
    <t xml:space="preserve">Maria S. (exemplo)</t>
  </si>
  <si>
    <t xml:space="preserve">Avaliação inicial coluna</t>
  </si>
  <si>
    <t xml:space="preserve">João P. (exemplo)</t>
  </si>
  <si>
    <t xml:space="preserve">Protocolo hérnia lombar — 20 sessões</t>
  </si>
  <si>
    <t xml:space="preserve">Carla M. (exemplo)</t>
  </si>
  <si>
    <t xml:space="preserve">Protocolo cervical — 12 sessões</t>
  </si>
  <si>
    <t xml:space="preserve">Pedro L. (exemplo)</t>
  </si>
  <si>
    <t xml:space="preserve">Avaliação inicial</t>
  </si>
  <si>
    <t xml:space="preserve">Ana R. (exemplo)</t>
  </si>
  <si>
    <t xml:space="preserve">Lucas F. (exemplo)</t>
  </si>
  <si>
    <t xml:space="preserve">Protocolo joelho — 16 sessões</t>
  </si>
  <si>
    <t xml:space="preserve">Beatriz C. (exemplo)</t>
  </si>
  <si>
    <t xml:space="preserve">Financeiro (lançamentos)</t>
  </si>
  <si>
    <t xml:space="preserve">Uma linha por receita, gasto, imposto ou investimento em marketing. Receitas com status Pendente = pendências; Atrasado = inadimplência.</t>
  </si>
  <si>
    <t xml:space="preserve">Avaliação — Maria S.</t>
  </si>
  <si>
    <t xml:space="preserve">Maria S.</t>
  </si>
  <si>
    <t xml:space="preserve">Protocolo — João P. (1/6)</t>
  </si>
  <si>
    <t xml:space="preserve">João P.</t>
  </si>
  <si>
    <t xml:space="preserve">Protocolo — Carla M.</t>
  </si>
  <si>
    <t xml:space="preserve">Carla M.</t>
  </si>
  <si>
    <t xml:space="preserve">Folha de pagamento — recepção</t>
  </si>
  <si>
    <t xml:space="preserve">Impulsionamento Instagram</t>
  </si>
  <si>
    <t xml:space="preserve">Meta Ads</t>
  </si>
  <si>
    <t xml:space="preserve">Avaliação — Pedro L.</t>
  </si>
  <si>
    <t xml:space="preserve">Pedro L.</t>
  </si>
  <si>
    <t xml:space="preserve">Protocolo — Ana R. (1/4)</t>
  </si>
  <si>
    <t xml:space="preserve">Ana R.</t>
  </si>
  <si>
    <t xml:space="preserve">Protocolo — Lucas F. (1/3)</t>
  </si>
  <si>
    <t xml:space="preserve">Lucas F.</t>
  </si>
  <si>
    <t xml:space="preserve">Aluguel</t>
  </si>
  <si>
    <t xml:space="preserve">Imobiliária</t>
  </si>
  <si>
    <t xml:space="preserve">Material de consumo (bandagens, eletrodos)</t>
  </si>
  <si>
    <t xml:space="preserve">Fornecedor</t>
  </si>
  <si>
    <t xml:space="preserve">Simples Nacional — DAS</t>
  </si>
  <si>
    <t xml:space="preserve">Receita Federal</t>
  </si>
  <si>
    <t xml:space="preserve">Google Ads</t>
  </si>
  <si>
    <t xml:space="preserve">Protocolo — Roberto A. (2/5)</t>
  </si>
  <si>
    <t xml:space="preserve">Roberto A.</t>
  </si>
  <si>
    <t xml:space="preserve">Leads por canal de ingresso</t>
  </si>
  <si>
    <t xml:space="preserve">Uma linha por semana e canal. A soma deve bater com 'Leads recebidos' da Base_Semanal (há checagem no Resumo_Semanal).</t>
  </si>
  <si>
    <t xml:space="preserve">Exemplo</t>
  </si>
  <si>
    <t xml:space="preserve">Registro qualitativo da reunião semanal</t>
  </si>
  <si>
    <t xml:space="preserve">Uma linha por semana. Os textos aparecem automaticamente no Painel_Semanal.</t>
  </si>
  <si>
    <t xml:space="preserve">Receita acima da meta; 4 protocolos fechados por indicação</t>
  </si>
  <si>
    <t xml:space="preserve">Taxa de ocupação da tarde abaixo de 90%; 5 cancelamentos de atendimento</t>
  </si>
  <si>
    <t xml:space="preserve">Roberto A. — 2 faltas seguidas e parcela em atraso; Ana R. — reclamou de espera</t>
  </si>
  <si>
    <t xml:space="preserve">Pacientes elogiaram o novo protocolo de alongamento</t>
  </si>
  <si>
    <t xml:space="preserve">Espera de 15 min na recepção em dois dias (acúmulo às 8h)</t>
  </si>
  <si>
    <t xml:space="preserve">Atraso na abertura da recepção às 7h50</t>
  </si>
  <si>
    <t xml:space="preserve">Recepção pede roteiro de confirmação de consulta por WhatsApp</t>
  </si>
  <si>
    <t xml:space="preserve">Agenda da manhã já com 73% ocupada; reforçar captação para a tarde</t>
  </si>
  <si>
    <t xml:space="preserve">Manutenção do ar-condicionado da sala 2 agendada para quinta</t>
  </si>
  <si>
    <t xml:space="preserve">Receita R$ 32.000; 10 avaliações; ocupação total ≥ 85%</t>
  </si>
  <si>
    <t xml:space="preserve">Confirmação de consulta 24h antes por WhatsApp; escala da recepção a partir de 7h40</t>
  </si>
  <si>
    <t xml:space="preserve">Plano de ação 5W2H</t>
  </si>
  <si>
    <t xml:space="preserve">Uma linha por ação. As 8 primeiras ações de cada semana aparecem no Painel_Semanal.</t>
  </si>
  <si>
    <t xml:space="preserve">Espera na recepção às 8h</t>
  </si>
  <si>
    <t xml:space="preserve">Antecipar abertura da recepção</t>
  </si>
  <si>
    <t xml:space="preserve">Reduzir espera e reclamações</t>
  </si>
  <si>
    <t xml:space="preserve">Recepção</t>
  </si>
  <si>
    <t xml:space="preserve">Escala iniciando às 7h40; check-in antecipado</t>
  </si>
  <si>
    <t xml:space="preserve">Cancelamentos de atendimento</t>
  </si>
  <si>
    <t xml:space="preserve">Confirmar consultas 24h antes por WhatsApp</t>
  </si>
  <si>
    <t xml:space="preserve">Reduzir faltas e liberar horários</t>
  </si>
  <si>
    <t xml:space="preserve">Modelo de mensagem + lista diária de confirmação</t>
  </si>
  <si>
    <t xml:space="preserve">Ocupação da tarde &lt; 90%</t>
  </si>
  <si>
    <t xml:space="preserve">Campanha de captação para horários da tarde</t>
  </si>
  <si>
    <t xml:space="preserve">Elevar taxa de ocupação</t>
  </si>
  <si>
    <t xml:space="preserve">Anúncio segmentado + oferta de avaliação à tarde</t>
  </si>
  <si>
    <t xml:space="preserve">Resumo semanal (calculado)</t>
  </si>
  <si>
    <t xml:space="preserve">Não edite: tudo é calculado a partir das abas de coleta. Base do Painel_Semanal.</t>
  </si>
  <si>
    <t xml:space="preserve">Semanas sem dados aparecem com zeros. 'Checagem' compara Base_Semanal com Leads_Canal e Contratos (Divergente = revisar os lançamentos).</t>
  </si>
  <si>
    <t xml:space="preserve">Resumo mensal (calculado)</t>
  </si>
  <si>
    <t xml:space="preserve">Semanas são atribuídas ao mês da sua data de início; contratos e lançamentos financeiros, ao mês da sua própria data.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</si>
</sst>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"/>
    <numFmt numFmtId="167" formatCode="0.0%"/>
    <numFmt numFmtId="168" formatCode="&quot;R$ &quot;#,##0.00"/>
    <numFmt numFmtId="169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F3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5F"/>
        <bgColor rgb="FF0F2F3A"/>
      </patternFill>
    </fill>
    <fill>
      <patternFill patternType="solid">
        <fgColor rgb="FFDCE8E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8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2F3A"/>
      <rgbColor rgb="FF339966"/>
      <rgbColor rgb="FF003300"/>
      <rgbColor rgb="FF333300"/>
      <rgbColor rgb="FF993300"/>
      <rgbColor rgb="FF993366"/>
      <rgbColor rgb="FF333399"/>
      <rgbColor rgb="FF1F4E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5" t="s">
        <v>6</v>
      </c>
    </row>
    <row r="8" customFormat="false" ht="15" hidden="false" customHeight="false" outlineLevel="0" collapsed="false">
      <c r="A8" s="3" t="s">
        <v>7</v>
      </c>
    </row>
    <row r="9" customFormat="false" ht="15" hidden="false" customHeight="false" outlineLevel="0" collapsed="false">
      <c r="A9" s="7" t="s">
        <v>8</v>
      </c>
    </row>
    <row r="10" customFormat="false" ht="15" hidden="false" customHeight="false" outlineLevel="0" collapsed="false">
      <c r="A10" s="7" t="s">
        <v>9</v>
      </c>
    </row>
    <row r="11" customFormat="false" ht="15" hidden="false" customHeight="false" outlineLevel="0" collapsed="false">
      <c r="A11" s="7" t="s">
        <v>10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7" t="s">
        <v>12</v>
      </c>
    </row>
    <row r="14" customFormat="false" ht="15" hidden="false" customHeight="false" outlineLevel="0" collapsed="false">
      <c r="A14" s="7" t="s">
        <v>13</v>
      </c>
    </row>
    <row r="15" customFormat="false" ht="15" hidden="false" customHeight="false" outlineLevel="0" collapsed="false">
      <c r="A15" s="7" t="s">
        <v>14</v>
      </c>
    </row>
    <row r="17" customFormat="false" ht="15" hidden="false" customHeight="false" outlineLevel="0" collapsed="false">
      <c r="A17" s="3" t="s">
        <v>15</v>
      </c>
    </row>
    <row r="18" customFormat="false" ht="15" hidden="false" customHeight="false" outlineLevel="0" collapsed="false">
      <c r="A18" s="7" t="s">
        <v>16</v>
      </c>
    </row>
    <row r="19" customFormat="false" ht="15" hidden="false" customHeight="false" outlineLevel="0" collapsed="false">
      <c r="A19" s="7" t="s">
        <v>17</v>
      </c>
    </row>
    <row r="20" customFormat="false" ht="15" hidden="false" customHeight="false" outlineLevel="0" collapsed="false">
      <c r="A20" s="7" t="s">
        <v>18</v>
      </c>
    </row>
    <row r="21" customFormat="false" ht="15" hidden="false" customHeight="false" outlineLevel="0" collapsed="false">
      <c r="A21" s="7" t="s">
        <v>19</v>
      </c>
    </row>
    <row r="22" customFormat="false" ht="15" hidden="false" customHeight="false" outlineLevel="0" collapsed="false">
      <c r="A22" s="7" t="s">
        <v>20</v>
      </c>
    </row>
    <row r="23" customFormat="false" ht="15" hidden="false" customHeight="false" outlineLevel="0" collapsed="false">
      <c r="A23" s="7" t="s">
        <v>21</v>
      </c>
    </row>
    <row r="26" customFormat="false" ht="15" hidden="false" customHeight="false" outlineLevel="0" collapsed="false">
      <c r="A26" s="3" t="s">
        <v>22</v>
      </c>
    </row>
    <row r="27" customFormat="false" ht="31.5" hidden="false" customHeight="true" outlineLevel="0" collapsed="false">
      <c r="A27" s="8" t="s">
        <v>23</v>
      </c>
      <c r="B27" s="8" t="s">
        <v>24</v>
      </c>
      <c r="C27" s="8" t="s">
        <v>25</v>
      </c>
      <c r="D27" s="8" t="s">
        <v>26</v>
      </c>
    </row>
    <row r="28" customFormat="false" ht="15" hidden="false" customHeight="false" outlineLevel="0" collapsed="false">
      <c r="A28" s="9" t="s">
        <v>27</v>
      </c>
      <c r="B28" s="9" t="s">
        <v>28</v>
      </c>
      <c r="C28" s="9" t="s">
        <v>29</v>
      </c>
      <c r="D28" s="9" t="s">
        <v>30</v>
      </c>
    </row>
    <row r="29" customFormat="false" ht="15" hidden="false" customHeight="false" outlineLevel="0" collapsed="false">
      <c r="A29" s="9" t="s">
        <v>27</v>
      </c>
      <c r="B29" s="9" t="s">
        <v>31</v>
      </c>
      <c r="C29" s="9" t="s">
        <v>32</v>
      </c>
      <c r="D29" s="9" t="s">
        <v>33</v>
      </c>
    </row>
    <row r="30" customFormat="false" ht="15" hidden="false" customHeight="false" outlineLevel="0" collapsed="false">
      <c r="A30" s="9" t="s">
        <v>27</v>
      </c>
      <c r="B30" s="9" t="s">
        <v>34</v>
      </c>
      <c r="C30" s="9" t="s">
        <v>32</v>
      </c>
      <c r="D30" s="9" t="s">
        <v>35</v>
      </c>
    </row>
    <row r="31" customFormat="false" ht="15" hidden="false" customHeight="false" outlineLevel="0" collapsed="false">
      <c r="A31" s="9" t="s">
        <v>27</v>
      </c>
      <c r="B31" s="9" t="s">
        <v>36</v>
      </c>
      <c r="C31" s="9" t="s">
        <v>32</v>
      </c>
      <c r="D31" s="9" t="s">
        <v>37</v>
      </c>
    </row>
    <row r="32" customFormat="false" ht="15" hidden="false" customHeight="false" outlineLevel="0" collapsed="false">
      <c r="A32" s="9" t="s">
        <v>27</v>
      </c>
      <c r="B32" s="9" t="s">
        <v>38</v>
      </c>
      <c r="C32" s="9" t="s">
        <v>29</v>
      </c>
      <c r="D32" s="9" t="s">
        <v>39</v>
      </c>
    </row>
    <row r="33" customFormat="false" ht="15" hidden="false" customHeight="false" outlineLevel="0" collapsed="false">
      <c r="A33" s="9" t="s">
        <v>27</v>
      </c>
      <c r="B33" s="9" t="s">
        <v>40</v>
      </c>
      <c r="C33" s="9" t="s">
        <v>29</v>
      </c>
      <c r="D33" s="9" t="s">
        <v>41</v>
      </c>
    </row>
    <row r="34" customFormat="false" ht="15" hidden="false" customHeight="false" outlineLevel="0" collapsed="false">
      <c r="A34" s="9" t="s">
        <v>27</v>
      </c>
      <c r="B34" s="9" t="s">
        <v>42</v>
      </c>
      <c r="C34" s="9" t="s">
        <v>29</v>
      </c>
      <c r="D34" s="9" t="s">
        <v>43</v>
      </c>
    </row>
    <row r="35" customFormat="false" ht="15" hidden="false" customHeight="false" outlineLevel="0" collapsed="false">
      <c r="A35" s="9" t="s">
        <v>27</v>
      </c>
      <c r="B35" s="9" t="s">
        <v>44</v>
      </c>
      <c r="C35" s="9" t="s">
        <v>29</v>
      </c>
      <c r="D35" s="9" t="s">
        <v>45</v>
      </c>
    </row>
    <row r="36" customFormat="false" ht="15" hidden="false" customHeight="false" outlineLevel="0" collapsed="false">
      <c r="A36" s="9" t="s">
        <v>27</v>
      </c>
      <c r="B36" s="9" t="s">
        <v>46</v>
      </c>
      <c r="C36" s="9" t="s">
        <v>29</v>
      </c>
      <c r="D36" s="9" t="s">
        <v>47</v>
      </c>
    </row>
    <row r="37" customFormat="false" ht="15" hidden="false" customHeight="false" outlineLevel="0" collapsed="false">
      <c r="A37" s="9" t="s">
        <v>27</v>
      </c>
      <c r="B37" s="9" t="s">
        <v>48</v>
      </c>
      <c r="C37" s="9" t="s">
        <v>29</v>
      </c>
      <c r="D37" s="9" t="s">
        <v>49</v>
      </c>
    </row>
    <row r="38" customFormat="false" ht="15" hidden="false" customHeight="false" outlineLevel="0" collapsed="false">
      <c r="A38" s="9" t="s">
        <v>27</v>
      </c>
      <c r="B38" s="9" t="s">
        <v>50</v>
      </c>
      <c r="C38" s="9" t="s">
        <v>29</v>
      </c>
      <c r="D38" s="9" t="s">
        <v>51</v>
      </c>
    </row>
    <row r="39" customFormat="false" ht="15" hidden="false" customHeight="false" outlineLevel="0" collapsed="false">
      <c r="A39" s="9" t="s">
        <v>27</v>
      </c>
      <c r="B39" s="9" t="s">
        <v>52</v>
      </c>
      <c r="C39" s="9" t="s">
        <v>29</v>
      </c>
      <c r="D39" s="9" t="s">
        <v>53</v>
      </c>
    </row>
    <row r="40" customFormat="false" ht="15" hidden="false" customHeight="false" outlineLevel="0" collapsed="false">
      <c r="A40" s="9" t="s">
        <v>27</v>
      </c>
      <c r="B40" s="9" t="s">
        <v>54</v>
      </c>
      <c r="C40" s="9" t="s">
        <v>29</v>
      </c>
      <c r="D40" s="9" t="s">
        <v>55</v>
      </c>
    </row>
    <row r="41" customFormat="false" ht="15" hidden="false" customHeight="false" outlineLevel="0" collapsed="false">
      <c r="A41" s="9" t="s">
        <v>27</v>
      </c>
      <c r="B41" s="9" t="s">
        <v>56</v>
      </c>
      <c r="C41" s="9" t="s">
        <v>29</v>
      </c>
      <c r="D41" s="9" t="s">
        <v>57</v>
      </c>
    </row>
    <row r="42" customFormat="false" ht="15" hidden="false" customHeight="false" outlineLevel="0" collapsed="false">
      <c r="A42" s="9" t="s">
        <v>27</v>
      </c>
      <c r="B42" s="9" t="s">
        <v>58</v>
      </c>
      <c r="C42" s="9" t="s">
        <v>29</v>
      </c>
      <c r="D42" s="9" t="s">
        <v>59</v>
      </c>
    </row>
    <row r="43" customFormat="false" ht="15" hidden="false" customHeight="false" outlineLevel="0" collapsed="false">
      <c r="A43" s="9" t="s">
        <v>27</v>
      </c>
      <c r="B43" s="9" t="s">
        <v>60</v>
      </c>
      <c r="C43" s="9" t="s">
        <v>29</v>
      </c>
      <c r="D43" s="9" t="s">
        <v>61</v>
      </c>
    </row>
    <row r="44" customFormat="false" ht="15" hidden="false" customHeight="false" outlineLevel="0" collapsed="false">
      <c r="A44" s="9" t="s">
        <v>27</v>
      </c>
      <c r="B44" s="9" t="s">
        <v>62</v>
      </c>
      <c r="C44" s="9" t="s">
        <v>29</v>
      </c>
      <c r="D44" s="9" t="s">
        <v>63</v>
      </c>
    </row>
    <row r="45" customFormat="false" ht="15" hidden="false" customHeight="false" outlineLevel="0" collapsed="false">
      <c r="A45" s="9" t="s">
        <v>27</v>
      </c>
      <c r="B45" s="9" t="s">
        <v>64</v>
      </c>
      <c r="C45" s="9" t="s">
        <v>29</v>
      </c>
      <c r="D45" s="9" t="s">
        <v>65</v>
      </c>
    </row>
    <row r="46" customFormat="false" ht="15" hidden="false" customHeight="false" outlineLevel="0" collapsed="false">
      <c r="A46" s="9" t="s">
        <v>27</v>
      </c>
      <c r="B46" s="9" t="s">
        <v>66</v>
      </c>
      <c r="C46" s="9" t="s">
        <v>29</v>
      </c>
      <c r="D46" s="9" t="s">
        <v>67</v>
      </c>
    </row>
    <row r="47" customFormat="false" ht="15" hidden="false" customHeight="false" outlineLevel="0" collapsed="false">
      <c r="A47" s="9" t="s">
        <v>27</v>
      </c>
      <c r="B47" s="9" t="s">
        <v>68</v>
      </c>
      <c r="C47" s="9" t="s">
        <v>29</v>
      </c>
      <c r="D47" s="9" t="s">
        <v>69</v>
      </c>
    </row>
    <row r="48" customFormat="false" ht="15" hidden="false" customHeight="false" outlineLevel="0" collapsed="false">
      <c r="A48" s="9" t="s">
        <v>27</v>
      </c>
      <c r="B48" s="9" t="s">
        <v>70</v>
      </c>
      <c r="C48" s="9" t="s">
        <v>29</v>
      </c>
      <c r="D48" s="9" t="s">
        <v>71</v>
      </c>
    </row>
    <row r="49" customFormat="false" ht="15" hidden="false" customHeight="false" outlineLevel="0" collapsed="false">
      <c r="A49" s="9" t="s">
        <v>27</v>
      </c>
      <c r="B49" s="9" t="s">
        <v>72</v>
      </c>
      <c r="C49" s="9" t="s">
        <v>29</v>
      </c>
      <c r="D49" s="9" t="s">
        <v>73</v>
      </c>
    </row>
    <row r="50" customFormat="false" ht="15" hidden="false" customHeight="false" outlineLevel="0" collapsed="false">
      <c r="A50" s="9" t="s">
        <v>27</v>
      </c>
      <c r="B50" s="9" t="s">
        <v>74</v>
      </c>
      <c r="C50" s="9" t="s">
        <v>29</v>
      </c>
      <c r="D50" s="9" t="s">
        <v>75</v>
      </c>
    </row>
    <row r="51" customFormat="false" ht="15" hidden="false" customHeight="false" outlineLevel="0" collapsed="false">
      <c r="A51" s="9" t="s">
        <v>27</v>
      </c>
      <c r="B51" s="9" t="s">
        <v>76</v>
      </c>
      <c r="C51" s="9" t="s">
        <v>29</v>
      </c>
      <c r="D51" s="9" t="s">
        <v>77</v>
      </c>
    </row>
    <row r="52" customFormat="false" ht="15" hidden="false" customHeight="false" outlineLevel="0" collapsed="false">
      <c r="A52" s="9" t="s">
        <v>78</v>
      </c>
      <c r="B52" s="9" t="s">
        <v>79</v>
      </c>
      <c r="C52" s="9" t="s">
        <v>29</v>
      </c>
      <c r="D52" s="9" t="s">
        <v>80</v>
      </c>
    </row>
    <row r="53" customFormat="false" ht="15" hidden="false" customHeight="false" outlineLevel="0" collapsed="false">
      <c r="A53" s="9" t="s">
        <v>78</v>
      </c>
      <c r="B53" s="9" t="s">
        <v>28</v>
      </c>
      <c r="C53" s="9" t="s">
        <v>32</v>
      </c>
      <c r="D53" s="9" t="s">
        <v>81</v>
      </c>
    </row>
    <row r="54" customFormat="false" ht="15" hidden="false" customHeight="false" outlineLevel="0" collapsed="false">
      <c r="A54" s="9" t="s">
        <v>78</v>
      </c>
      <c r="B54" s="9" t="s">
        <v>36</v>
      </c>
      <c r="C54" s="9" t="s">
        <v>32</v>
      </c>
      <c r="D54" s="9" t="s">
        <v>82</v>
      </c>
    </row>
    <row r="55" customFormat="false" ht="15" hidden="false" customHeight="false" outlineLevel="0" collapsed="false">
      <c r="A55" s="9" t="s">
        <v>78</v>
      </c>
      <c r="B55" s="9" t="s">
        <v>83</v>
      </c>
      <c r="C55" s="9" t="s">
        <v>29</v>
      </c>
      <c r="D55" s="9" t="s">
        <v>84</v>
      </c>
    </row>
    <row r="56" customFormat="false" ht="15" hidden="false" customHeight="false" outlineLevel="0" collapsed="false">
      <c r="A56" s="9" t="s">
        <v>78</v>
      </c>
      <c r="B56" s="9" t="s">
        <v>85</v>
      </c>
      <c r="C56" s="9" t="s">
        <v>29</v>
      </c>
      <c r="D56" s="9" t="s">
        <v>86</v>
      </c>
    </row>
    <row r="57" customFormat="false" ht="15" hidden="false" customHeight="false" outlineLevel="0" collapsed="false">
      <c r="A57" s="9" t="s">
        <v>78</v>
      </c>
      <c r="B57" s="9" t="s">
        <v>87</v>
      </c>
      <c r="C57" s="9" t="s">
        <v>29</v>
      </c>
      <c r="D57" s="9" t="s">
        <v>88</v>
      </c>
    </row>
    <row r="58" customFormat="false" ht="15" hidden="false" customHeight="false" outlineLevel="0" collapsed="false">
      <c r="A58" s="9" t="s">
        <v>78</v>
      </c>
      <c r="B58" s="9" t="s">
        <v>89</v>
      </c>
      <c r="C58" s="9" t="s">
        <v>29</v>
      </c>
      <c r="D58" s="9" t="s">
        <v>90</v>
      </c>
    </row>
    <row r="59" customFormat="false" ht="15" hidden="false" customHeight="false" outlineLevel="0" collapsed="false">
      <c r="A59" s="9" t="s">
        <v>78</v>
      </c>
      <c r="B59" s="9" t="s">
        <v>91</v>
      </c>
      <c r="C59" s="9" t="s">
        <v>29</v>
      </c>
      <c r="D59" s="9" t="s">
        <v>92</v>
      </c>
    </row>
    <row r="60" customFormat="false" ht="15" hidden="false" customHeight="false" outlineLevel="0" collapsed="false">
      <c r="A60" s="9" t="s">
        <v>78</v>
      </c>
      <c r="B60" s="9" t="s">
        <v>93</v>
      </c>
      <c r="C60" s="9" t="s">
        <v>29</v>
      </c>
      <c r="D60" s="9" t="s">
        <v>94</v>
      </c>
    </row>
    <row r="61" customFormat="false" ht="15" hidden="false" customHeight="false" outlineLevel="0" collapsed="false">
      <c r="A61" s="9" t="s">
        <v>78</v>
      </c>
      <c r="B61" s="9" t="s">
        <v>95</v>
      </c>
      <c r="C61" s="9" t="s">
        <v>29</v>
      </c>
      <c r="D61" s="9" t="s">
        <v>96</v>
      </c>
    </row>
    <row r="62" customFormat="false" ht="15" hidden="false" customHeight="false" outlineLevel="0" collapsed="false">
      <c r="A62" s="9" t="s">
        <v>78</v>
      </c>
      <c r="B62" s="9" t="s">
        <v>97</v>
      </c>
      <c r="C62" s="9" t="s">
        <v>29</v>
      </c>
      <c r="D62" s="9" t="s">
        <v>98</v>
      </c>
    </row>
    <row r="63" customFormat="false" ht="15" hidden="false" customHeight="false" outlineLevel="0" collapsed="false">
      <c r="A63" s="9" t="s">
        <v>78</v>
      </c>
      <c r="B63" s="9" t="s">
        <v>99</v>
      </c>
      <c r="C63" s="9" t="s">
        <v>29</v>
      </c>
      <c r="D63" s="9" t="s">
        <v>100</v>
      </c>
    </row>
    <row r="64" customFormat="false" ht="15" hidden="false" customHeight="false" outlineLevel="0" collapsed="false">
      <c r="A64" s="9" t="s">
        <v>78</v>
      </c>
      <c r="B64" s="9" t="s">
        <v>101</v>
      </c>
      <c r="C64" s="9" t="s">
        <v>29</v>
      </c>
      <c r="D64" s="9" t="s">
        <v>102</v>
      </c>
    </row>
    <row r="65" customFormat="false" ht="15" hidden="false" customHeight="false" outlineLevel="0" collapsed="false">
      <c r="A65" s="9" t="s">
        <v>78</v>
      </c>
      <c r="B65" s="9" t="s">
        <v>103</v>
      </c>
      <c r="C65" s="9" t="s">
        <v>29</v>
      </c>
      <c r="D65" s="9" t="s">
        <v>104</v>
      </c>
    </row>
    <row r="66" customFormat="false" ht="15" hidden="false" customHeight="false" outlineLevel="0" collapsed="false">
      <c r="A66" s="9" t="s">
        <v>78</v>
      </c>
      <c r="B66" s="9" t="s">
        <v>76</v>
      </c>
      <c r="C66" s="9" t="s">
        <v>29</v>
      </c>
      <c r="D66" s="9" t="s">
        <v>77</v>
      </c>
    </row>
    <row r="67" customFormat="false" ht="15" hidden="false" customHeight="false" outlineLevel="0" collapsed="false">
      <c r="A67" s="9" t="s">
        <v>105</v>
      </c>
      <c r="B67" s="9" t="s">
        <v>79</v>
      </c>
      <c r="C67" s="9" t="s">
        <v>29</v>
      </c>
      <c r="D67" s="9" t="s">
        <v>106</v>
      </c>
    </row>
    <row r="68" customFormat="false" ht="15" hidden="false" customHeight="false" outlineLevel="0" collapsed="false">
      <c r="A68" s="9" t="s">
        <v>105</v>
      </c>
      <c r="B68" s="9" t="s">
        <v>28</v>
      </c>
      <c r="C68" s="9" t="s">
        <v>32</v>
      </c>
      <c r="D68" s="9" t="s">
        <v>107</v>
      </c>
    </row>
    <row r="69" customFormat="false" ht="15" hidden="false" customHeight="false" outlineLevel="0" collapsed="false">
      <c r="A69" s="9" t="s">
        <v>105</v>
      </c>
      <c r="B69" s="9" t="s">
        <v>36</v>
      </c>
      <c r="C69" s="9" t="s">
        <v>32</v>
      </c>
      <c r="D69" s="9" t="s">
        <v>82</v>
      </c>
    </row>
    <row r="70" customFormat="false" ht="15" hidden="false" customHeight="false" outlineLevel="0" collapsed="false">
      <c r="A70" s="9" t="s">
        <v>105</v>
      </c>
      <c r="B70" s="9" t="s">
        <v>108</v>
      </c>
      <c r="C70" s="9" t="s">
        <v>29</v>
      </c>
      <c r="D70" s="9" t="s">
        <v>109</v>
      </c>
    </row>
    <row r="71" customFormat="false" ht="15" hidden="false" customHeight="false" outlineLevel="0" collapsed="false">
      <c r="A71" s="9" t="s">
        <v>105</v>
      </c>
      <c r="B71" s="9" t="s">
        <v>110</v>
      </c>
      <c r="C71" s="9" t="s">
        <v>29</v>
      </c>
      <c r="D71" s="9" t="s">
        <v>111</v>
      </c>
    </row>
    <row r="72" customFormat="false" ht="15" hidden="false" customHeight="false" outlineLevel="0" collapsed="false">
      <c r="A72" s="9" t="s">
        <v>105</v>
      </c>
      <c r="B72" s="9" t="s">
        <v>26</v>
      </c>
      <c r="C72" s="9" t="s">
        <v>29</v>
      </c>
      <c r="D72" s="9" t="s">
        <v>112</v>
      </c>
    </row>
    <row r="73" customFormat="false" ht="15" hidden="false" customHeight="false" outlineLevel="0" collapsed="false">
      <c r="A73" s="9" t="s">
        <v>105</v>
      </c>
      <c r="B73" s="9" t="s">
        <v>93</v>
      </c>
      <c r="C73" s="9" t="s">
        <v>29</v>
      </c>
      <c r="D73" s="9" t="s">
        <v>113</v>
      </c>
    </row>
    <row r="74" customFormat="false" ht="15" hidden="false" customHeight="false" outlineLevel="0" collapsed="false">
      <c r="A74" s="9" t="s">
        <v>105</v>
      </c>
      <c r="B74" s="9" t="s">
        <v>114</v>
      </c>
      <c r="C74" s="9" t="s">
        <v>29</v>
      </c>
      <c r="D74" s="9" t="s">
        <v>102</v>
      </c>
    </row>
    <row r="75" customFormat="false" ht="15" hidden="false" customHeight="false" outlineLevel="0" collapsed="false">
      <c r="A75" s="9" t="s">
        <v>105</v>
      </c>
      <c r="B75" s="9" t="s">
        <v>115</v>
      </c>
      <c r="C75" s="9" t="s">
        <v>29</v>
      </c>
      <c r="D75" s="9" t="s">
        <v>116</v>
      </c>
    </row>
    <row r="76" customFormat="false" ht="15" hidden="false" customHeight="false" outlineLevel="0" collapsed="false">
      <c r="A76" s="9" t="s">
        <v>105</v>
      </c>
      <c r="B76" s="9" t="s">
        <v>117</v>
      </c>
      <c r="C76" s="9" t="s">
        <v>29</v>
      </c>
      <c r="D76" s="9" t="s">
        <v>118</v>
      </c>
    </row>
    <row r="77" customFormat="false" ht="15" hidden="false" customHeight="false" outlineLevel="0" collapsed="false">
      <c r="A77" s="9" t="s">
        <v>105</v>
      </c>
      <c r="B77" s="9" t="s">
        <v>76</v>
      </c>
      <c r="C77" s="9" t="s">
        <v>29</v>
      </c>
      <c r="D77" s="9" t="s">
        <v>77</v>
      </c>
    </row>
    <row r="78" customFormat="false" ht="15" hidden="false" customHeight="false" outlineLevel="0" collapsed="false">
      <c r="A78" s="9" t="s">
        <v>119</v>
      </c>
      <c r="B78" s="9" t="s">
        <v>28</v>
      </c>
      <c r="C78" s="9" t="s">
        <v>29</v>
      </c>
      <c r="D78" s="9" t="s">
        <v>120</v>
      </c>
    </row>
    <row r="79" customFormat="false" ht="15" hidden="false" customHeight="false" outlineLevel="0" collapsed="false">
      <c r="A79" s="9" t="s">
        <v>119</v>
      </c>
      <c r="B79" s="9" t="s">
        <v>121</v>
      </c>
      <c r="C79" s="9" t="s">
        <v>29</v>
      </c>
      <c r="D79" s="9" t="s">
        <v>122</v>
      </c>
    </row>
    <row r="80" customFormat="false" ht="15" hidden="false" customHeight="false" outlineLevel="0" collapsed="false">
      <c r="A80" s="9" t="s">
        <v>119</v>
      </c>
      <c r="B80" s="9" t="s">
        <v>123</v>
      </c>
      <c r="C80" s="9" t="s">
        <v>29</v>
      </c>
      <c r="D80" s="9" t="s">
        <v>124</v>
      </c>
    </row>
    <row r="81" customFormat="false" ht="15" hidden="false" customHeight="false" outlineLevel="0" collapsed="false">
      <c r="A81" s="9" t="s">
        <v>125</v>
      </c>
      <c r="B81" s="9" t="s">
        <v>28</v>
      </c>
      <c r="C81" s="9" t="s">
        <v>29</v>
      </c>
      <c r="D81" s="9" t="s">
        <v>126</v>
      </c>
    </row>
    <row r="82" customFormat="false" ht="15" hidden="false" customHeight="false" outlineLevel="0" collapsed="false">
      <c r="A82" s="9" t="s">
        <v>125</v>
      </c>
      <c r="B82" s="9" t="s">
        <v>127</v>
      </c>
      <c r="C82" s="9" t="s">
        <v>29</v>
      </c>
      <c r="D82" s="9" t="s">
        <v>128</v>
      </c>
    </row>
    <row r="83" customFormat="false" ht="15" hidden="false" customHeight="false" outlineLevel="0" collapsed="false">
      <c r="A83" s="9" t="s">
        <v>125</v>
      </c>
      <c r="B83" s="9" t="s">
        <v>129</v>
      </c>
      <c r="C83" s="9" t="s">
        <v>29</v>
      </c>
      <c r="D83" s="9" t="s">
        <v>130</v>
      </c>
    </row>
    <row r="84" customFormat="false" ht="15" hidden="false" customHeight="false" outlineLevel="0" collapsed="false">
      <c r="A84" s="9" t="s">
        <v>125</v>
      </c>
      <c r="B84" s="9" t="s">
        <v>131</v>
      </c>
      <c r="C84" s="9" t="s">
        <v>29</v>
      </c>
      <c r="D84" s="9" t="s">
        <v>130</v>
      </c>
    </row>
    <row r="85" customFormat="false" ht="15" hidden="false" customHeight="false" outlineLevel="0" collapsed="false">
      <c r="A85" s="9" t="s">
        <v>125</v>
      </c>
      <c r="B85" s="9" t="s">
        <v>132</v>
      </c>
      <c r="C85" s="9" t="s">
        <v>29</v>
      </c>
      <c r="D85" s="9" t="s">
        <v>133</v>
      </c>
    </row>
    <row r="86" customFormat="false" ht="15" hidden="false" customHeight="false" outlineLevel="0" collapsed="false">
      <c r="A86" s="9" t="s">
        <v>125</v>
      </c>
      <c r="B86" s="9" t="s">
        <v>134</v>
      </c>
      <c r="C86" s="9" t="s">
        <v>29</v>
      </c>
      <c r="D86" s="9" t="s">
        <v>133</v>
      </c>
    </row>
    <row r="87" customFormat="false" ht="15" hidden="false" customHeight="false" outlineLevel="0" collapsed="false">
      <c r="A87" s="9" t="s">
        <v>125</v>
      </c>
      <c r="B87" s="9" t="s">
        <v>135</v>
      </c>
      <c r="C87" s="9" t="s">
        <v>29</v>
      </c>
      <c r="D87" s="9" t="s">
        <v>133</v>
      </c>
    </row>
    <row r="88" customFormat="false" ht="15" hidden="false" customHeight="false" outlineLevel="0" collapsed="false">
      <c r="A88" s="9" t="s">
        <v>125</v>
      </c>
      <c r="B88" s="9" t="s">
        <v>136</v>
      </c>
      <c r="C88" s="9" t="s">
        <v>29</v>
      </c>
      <c r="D88" s="9" t="s">
        <v>137</v>
      </c>
    </row>
    <row r="89" customFormat="false" ht="15" hidden="false" customHeight="false" outlineLevel="0" collapsed="false">
      <c r="A89" s="9" t="s">
        <v>125</v>
      </c>
      <c r="B89" s="9" t="s">
        <v>138</v>
      </c>
      <c r="C89" s="9" t="s">
        <v>29</v>
      </c>
      <c r="D89" s="9" t="s">
        <v>139</v>
      </c>
    </row>
    <row r="90" customFormat="false" ht="15" hidden="false" customHeight="false" outlineLevel="0" collapsed="false">
      <c r="A90" s="9" t="s">
        <v>125</v>
      </c>
      <c r="B90" s="9" t="s">
        <v>140</v>
      </c>
      <c r="C90" s="9" t="s">
        <v>29</v>
      </c>
      <c r="D90" s="9" t="s">
        <v>141</v>
      </c>
    </row>
    <row r="91" customFormat="false" ht="15" hidden="false" customHeight="false" outlineLevel="0" collapsed="false">
      <c r="A91" s="9" t="s">
        <v>125</v>
      </c>
      <c r="B91" s="9" t="s">
        <v>142</v>
      </c>
      <c r="C91" s="9" t="s">
        <v>29</v>
      </c>
      <c r="D91" s="9" t="s">
        <v>143</v>
      </c>
    </row>
    <row r="92" customFormat="false" ht="15" hidden="false" customHeight="false" outlineLevel="0" collapsed="false">
      <c r="A92" s="9" t="s">
        <v>125</v>
      </c>
      <c r="B92" s="9" t="s">
        <v>144</v>
      </c>
      <c r="C92" s="9" t="s">
        <v>29</v>
      </c>
      <c r="D92" s="9" t="s">
        <v>145</v>
      </c>
    </row>
    <row r="93" customFormat="false" ht="15" hidden="false" customHeight="false" outlineLevel="0" collapsed="false">
      <c r="A93" s="9" t="s">
        <v>125</v>
      </c>
      <c r="B93" s="9" t="s">
        <v>146</v>
      </c>
      <c r="C93" s="9" t="s">
        <v>29</v>
      </c>
      <c r="D93" s="9" t="s">
        <v>147</v>
      </c>
    </row>
    <row r="94" customFormat="false" ht="15" hidden="false" customHeight="false" outlineLevel="0" collapsed="false">
      <c r="A94" s="9" t="s">
        <v>125</v>
      </c>
      <c r="B94" s="9" t="s">
        <v>148</v>
      </c>
      <c r="C94" s="9" t="s">
        <v>29</v>
      </c>
      <c r="D94" s="9" t="s">
        <v>147</v>
      </c>
    </row>
    <row r="95" customFormat="false" ht="15" hidden="false" customHeight="false" outlineLevel="0" collapsed="false">
      <c r="A95" s="9" t="s">
        <v>149</v>
      </c>
      <c r="B95" s="9" t="s">
        <v>28</v>
      </c>
      <c r="C95" s="9" t="s">
        <v>29</v>
      </c>
      <c r="D95" s="9" t="s">
        <v>150</v>
      </c>
    </row>
    <row r="96" customFormat="false" ht="15" hidden="false" customHeight="false" outlineLevel="0" collapsed="false">
      <c r="A96" s="9" t="s">
        <v>149</v>
      </c>
      <c r="B96" s="9" t="s">
        <v>151</v>
      </c>
      <c r="C96" s="9" t="s">
        <v>32</v>
      </c>
      <c r="D96" s="9" t="s">
        <v>152</v>
      </c>
    </row>
    <row r="97" customFormat="false" ht="15" hidden="false" customHeight="false" outlineLevel="0" collapsed="false">
      <c r="A97" s="9" t="s">
        <v>149</v>
      </c>
      <c r="B97" s="9" t="s">
        <v>153</v>
      </c>
      <c r="C97" s="9" t="s">
        <v>29</v>
      </c>
      <c r="D97" s="9" t="s">
        <v>154</v>
      </c>
    </row>
    <row r="98" customFormat="false" ht="15" hidden="false" customHeight="false" outlineLevel="0" collapsed="false">
      <c r="A98" s="9" t="s">
        <v>149</v>
      </c>
      <c r="B98" s="9" t="s">
        <v>155</v>
      </c>
      <c r="C98" s="9" t="s">
        <v>29</v>
      </c>
      <c r="D98" s="9" t="s">
        <v>156</v>
      </c>
    </row>
    <row r="99" customFormat="false" ht="15" hidden="false" customHeight="false" outlineLevel="0" collapsed="false">
      <c r="A99" s="9" t="s">
        <v>149</v>
      </c>
      <c r="B99" s="9" t="s">
        <v>157</v>
      </c>
      <c r="C99" s="9" t="s">
        <v>29</v>
      </c>
      <c r="D99" s="9" t="s">
        <v>158</v>
      </c>
    </row>
    <row r="100" customFormat="false" ht="15" hidden="false" customHeight="false" outlineLevel="0" collapsed="false">
      <c r="A100" s="9" t="s">
        <v>149</v>
      </c>
      <c r="B100" s="9" t="s">
        <v>159</v>
      </c>
      <c r="C100" s="9" t="s">
        <v>29</v>
      </c>
      <c r="D100" s="9" t="s">
        <v>160</v>
      </c>
    </row>
    <row r="101" customFormat="false" ht="15" hidden="false" customHeight="false" outlineLevel="0" collapsed="false">
      <c r="A101" s="9" t="s">
        <v>149</v>
      </c>
      <c r="B101" s="9" t="s">
        <v>161</v>
      </c>
      <c r="C101" s="9" t="s">
        <v>29</v>
      </c>
      <c r="D101" s="9" t="s">
        <v>162</v>
      </c>
    </row>
    <row r="102" customFormat="false" ht="15" hidden="false" customHeight="false" outlineLevel="0" collapsed="false">
      <c r="A102" s="9" t="s">
        <v>149</v>
      </c>
      <c r="B102" s="9" t="s">
        <v>163</v>
      </c>
      <c r="C102" s="9" t="s">
        <v>29</v>
      </c>
      <c r="D102" s="9" t="s">
        <v>164</v>
      </c>
    </row>
    <row r="103" customFormat="false" ht="15" hidden="false" customHeight="false" outlineLevel="0" collapsed="false">
      <c r="A103" s="9" t="s">
        <v>149</v>
      </c>
      <c r="B103" s="9" t="s">
        <v>165</v>
      </c>
      <c r="C103" s="9" t="s">
        <v>29</v>
      </c>
      <c r="D103" s="9" t="s">
        <v>166</v>
      </c>
    </row>
    <row r="104" customFormat="false" ht="15" hidden="false" customHeight="false" outlineLevel="0" collapsed="false">
      <c r="A104" s="9" t="s">
        <v>149</v>
      </c>
      <c r="B104" s="9" t="s">
        <v>167</v>
      </c>
      <c r="C104" s="9" t="s">
        <v>29</v>
      </c>
      <c r="D104" s="9" t="s">
        <v>168</v>
      </c>
    </row>
    <row r="105" customFormat="false" ht="15" hidden="false" customHeight="false" outlineLevel="0" collapsed="false">
      <c r="A105" s="9" t="s">
        <v>149</v>
      </c>
      <c r="B105" s="9" t="s">
        <v>114</v>
      </c>
      <c r="C105" s="9" t="s">
        <v>29</v>
      </c>
      <c r="D105" s="9" t="s">
        <v>169</v>
      </c>
    </row>
    <row r="106" customFormat="false" ht="15" hidden="false" customHeight="false" outlineLevel="0" collapsed="false">
      <c r="A106" s="9" t="s">
        <v>149</v>
      </c>
      <c r="B106" s="9" t="s">
        <v>170</v>
      </c>
      <c r="C106" s="9" t="s">
        <v>32</v>
      </c>
      <c r="D106" s="9" t="s">
        <v>171</v>
      </c>
    </row>
    <row r="107" customFormat="false" ht="15" hidden="false" customHeight="false" outlineLevel="0" collapsed="false">
      <c r="A107" s="9" t="s">
        <v>172</v>
      </c>
      <c r="B107" s="9" t="s">
        <v>28</v>
      </c>
      <c r="C107" s="9" t="s">
        <v>32</v>
      </c>
      <c r="D107" s="9" t="s">
        <v>173</v>
      </c>
    </row>
    <row r="108" customFormat="false" ht="15" hidden="false" customHeight="false" outlineLevel="0" collapsed="false">
      <c r="A108" s="9" t="s">
        <v>172</v>
      </c>
      <c r="B108" s="9" t="s">
        <v>31</v>
      </c>
      <c r="C108" s="9" t="s">
        <v>32</v>
      </c>
      <c r="D108" s="9" t="s">
        <v>173</v>
      </c>
    </row>
    <row r="109" customFormat="false" ht="15" hidden="false" customHeight="false" outlineLevel="0" collapsed="false">
      <c r="A109" s="9" t="s">
        <v>172</v>
      </c>
      <c r="B109" s="9" t="s">
        <v>34</v>
      </c>
      <c r="C109" s="9" t="s">
        <v>32</v>
      </c>
      <c r="D109" s="9" t="s">
        <v>173</v>
      </c>
    </row>
    <row r="110" customFormat="false" ht="15" hidden="false" customHeight="false" outlineLevel="0" collapsed="false">
      <c r="A110" s="9" t="s">
        <v>172</v>
      </c>
      <c r="B110" s="9" t="s">
        <v>36</v>
      </c>
      <c r="C110" s="9" t="s">
        <v>32</v>
      </c>
      <c r="D110" s="9" t="s">
        <v>173</v>
      </c>
    </row>
    <row r="111" customFormat="false" ht="15" hidden="false" customHeight="false" outlineLevel="0" collapsed="false">
      <c r="A111" s="9" t="s">
        <v>172</v>
      </c>
      <c r="B111" s="9" t="s">
        <v>38</v>
      </c>
      <c r="C111" s="9" t="s">
        <v>32</v>
      </c>
      <c r="D111" s="9" t="s">
        <v>173</v>
      </c>
    </row>
    <row r="112" customFormat="false" ht="15" hidden="false" customHeight="false" outlineLevel="0" collapsed="false">
      <c r="A112" s="9" t="s">
        <v>172</v>
      </c>
      <c r="B112" s="9" t="s">
        <v>40</v>
      </c>
      <c r="C112" s="9" t="s">
        <v>32</v>
      </c>
      <c r="D112" s="9" t="s">
        <v>173</v>
      </c>
    </row>
    <row r="113" customFormat="false" ht="15" hidden="false" customHeight="false" outlineLevel="0" collapsed="false">
      <c r="A113" s="9" t="s">
        <v>172</v>
      </c>
      <c r="B113" s="9" t="s">
        <v>42</v>
      </c>
      <c r="C113" s="9" t="s">
        <v>32</v>
      </c>
      <c r="D113" s="9" t="s">
        <v>173</v>
      </c>
    </row>
    <row r="114" customFormat="false" ht="15" hidden="false" customHeight="false" outlineLevel="0" collapsed="false">
      <c r="A114" s="9" t="s">
        <v>172</v>
      </c>
      <c r="B114" s="9" t="s">
        <v>174</v>
      </c>
      <c r="C114" s="9" t="s">
        <v>32</v>
      </c>
      <c r="D114" s="9" t="s">
        <v>173</v>
      </c>
    </row>
    <row r="115" customFormat="false" ht="15" hidden="false" customHeight="false" outlineLevel="0" collapsed="false">
      <c r="A115" s="9" t="s">
        <v>172</v>
      </c>
      <c r="B115" s="9" t="s">
        <v>175</v>
      </c>
      <c r="C115" s="9" t="s">
        <v>32</v>
      </c>
      <c r="D115" s="9" t="s">
        <v>173</v>
      </c>
    </row>
    <row r="116" customFormat="false" ht="15" hidden="false" customHeight="false" outlineLevel="0" collapsed="false">
      <c r="A116" s="9" t="s">
        <v>172</v>
      </c>
      <c r="B116" s="9" t="s">
        <v>176</v>
      </c>
      <c r="C116" s="9" t="s">
        <v>32</v>
      </c>
      <c r="D116" s="9" t="s">
        <v>173</v>
      </c>
    </row>
    <row r="117" customFormat="false" ht="15" hidden="false" customHeight="false" outlineLevel="0" collapsed="false">
      <c r="A117" s="9" t="s">
        <v>172</v>
      </c>
      <c r="B117" s="9" t="s">
        <v>177</v>
      </c>
      <c r="C117" s="9" t="s">
        <v>32</v>
      </c>
      <c r="D117" s="9" t="s">
        <v>173</v>
      </c>
    </row>
    <row r="118" customFormat="false" ht="15" hidden="false" customHeight="false" outlineLevel="0" collapsed="false">
      <c r="A118" s="9" t="s">
        <v>172</v>
      </c>
      <c r="B118" s="9" t="s">
        <v>178</v>
      </c>
      <c r="C118" s="9" t="s">
        <v>32</v>
      </c>
      <c r="D118" s="9" t="s">
        <v>173</v>
      </c>
    </row>
    <row r="119" customFormat="false" ht="15" hidden="false" customHeight="false" outlineLevel="0" collapsed="false">
      <c r="A119" s="9" t="s">
        <v>172</v>
      </c>
      <c r="B119" s="9" t="s">
        <v>179</v>
      </c>
      <c r="C119" s="9" t="s">
        <v>32</v>
      </c>
      <c r="D119" s="9" t="s">
        <v>173</v>
      </c>
    </row>
    <row r="120" customFormat="false" ht="15" hidden="false" customHeight="false" outlineLevel="0" collapsed="false">
      <c r="A120" s="9" t="s">
        <v>172</v>
      </c>
      <c r="B120" s="9" t="s">
        <v>180</v>
      </c>
      <c r="C120" s="9" t="s">
        <v>32</v>
      </c>
      <c r="D120" s="9" t="s">
        <v>173</v>
      </c>
    </row>
    <row r="121" customFormat="false" ht="15" hidden="false" customHeight="false" outlineLevel="0" collapsed="false">
      <c r="A121" s="9" t="s">
        <v>172</v>
      </c>
      <c r="B121" s="9" t="s">
        <v>181</v>
      </c>
      <c r="C121" s="9" t="s">
        <v>32</v>
      </c>
      <c r="D121" s="9" t="s">
        <v>173</v>
      </c>
    </row>
    <row r="122" customFormat="false" ht="15" hidden="false" customHeight="false" outlineLevel="0" collapsed="false">
      <c r="A122" s="9" t="s">
        <v>172</v>
      </c>
      <c r="B122" s="9" t="s">
        <v>182</v>
      </c>
      <c r="C122" s="9" t="s">
        <v>32</v>
      </c>
      <c r="D122" s="9" t="s">
        <v>173</v>
      </c>
    </row>
    <row r="123" customFormat="false" ht="15" hidden="false" customHeight="false" outlineLevel="0" collapsed="false">
      <c r="A123" s="9" t="s">
        <v>172</v>
      </c>
      <c r="B123" s="9" t="s">
        <v>183</v>
      </c>
      <c r="C123" s="9" t="s">
        <v>32</v>
      </c>
      <c r="D123" s="9" t="s">
        <v>173</v>
      </c>
    </row>
    <row r="124" customFormat="false" ht="15" hidden="false" customHeight="false" outlineLevel="0" collapsed="false">
      <c r="A124" s="9" t="s">
        <v>172</v>
      </c>
      <c r="B124" s="9" t="s">
        <v>184</v>
      </c>
      <c r="C124" s="9" t="s">
        <v>32</v>
      </c>
      <c r="D124" s="9" t="s">
        <v>173</v>
      </c>
    </row>
    <row r="125" customFormat="false" ht="15" hidden="false" customHeight="false" outlineLevel="0" collapsed="false">
      <c r="A125" s="9" t="s">
        <v>172</v>
      </c>
      <c r="B125" s="9" t="s">
        <v>185</v>
      </c>
      <c r="C125" s="9" t="s">
        <v>32</v>
      </c>
      <c r="D125" s="9" t="s">
        <v>173</v>
      </c>
    </row>
    <row r="126" customFormat="false" ht="15" hidden="false" customHeight="false" outlineLevel="0" collapsed="false">
      <c r="A126" s="9" t="s">
        <v>172</v>
      </c>
      <c r="B126" s="9" t="s">
        <v>58</v>
      </c>
      <c r="C126" s="9" t="s">
        <v>32</v>
      </c>
      <c r="D126" s="9" t="s">
        <v>173</v>
      </c>
    </row>
    <row r="127" customFormat="false" ht="15" hidden="false" customHeight="false" outlineLevel="0" collapsed="false">
      <c r="A127" s="9" t="s">
        <v>172</v>
      </c>
      <c r="B127" s="9" t="s">
        <v>186</v>
      </c>
      <c r="C127" s="9" t="s">
        <v>32</v>
      </c>
      <c r="D127" s="9" t="s">
        <v>173</v>
      </c>
    </row>
    <row r="128" customFormat="false" ht="15" hidden="false" customHeight="false" outlineLevel="0" collapsed="false">
      <c r="A128" s="9" t="s">
        <v>172</v>
      </c>
      <c r="B128" s="9" t="s">
        <v>187</v>
      </c>
      <c r="C128" s="9" t="s">
        <v>32</v>
      </c>
      <c r="D128" s="9" t="s">
        <v>173</v>
      </c>
    </row>
    <row r="129" customFormat="false" ht="15" hidden="false" customHeight="false" outlineLevel="0" collapsed="false">
      <c r="A129" s="9" t="s">
        <v>172</v>
      </c>
      <c r="B129" s="9" t="s">
        <v>188</v>
      </c>
      <c r="C129" s="9" t="s">
        <v>32</v>
      </c>
      <c r="D129" s="9" t="s">
        <v>173</v>
      </c>
    </row>
    <row r="130" customFormat="false" ht="15" hidden="false" customHeight="false" outlineLevel="0" collapsed="false">
      <c r="A130" s="9" t="s">
        <v>172</v>
      </c>
      <c r="B130" s="9" t="s">
        <v>189</v>
      </c>
      <c r="C130" s="9" t="s">
        <v>32</v>
      </c>
      <c r="D130" s="9" t="s">
        <v>173</v>
      </c>
    </row>
    <row r="131" customFormat="false" ht="15" hidden="false" customHeight="false" outlineLevel="0" collapsed="false">
      <c r="A131" s="9" t="s">
        <v>172</v>
      </c>
      <c r="B131" s="9" t="s">
        <v>190</v>
      </c>
      <c r="C131" s="9" t="s">
        <v>32</v>
      </c>
      <c r="D131" s="9" t="s">
        <v>173</v>
      </c>
    </row>
    <row r="132" customFormat="false" ht="15" hidden="false" customHeight="false" outlineLevel="0" collapsed="false">
      <c r="A132" s="9" t="s">
        <v>172</v>
      </c>
      <c r="B132" s="9" t="s">
        <v>191</v>
      </c>
      <c r="C132" s="9" t="s">
        <v>32</v>
      </c>
      <c r="D132" s="9" t="s">
        <v>173</v>
      </c>
    </row>
    <row r="133" customFormat="false" ht="15" hidden="false" customHeight="false" outlineLevel="0" collapsed="false">
      <c r="A133" s="9" t="s">
        <v>172</v>
      </c>
      <c r="B133" s="9" t="s">
        <v>192</v>
      </c>
      <c r="C133" s="9" t="s">
        <v>32</v>
      </c>
      <c r="D133" s="9" t="s">
        <v>173</v>
      </c>
    </row>
    <row r="134" customFormat="false" ht="15" hidden="false" customHeight="false" outlineLevel="0" collapsed="false">
      <c r="A134" s="9" t="s">
        <v>172</v>
      </c>
      <c r="B134" s="9" t="s">
        <v>193</v>
      </c>
      <c r="C134" s="9" t="s">
        <v>32</v>
      </c>
      <c r="D134" s="9" t="s">
        <v>173</v>
      </c>
    </row>
    <row r="135" customFormat="false" ht="15" hidden="false" customHeight="false" outlineLevel="0" collapsed="false">
      <c r="A135" s="9" t="s">
        <v>172</v>
      </c>
      <c r="B135" s="9" t="s">
        <v>194</v>
      </c>
      <c r="C135" s="9" t="s">
        <v>32</v>
      </c>
      <c r="D135" s="9" t="s">
        <v>173</v>
      </c>
    </row>
    <row r="136" customFormat="false" ht="15" hidden="false" customHeight="false" outlineLevel="0" collapsed="false">
      <c r="A136" s="9" t="s">
        <v>172</v>
      </c>
      <c r="B136" s="9" t="s">
        <v>195</v>
      </c>
      <c r="C136" s="9" t="s">
        <v>32</v>
      </c>
      <c r="D136" s="9" t="s">
        <v>173</v>
      </c>
    </row>
    <row r="137" customFormat="false" ht="15" hidden="false" customHeight="false" outlineLevel="0" collapsed="false">
      <c r="A137" s="9" t="s">
        <v>172</v>
      </c>
      <c r="B137" s="9" t="s">
        <v>196</v>
      </c>
      <c r="C137" s="9" t="s">
        <v>32</v>
      </c>
      <c r="D137" s="9" t="s">
        <v>173</v>
      </c>
    </row>
    <row r="138" customFormat="false" ht="15" hidden="false" customHeight="false" outlineLevel="0" collapsed="false">
      <c r="A138" s="9" t="s">
        <v>172</v>
      </c>
      <c r="B138" s="9" t="s">
        <v>94</v>
      </c>
      <c r="C138" s="9" t="s">
        <v>32</v>
      </c>
      <c r="D138" s="9" t="s">
        <v>173</v>
      </c>
    </row>
    <row r="139" customFormat="false" ht="15" hidden="false" customHeight="false" outlineLevel="0" collapsed="false">
      <c r="A139" s="9" t="s">
        <v>172</v>
      </c>
      <c r="B139" s="9" t="s">
        <v>197</v>
      </c>
      <c r="C139" s="9" t="s">
        <v>32</v>
      </c>
      <c r="D139" s="9" t="s">
        <v>173</v>
      </c>
    </row>
    <row r="140" customFormat="false" ht="15" hidden="false" customHeight="false" outlineLevel="0" collapsed="false">
      <c r="A140" s="9" t="s">
        <v>172</v>
      </c>
      <c r="B140" s="9" t="s">
        <v>198</v>
      </c>
      <c r="C140" s="9" t="s">
        <v>32</v>
      </c>
      <c r="D140" s="9" t="s">
        <v>173</v>
      </c>
    </row>
    <row r="141" customFormat="false" ht="15" hidden="false" customHeight="false" outlineLevel="0" collapsed="false">
      <c r="A141" s="9" t="s">
        <v>172</v>
      </c>
      <c r="B141" s="9" t="s">
        <v>199</v>
      </c>
      <c r="C141" s="9" t="s">
        <v>32</v>
      </c>
      <c r="D141" s="9" t="s">
        <v>173</v>
      </c>
    </row>
    <row r="142" customFormat="false" ht="15" hidden="false" customHeight="false" outlineLevel="0" collapsed="false">
      <c r="A142" s="9" t="s">
        <v>172</v>
      </c>
      <c r="B142" s="9" t="s">
        <v>200</v>
      </c>
      <c r="C142" s="9" t="s">
        <v>32</v>
      </c>
      <c r="D142" s="9" t="s">
        <v>173</v>
      </c>
    </row>
    <row r="143" customFormat="false" ht="15" hidden="false" customHeight="false" outlineLevel="0" collapsed="false">
      <c r="A143" s="9" t="s">
        <v>172</v>
      </c>
      <c r="B143" s="9" t="s">
        <v>201</v>
      </c>
      <c r="C143" s="9" t="s">
        <v>32</v>
      </c>
      <c r="D143" s="9" t="s">
        <v>173</v>
      </c>
    </row>
    <row r="144" customFormat="false" ht="15" hidden="false" customHeight="false" outlineLevel="0" collapsed="false">
      <c r="A144" s="9" t="s">
        <v>172</v>
      </c>
      <c r="B144" s="9" t="s">
        <v>202</v>
      </c>
      <c r="C144" s="9" t="s">
        <v>32</v>
      </c>
      <c r="D144" s="9" t="s">
        <v>173</v>
      </c>
    </row>
    <row r="145" customFormat="false" ht="15" hidden="false" customHeight="false" outlineLevel="0" collapsed="false">
      <c r="A145" s="9" t="s">
        <v>172</v>
      </c>
      <c r="B145" s="9" t="s">
        <v>203</v>
      </c>
      <c r="C145" s="9" t="s">
        <v>32</v>
      </c>
      <c r="D145" s="9" t="s">
        <v>173</v>
      </c>
    </row>
    <row r="146" customFormat="false" ht="15" hidden="false" customHeight="false" outlineLevel="0" collapsed="false">
      <c r="A146" s="9" t="s">
        <v>172</v>
      </c>
      <c r="B146" s="9" t="s">
        <v>204</v>
      </c>
      <c r="C146" s="9" t="s">
        <v>32</v>
      </c>
      <c r="D146" s="9" t="s">
        <v>173</v>
      </c>
    </row>
    <row r="147" customFormat="false" ht="15" hidden="false" customHeight="false" outlineLevel="0" collapsed="false">
      <c r="A147" s="9" t="s">
        <v>172</v>
      </c>
      <c r="B147" s="9" t="s">
        <v>205</v>
      </c>
      <c r="C147" s="9" t="s">
        <v>32</v>
      </c>
      <c r="D147" s="9" t="s">
        <v>173</v>
      </c>
    </row>
    <row r="148" customFormat="false" ht="15" hidden="false" customHeight="false" outlineLevel="0" collapsed="false">
      <c r="A148" s="9" t="s">
        <v>172</v>
      </c>
      <c r="B148" s="9" t="s">
        <v>206</v>
      </c>
      <c r="C148" s="9" t="s">
        <v>32</v>
      </c>
      <c r="D148" s="9" t="s">
        <v>173</v>
      </c>
    </row>
    <row r="149" customFormat="false" ht="15" hidden="false" customHeight="false" outlineLevel="0" collapsed="false">
      <c r="A149" s="9" t="s">
        <v>172</v>
      </c>
      <c r="B149" s="9" t="s">
        <v>207</v>
      </c>
      <c r="C149" s="9" t="s">
        <v>32</v>
      </c>
      <c r="D149" s="9" t="s">
        <v>173</v>
      </c>
    </row>
    <row r="150" customFormat="false" ht="15" hidden="false" customHeight="false" outlineLevel="0" collapsed="false">
      <c r="A150" s="9" t="s">
        <v>172</v>
      </c>
      <c r="B150" s="9" t="s">
        <v>208</v>
      </c>
      <c r="C150" s="9" t="s">
        <v>32</v>
      </c>
      <c r="D150" s="9" t="s">
        <v>173</v>
      </c>
    </row>
    <row r="151" customFormat="false" ht="15" hidden="false" customHeight="false" outlineLevel="0" collapsed="false">
      <c r="A151" s="9" t="s">
        <v>172</v>
      </c>
      <c r="B151" s="9" t="s">
        <v>209</v>
      </c>
      <c r="C151" s="9" t="s">
        <v>32</v>
      </c>
      <c r="D151" s="9" t="s">
        <v>173</v>
      </c>
    </row>
    <row r="152" customFormat="false" ht="15" hidden="false" customHeight="false" outlineLevel="0" collapsed="false">
      <c r="A152" s="9" t="s">
        <v>172</v>
      </c>
      <c r="B152" s="9" t="s">
        <v>210</v>
      </c>
      <c r="C152" s="9" t="s">
        <v>32</v>
      </c>
      <c r="D152" s="9" t="s">
        <v>173</v>
      </c>
    </row>
    <row r="153" customFormat="false" ht="15" hidden="false" customHeight="false" outlineLevel="0" collapsed="false">
      <c r="A153" s="9" t="s">
        <v>172</v>
      </c>
      <c r="B153" s="9" t="s">
        <v>211</v>
      </c>
      <c r="C153" s="9" t="s">
        <v>32</v>
      </c>
      <c r="D153" s="9" t="s">
        <v>173</v>
      </c>
    </row>
    <row r="154" customFormat="false" ht="15" hidden="false" customHeight="false" outlineLevel="0" collapsed="false">
      <c r="A154" s="9" t="s">
        <v>212</v>
      </c>
      <c r="B154" s="9" t="s">
        <v>36</v>
      </c>
      <c r="C154" s="9" t="s">
        <v>32</v>
      </c>
      <c r="D154" s="9" t="s">
        <v>213</v>
      </c>
    </row>
    <row r="155" customFormat="false" ht="15" hidden="false" customHeight="false" outlineLevel="0" collapsed="false">
      <c r="A155" s="9" t="s">
        <v>212</v>
      </c>
      <c r="B155" s="9" t="s">
        <v>38</v>
      </c>
      <c r="C155" s="9" t="s">
        <v>32</v>
      </c>
      <c r="D155" s="9" t="s">
        <v>213</v>
      </c>
    </row>
    <row r="156" customFormat="false" ht="15" hidden="false" customHeight="false" outlineLevel="0" collapsed="false">
      <c r="A156" s="9" t="s">
        <v>212</v>
      </c>
      <c r="B156" s="9" t="s">
        <v>40</v>
      </c>
      <c r="C156" s="9" t="s">
        <v>32</v>
      </c>
      <c r="D156" s="9" t="s">
        <v>213</v>
      </c>
    </row>
    <row r="157" customFormat="false" ht="15" hidden="false" customHeight="false" outlineLevel="0" collapsed="false">
      <c r="A157" s="9" t="s">
        <v>212</v>
      </c>
      <c r="B157" s="9" t="s">
        <v>42</v>
      </c>
      <c r="C157" s="9" t="s">
        <v>32</v>
      </c>
      <c r="D157" s="9" t="s">
        <v>213</v>
      </c>
    </row>
    <row r="158" customFormat="false" ht="15" hidden="false" customHeight="false" outlineLevel="0" collapsed="false">
      <c r="A158" s="9" t="s">
        <v>212</v>
      </c>
      <c r="B158" s="9" t="s">
        <v>174</v>
      </c>
      <c r="C158" s="9" t="s">
        <v>32</v>
      </c>
      <c r="D158" s="9" t="s">
        <v>213</v>
      </c>
    </row>
    <row r="159" customFormat="false" ht="15" hidden="false" customHeight="false" outlineLevel="0" collapsed="false">
      <c r="A159" s="9" t="s">
        <v>212</v>
      </c>
      <c r="B159" s="9" t="s">
        <v>175</v>
      </c>
      <c r="C159" s="9" t="s">
        <v>32</v>
      </c>
      <c r="D159" s="9" t="s">
        <v>213</v>
      </c>
    </row>
    <row r="160" customFormat="false" ht="15" hidden="false" customHeight="false" outlineLevel="0" collapsed="false">
      <c r="A160" s="9" t="s">
        <v>212</v>
      </c>
      <c r="B160" s="9" t="s">
        <v>176</v>
      </c>
      <c r="C160" s="9" t="s">
        <v>32</v>
      </c>
      <c r="D160" s="9" t="s">
        <v>213</v>
      </c>
    </row>
    <row r="161" customFormat="false" ht="15" hidden="false" customHeight="false" outlineLevel="0" collapsed="false">
      <c r="A161" s="9" t="s">
        <v>212</v>
      </c>
      <c r="B161" s="9" t="s">
        <v>177</v>
      </c>
      <c r="C161" s="9" t="s">
        <v>32</v>
      </c>
      <c r="D161" s="9" t="s">
        <v>213</v>
      </c>
    </row>
    <row r="162" customFormat="false" ht="15" hidden="false" customHeight="false" outlineLevel="0" collapsed="false">
      <c r="A162" s="9" t="s">
        <v>212</v>
      </c>
      <c r="B162" s="9" t="s">
        <v>178</v>
      </c>
      <c r="C162" s="9" t="s">
        <v>32</v>
      </c>
      <c r="D162" s="9" t="s">
        <v>213</v>
      </c>
    </row>
    <row r="163" customFormat="false" ht="15" hidden="false" customHeight="false" outlineLevel="0" collapsed="false">
      <c r="A163" s="9" t="s">
        <v>212</v>
      </c>
      <c r="B163" s="9" t="s">
        <v>179</v>
      </c>
      <c r="C163" s="9" t="s">
        <v>32</v>
      </c>
      <c r="D163" s="9" t="s">
        <v>213</v>
      </c>
    </row>
    <row r="164" customFormat="false" ht="15" hidden="false" customHeight="false" outlineLevel="0" collapsed="false">
      <c r="A164" s="9" t="s">
        <v>212</v>
      </c>
      <c r="B164" s="9" t="s">
        <v>180</v>
      </c>
      <c r="C164" s="9" t="s">
        <v>32</v>
      </c>
      <c r="D164" s="9" t="s">
        <v>213</v>
      </c>
    </row>
    <row r="165" customFormat="false" ht="15" hidden="false" customHeight="false" outlineLevel="0" collapsed="false">
      <c r="A165" s="9" t="s">
        <v>212</v>
      </c>
      <c r="B165" s="9" t="s">
        <v>181</v>
      </c>
      <c r="C165" s="9" t="s">
        <v>32</v>
      </c>
      <c r="D165" s="9" t="s">
        <v>213</v>
      </c>
    </row>
    <row r="166" customFormat="false" ht="15" hidden="false" customHeight="false" outlineLevel="0" collapsed="false">
      <c r="A166" s="9" t="s">
        <v>212</v>
      </c>
      <c r="B166" s="9" t="s">
        <v>182</v>
      </c>
      <c r="C166" s="9" t="s">
        <v>32</v>
      </c>
      <c r="D166" s="9" t="s">
        <v>213</v>
      </c>
    </row>
    <row r="167" customFormat="false" ht="15" hidden="false" customHeight="false" outlineLevel="0" collapsed="false">
      <c r="A167" s="9" t="s">
        <v>212</v>
      </c>
      <c r="B167" s="9" t="s">
        <v>183</v>
      </c>
      <c r="C167" s="9" t="s">
        <v>32</v>
      </c>
      <c r="D167" s="9" t="s">
        <v>213</v>
      </c>
    </row>
    <row r="168" customFormat="false" ht="15" hidden="false" customHeight="false" outlineLevel="0" collapsed="false">
      <c r="A168" s="9" t="s">
        <v>212</v>
      </c>
      <c r="B168" s="9" t="s">
        <v>184</v>
      </c>
      <c r="C168" s="9" t="s">
        <v>32</v>
      </c>
      <c r="D168" s="9" t="s">
        <v>213</v>
      </c>
    </row>
    <row r="169" customFormat="false" ht="15" hidden="false" customHeight="false" outlineLevel="0" collapsed="false">
      <c r="A169" s="9" t="s">
        <v>212</v>
      </c>
      <c r="B169" s="9" t="s">
        <v>185</v>
      </c>
      <c r="C169" s="9" t="s">
        <v>32</v>
      </c>
      <c r="D169" s="9" t="s">
        <v>213</v>
      </c>
    </row>
    <row r="170" customFormat="false" ht="15" hidden="false" customHeight="false" outlineLevel="0" collapsed="false">
      <c r="A170" s="9" t="s">
        <v>212</v>
      </c>
      <c r="B170" s="9" t="s">
        <v>58</v>
      </c>
      <c r="C170" s="9" t="s">
        <v>32</v>
      </c>
      <c r="D170" s="9" t="s">
        <v>213</v>
      </c>
    </row>
    <row r="171" customFormat="false" ht="15" hidden="false" customHeight="false" outlineLevel="0" collapsed="false">
      <c r="A171" s="9" t="s">
        <v>212</v>
      </c>
      <c r="B171" s="9" t="s">
        <v>186</v>
      </c>
      <c r="C171" s="9" t="s">
        <v>32</v>
      </c>
      <c r="D171" s="9" t="s">
        <v>213</v>
      </c>
    </row>
    <row r="172" customFormat="false" ht="15" hidden="false" customHeight="false" outlineLevel="0" collapsed="false">
      <c r="A172" s="9" t="s">
        <v>212</v>
      </c>
      <c r="B172" s="9" t="s">
        <v>187</v>
      </c>
      <c r="C172" s="9" t="s">
        <v>32</v>
      </c>
      <c r="D172" s="9" t="s">
        <v>213</v>
      </c>
    </row>
    <row r="173" customFormat="false" ht="15" hidden="false" customHeight="false" outlineLevel="0" collapsed="false">
      <c r="A173" s="9" t="s">
        <v>212</v>
      </c>
      <c r="B173" s="9" t="s">
        <v>188</v>
      </c>
      <c r="C173" s="9" t="s">
        <v>32</v>
      </c>
      <c r="D173" s="9" t="s">
        <v>213</v>
      </c>
    </row>
    <row r="174" customFormat="false" ht="15" hidden="false" customHeight="false" outlineLevel="0" collapsed="false">
      <c r="A174" s="9" t="s">
        <v>212</v>
      </c>
      <c r="B174" s="9" t="s">
        <v>193</v>
      </c>
      <c r="C174" s="9" t="s">
        <v>32</v>
      </c>
      <c r="D174" s="9" t="s">
        <v>213</v>
      </c>
    </row>
    <row r="175" customFormat="false" ht="15" hidden="false" customHeight="false" outlineLevel="0" collapsed="false">
      <c r="A175" s="9" t="s">
        <v>212</v>
      </c>
      <c r="B175" s="9" t="s">
        <v>194</v>
      </c>
      <c r="C175" s="9" t="s">
        <v>32</v>
      </c>
      <c r="D175" s="9" t="s">
        <v>213</v>
      </c>
    </row>
    <row r="176" customFormat="false" ht="15" hidden="false" customHeight="false" outlineLevel="0" collapsed="false">
      <c r="A176" s="9" t="s">
        <v>212</v>
      </c>
      <c r="B176" s="9" t="s">
        <v>195</v>
      </c>
      <c r="C176" s="9" t="s">
        <v>32</v>
      </c>
      <c r="D176" s="9" t="s">
        <v>213</v>
      </c>
    </row>
    <row r="177" customFormat="false" ht="15" hidden="false" customHeight="false" outlineLevel="0" collapsed="false">
      <c r="A177" s="9" t="s">
        <v>212</v>
      </c>
      <c r="B177" s="9" t="s">
        <v>196</v>
      </c>
      <c r="C177" s="9" t="s">
        <v>32</v>
      </c>
      <c r="D177" s="9" t="s">
        <v>213</v>
      </c>
    </row>
    <row r="178" customFormat="false" ht="15" hidden="false" customHeight="false" outlineLevel="0" collapsed="false">
      <c r="A178" s="9" t="s">
        <v>212</v>
      </c>
      <c r="B178" s="9" t="s">
        <v>199</v>
      </c>
      <c r="C178" s="9" t="s">
        <v>32</v>
      </c>
      <c r="D178" s="9" t="s">
        <v>213</v>
      </c>
    </row>
    <row r="179" customFormat="false" ht="15" hidden="false" customHeight="false" outlineLevel="0" collapsed="false">
      <c r="A179" s="9" t="s">
        <v>212</v>
      </c>
      <c r="B179" s="9" t="s">
        <v>200</v>
      </c>
      <c r="C179" s="9" t="s">
        <v>32</v>
      </c>
      <c r="D179" s="9" t="s">
        <v>213</v>
      </c>
    </row>
    <row r="180" customFormat="false" ht="15" hidden="false" customHeight="false" outlineLevel="0" collapsed="false">
      <c r="A180" s="9" t="s">
        <v>212</v>
      </c>
      <c r="B180" s="9" t="s">
        <v>201</v>
      </c>
      <c r="C180" s="9" t="s">
        <v>32</v>
      </c>
      <c r="D180" s="9" t="s">
        <v>213</v>
      </c>
    </row>
    <row r="181" customFormat="false" ht="15" hidden="false" customHeight="false" outlineLevel="0" collapsed="false">
      <c r="A181" s="9" t="s">
        <v>212</v>
      </c>
      <c r="B181" s="9" t="s">
        <v>202</v>
      </c>
      <c r="C181" s="9" t="s">
        <v>32</v>
      </c>
      <c r="D181" s="9" t="s">
        <v>213</v>
      </c>
    </row>
    <row r="182" customFormat="false" ht="15" hidden="false" customHeight="false" outlineLevel="0" collapsed="false">
      <c r="A182" s="9" t="s">
        <v>212</v>
      </c>
      <c r="B182" s="9" t="s">
        <v>203</v>
      </c>
      <c r="C182" s="9" t="s">
        <v>32</v>
      </c>
      <c r="D182" s="9" t="s">
        <v>213</v>
      </c>
    </row>
    <row r="183" customFormat="false" ht="15" hidden="false" customHeight="false" outlineLevel="0" collapsed="false">
      <c r="A183" s="9" t="s">
        <v>212</v>
      </c>
      <c r="B183" s="9" t="s">
        <v>214</v>
      </c>
      <c r="C183" s="9" t="s">
        <v>32</v>
      </c>
      <c r="D183" s="9" t="s">
        <v>213</v>
      </c>
    </row>
    <row r="184" customFormat="false" ht="15" hidden="false" customHeight="false" outlineLevel="0" collapsed="false">
      <c r="A184" s="9" t="s">
        <v>212</v>
      </c>
      <c r="B184" s="9" t="s">
        <v>215</v>
      </c>
      <c r="C184" s="9" t="s">
        <v>32</v>
      </c>
      <c r="D184" s="9" t="s">
        <v>213</v>
      </c>
    </row>
    <row r="185" customFormat="false" ht="15" hidden="false" customHeight="false" outlineLevel="0" collapsed="false">
      <c r="A185" s="9" t="s">
        <v>212</v>
      </c>
      <c r="B185" s="9" t="s">
        <v>206</v>
      </c>
      <c r="C185" s="9" t="s">
        <v>32</v>
      </c>
      <c r="D185" s="9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216</v>
      </c>
    </row>
    <row r="2" customFormat="false" ht="15" hidden="false" customHeight="false" outlineLevel="0" collapsed="false">
      <c r="A2" s="2" t="s">
        <v>217</v>
      </c>
    </row>
    <row r="3" customFormat="false" ht="15" hidden="false" customHeight="false" outlineLevel="0" collapsed="false">
      <c r="B3" s="3" t="s">
        <v>218</v>
      </c>
      <c r="C3" s="10" t="s">
        <v>219</v>
      </c>
      <c r="D3" s="3" t="s">
        <v>220</v>
      </c>
      <c r="E3" s="11" t="str">
        <f aca="false">IFERROR(INDEX(Calendario!$A$4:$A$107,MATCH($C$3,Calendario!$A$4:$A$107,0)-1),"")</f>
        <v>2026-S39</v>
      </c>
      <c r="F3" s="3" t="s">
        <v>221</v>
      </c>
      <c r="G3" s="11" t="str">
        <f aca="false">IFERROR(INDEX(Calendario!$A$4:$A$107,MATCH($C$3,Calendario!$A$4:$A$107,0)+1),"")</f>
        <v>2026-S41</v>
      </c>
    </row>
    <row r="4" customFormat="false" ht="15" hidden="false" customHeight="false" outlineLevel="0" collapsed="false">
      <c r="B4" s="3" t="s">
        <v>222</v>
      </c>
      <c r="C4" s="12" t="n">
        <f aca="false">IFERROR(INDEX(Calendario!$B$4:$B$107,MATCH($C$3,Calendario!$A$4:$A$107,0)),"")</f>
        <v>46293</v>
      </c>
      <c r="D4" s="12" t="n">
        <f aca="false">IFERROR(INDEX(Calendario!$C$4:$C$107,MATCH($C$3,Calendario!$A$4:$A$107,0)),"")</f>
        <v>46299</v>
      </c>
    </row>
    <row r="5" customFormat="false" ht="15" hidden="false" customHeight="false" outlineLevel="0" collapsed="false">
      <c r="B5" s="3" t="s">
        <v>36</v>
      </c>
      <c r="C5" s="13" t="str">
        <f aca="false">IFERROR(INDEX(Calendario!$D$4:$D$107,MATCH($C$3,Calendario!$A$4:$A$107,0)),"")</f>
        <v>2026-09</v>
      </c>
    </row>
    <row r="7" customFormat="false" ht="19.5" hidden="false" customHeight="true" outlineLevel="0" collapsed="false">
      <c r="B7" s="14" t="s">
        <v>223</v>
      </c>
      <c r="C7" s="15"/>
      <c r="D7" s="15"/>
      <c r="E7" s="15"/>
      <c r="F7" s="15"/>
      <c r="G7" s="15"/>
      <c r="H7" s="15"/>
      <c r="I7" s="15"/>
    </row>
    <row r="8" customFormat="false" ht="30" hidden="false" customHeight="true" outlineLevel="0" collapsed="false">
      <c r="B8" s="9" t="s">
        <v>224</v>
      </c>
      <c r="C8" s="16" t="str">
        <f aca="false">IF($C$3="","",IF((SIGN(N(IFERROR(INDEX(Resumo_Semanal!$E$4:$E$107,MATCH($C$3,Resumo_Semanal!$A$4:$A$107,0)),""))-N(IFERROR(INDEX(Resumo_Semanal!$E$4:$E$107,MATCH($E$3,Resumo_Semanal!$A$4:$A$107,0)),"")))+SIGN(N(IFERROR(INDEX(Resumo_Semanal!$J$4:$J$107,MATCH($C$3,Resumo_Semanal!$A$4:$A$107,0)),""))-N(IFERROR(INDEX(Resumo_Semanal!$J$4:$J$107,MATCH($E$3,Resumo_Semanal!$A$4:$A$107,0)),"")))+SIGN(N(IFERROR(INDEX(Resumo_Semanal!$N$4:$N$107,MATCH($C$3,Resumo_Semanal!$A$4:$A$107,0)),""))-N(IFERROR(INDEX(Resumo_Semanal!$N$4:$N$107,MATCH($E$3,Resumo_Semanal!$A$4:$A$107,0)),"")))+SIGN(N(IFERROR(INDEX(Resumo_Semanal!$R$4:$R$107,MATCH($C$3,Resumo_Semanal!$A$4:$A$107,0)),""))-N(IFERROR(INDEX(Resumo_Semanal!$R$4:$R$107,MATCH($E$3,Resumo_Semanal!$A$4:$A$107,0)),"")))+SIGN(N(IFERROR(INDEX(Resumo_Semanal!$AI$4:$AI$107,MATCH($C$3,Resumo_Semanal!$A$4:$A$107,0)),""))-N(IFERROR(INDEX(Resumo_Semanal!$AI$4:$AI$107,MATCH($E$3,Resumo_Semanal!$A$4:$A$107,0)),"")))-SIGN(N(IFERROR(INDEX(Resumo_Semanal!$AJ$4:$AJ$107,MATCH($C$3,Resumo_Semanal!$A$4:$A$107,0)),""))-N(IFERROR(INDEX(Resumo_Semanal!$AJ$4:$AJ$107,MATCH($E$3,Resumo_Semanal!$A$4:$A$107,0)),""))))&gt;0,"Melhor",IF((SIGN(N(IFERROR(INDEX(Resumo_Semanal!$E$4:$E$107,MATCH($C$3,Resumo_Semanal!$A$4:$A$107,0)),""))-N(IFERROR(INDEX(Resumo_Semanal!$E$4:$E$107,MATCH($E$3,Resumo_Semanal!$A$4:$A$107,0)),"")))+SIGN(N(IFERROR(INDEX(Resumo_Semanal!$J$4:$J$107,MATCH($C$3,Resumo_Semanal!$A$4:$A$107,0)),""))-N(IFERROR(INDEX(Resumo_Semanal!$J$4:$J$107,MATCH($E$3,Resumo_Semanal!$A$4:$A$107,0)),"")))+SIGN(N(IFERROR(INDEX(Resumo_Semanal!$N$4:$N$107,MATCH($C$3,Resumo_Semanal!$A$4:$A$107,0)),""))-N(IFERROR(INDEX(Resumo_Semanal!$N$4:$N$107,MATCH($E$3,Resumo_Semanal!$A$4:$A$107,0)),"")))+SIGN(N(IFERROR(INDEX(Resumo_Semanal!$R$4:$R$107,MATCH($C$3,Resumo_Semanal!$A$4:$A$107,0)),""))-N(IFERROR(INDEX(Resumo_Semanal!$R$4:$R$107,MATCH($E$3,Resumo_Semanal!$A$4:$A$107,0)),"")))+SIGN(N(IFERROR(INDEX(Resumo_Semanal!$AI$4:$AI$107,MATCH($C$3,Resumo_Semanal!$A$4:$A$107,0)),""))-N(IFERROR(INDEX(Resumo_Semanal!$AI$4:$AI$107,MATCH($E$3,Resumo_Semanal!$A$4:$A$107,0)),"")))-SIGN(N(IFERROR(INDEX(Resumo_Semanal!$AJ$4:$AJ$107,MATCH($C$3,Resumo_Semanal!$A$4:$A$107,0)),""))-N(IFERROR(INDEX(Resumo_Semanal!$AJ$4:$AJ$107,MATCH($E$3,Resumo_Semanal!$A$4:$A$107,0)),""))))&lt;0,"Pior","Igual")))</f>
        <v>Melhor</v>
      </c>
    </row>
    <row r="9" customFormat="false" ht="15" hidden="false" customHeight="false" outlineLevel="0" collapsed="false">
      <c r="B9" s="17" t="s">
        <v>225</v>
      </c>
      <c r="C9" s="16" t="str">
        <f aca="false">IFERROR(INDEX(Reuniao_Semanal!$B$4:$B$203,MATCH($C$3,Reuniao_Semanal!$A$4:$A$203,0)),"")</f>
        <v>Melhor</v>
      </c>
    </row>
    <row r="10" customFormat="false" ht="45" hidden="false" customHeight="true" outlineLevel="0" collapsed="false">
      <c r="B10" s="18" t="s">
        <v>129</v>
      </c>
      <c r="C10" s="9" t="str">
        <f aca="false">IFERROR(INDEX(Reuniao_Semanal!$C$4:$C$203,MATCH($C$3,Reuniao_Semanal!$A$4:$A$203,0)),"")</f>
        <v>Receita acima da meta; 4 protocolos fechados por indicação</v>
      </c>
      <c r="D10" s="9"/>
      <c r="E10" s="9"/>
      <c r="F10" s="9"/>
      <c r="G10" s="9"/>
      <c r="H10" s="9"/>
      <c r="I10" s="9"/>
    </row>
    <row r="11" customFormat="false" ht="45" hidden="false" customHeight="true" outlineLevel="0" collapsed="false">
      <c r="B11" s="18" t="s">
        <v>131</v>
      </c>
      <c r="C11" s="9" t="str">
        <f aca="false">IFERROR(INDEX(Reuniao_Semanal!$D$4:$D$203,MATCH($C$3,Reuniao_Semanal!$A$4:$A$203,0)),"")</f>
        <v>Taxa de ocupação da tarde abaixo de 90%; 5 cancelamentos de atendimento</v>
      </c>
      <c r="D11" s="9"/>
      <c r="E11" s="9"/>
      <c r="F11" s="9"/>
      <c r="G11" s="9"/>
      <c r="H11" s="9"/>
      <c r="I11" s="9"/>
    </row>
    <row r="13" customFormat="false" ht="19.5" hidden="false" customHeight="true" outlineLevel="0" collapsed="false">
      <c r="B13" s="14" t="s">
        <v>226</v>
      </c>
      <c r="C13" s="15"/>
      <c r="D13" s="15"/>
      <c r="E13" s="15"/>
      <c r="F13" s="15"/>
      <c r="G13" s="15"/>
      <c r="H13" s="15"/>
      <c r="I13" s="15"/>
    </row>
    <row r="14" customFormat="false" ht="23.85" hidden="false" customHeight="false" outlineLevel="0" collapsed="false">
      <c r="B14" s="19" t="s">
        <v>227</v>
      </c>
      <c r="C14" s="19" t="s">
        <v>228</v>
      </c>
      <c r="D14" s="19" t="s">
        <v>220</v>
      </c>
      <c r="E14" s="19" t="s">
        <v>229</v>
      </c>
      <c r="F14" s="19" t="s">
        <v>230</v>
      </c>
      <c r="G14" s="19" t="s">
        <v>231</v>
      </c>
      <c r="H14" s="19" t="s">
        <v>232</v>
      </c>
      <c r="I14" s="19" t="s">
        <v>233</v>
      </c>
    </row>
    <row r="15" customFormat="false" ht="15" hidden="false" customHeight="false" outlineLevel="0" collapsed="false">
      <c r="B15" s="17" t="s">
        <v>38</v>
      </c>
      <c r="C15" s="20" t="n">
        <f aca="false">IFERROR(INDEX(Resumo_Semanal!$E$4:$E$107,MATCH($C$3,Resumo_Semanal!$A$4:$A$107,0)),"")</f>
        <v>45</v>
      </c>
      <c r="D15" s="20" t="n">
        <f aca="false">IFERROR(INDEX(Resumo_Semanal!$E$4:$E$107,MATCH($E$3,Resumo_Semanal!$A$4:$A$107,0)),"")</f>
        <v>38</v>
      </c>
      <c r="E15" s="20" t="n">
        <f aca="false">IF(OR(C15="",D15=""),"",C15-D15)</f>
        <v>7</v>
      </c>
      <c r="F15" s="20" t="n">
        <f aca="false">Config!$B$10</f>
        <v>40</v>
      </c>
      <c r="G15" s="21" t="n">
        <f aca="false">IF(OR(C15="",F15=0),"",C15/F15)</f>
        <v>1.125</v>
      </c>
      <c r="H15" s="20" t="n">
        <f aca="false">SUMIFS(Resumo_Semanal!$E$4:$E$107,Resumo_Semanal!$D$4:$D$107,$C$5,Resumo_Semanal!$B$4:$B$107,"&lt;="&amp;$C$4)</f>
        <v>83</v>
      </c>
      <c r="I15" s="20" t="n">
        <f aca="false">Config!$C$10</f>
        <v>170</v>
      </c>
    </row>
    <row r="16" customFormat="false" ht="15" hidden="false" customHeight="false" outlineLevel="0" collapsed="false">
      <c r="B16" s="17" t="s">
        <v>58</v>
      </c>
      <c r="C16" s="20" t="n">
        <f aca="false">IFERROR(INDEX(Resumo_Semanal!$T$4:$T$107,MATCH($C$3,Resumo_Semanal!$A$4:$A$107,0)),"")</f>
        <v>9</v>
      </c>
      <c r="D16" s="20" t="n">
        <f aca="false">IFERROR(INDEX(Resumo_Semanal!$T$4:$T$107,MATCH($E$3,Resumo_Semanal!$A$4:$A$107,0)),"")</f>
        <v>6</v>
      </c>
      <c r="E16" s="20" t="n">
        <f aca="false">IF(OR(C16="",D16=""),"",C16-D16)</f>
        <v>3</v>
      </c>
      <c r="F16" s="20" t="n">
        <f aca="false">Config!$B$11</f>
        <v>8</v>
      </c>
      <c r="G16" s="21" t="n">
        <f aca="false">IF(OR(C16="",F16=0),"",C16/F16)</f>
        <v>1.125</v>
      </c>
      <c r="H16" s="20" t="n">
        <f aca="false">SUMIFS(Resumo_Semanal!$T$4:$T$107,Resumo_Semanal!$D$4:$D$107,$C$5,Resumo_Semanal!$B$4:$B$107,"&lt;="&amp;$C$4)</f>
        <v>15</v>
      </c>
      <c r="I16" s="20" t="n">
        <f aca="false">Config!$C$11</f>
        <v>32</v>
      </c>
    </row>
    <row r="17" customFormat="false" ht="15" hidden="false" customHeight="false" outlineLevel="0" collapsed="false">
      <c r="B17" s="17" t="s">
        <v>234</v>
      </c>
      <c r="C17" s="20" t="n">
        <f aca="false">IFERROR(INDEX(Resumo_Semanal!$F$4:$F$107,MATCH($C$3,Resumo_Semanal!$A$4:$A$107,0)),"")</f>
        <v>16</v>
      </c>
      <c r="D17" s="20" t="n">
        <f aca="false">IFERROR(INDEX(Resumo_Semanal!$F$4:$F$107,MATCH($E$3,Resumo_Semanal!$A$4:$A$107,0)),"")</f>
        <v>14</v>
      </c>
      <c r="E17" s="20" t="n">
        <f aca="false">IF(OR(C17="",D17=""),"",C17-D17)</f>
        <v>2</v>
      </c>
      <c r="F17" s="20"/>
      <c r="G17" s="21"/>
      <c r="H17" s="20" t="n">
        <f aca="false">SUMIFS(Resumo_Semanal!$F$4:$F$107,Resumo_Semanal!$D$4:$D$107,$C$5,Resumo_Semanal!$B$4:$B$107,"&lt;="&amp;$C$4)</f>
        <v>30</v>
      </c>
      <c r="I17" s="20"/>
    </row>
    <row r="18" customFormat="false" ht="15" hidden="false" customHeight="false" outlineLevel="0" collapsed="false">
      <c r="B18" s="17" t="s">
        <v>235</v>
      </c>
      <c r="C18" s="20" t="n">
        <f aca="false">IFERROR(INDEX(Resumo_Semanal!$G$4:$G$107,MATCH($C$3,Resumo_Semanal!$A$4:$A$107,0)),"")</f>
        <v>1</v>
      </c>
      <c r="D18" s="20" t="n">
        <f aca="false">IFERROR(INDEX(Resumo_Semanal!$G$4:$G$107,MATCH($E$3,Resumo_Semanal!$A$4:$A$107,0)),"")</f>
        <v>2</v>
      </c>
      <c r="E18" s="20" t="n">
        <f aca="false">IF(OR(C18="",D18=""),"",C18-D18)</f>
        <v>-1</v>
      </c>
      <c r="F18" s="20"/>
      <c r="G18" s="21"/>
      <c r="H18" s="20" t="n">
        <f aca="false">SUMIFS(Resumo_Semanal!$G$4:$G$107,Resumo_Semanal!$D$4:$D$107,$C$5,Resumo_Semanal!$B$4:$B$107,"&lt;="&amp;$C$4)</f>
        <v>3</v>
      </c>
      <c r="I18" s="20"/>
    </row>
    <row r="19" customFormat="false" ht="15" hidden="false" customHeight="false" outlineLevel="0" collapsed="false">
      <c r="B19" s="17" t="s">
        <v>236</v>
      </c>
      <c r="C19" s="21" t="n">
        <f aca="false">IFERROR(INDEX(Resumo_Semanal!$K$4:$K$107,MATCH($C$3,Resumo_Semanal!$A$4:$A$107,0)),"")</f>
        <v>0.0625</v>
      </c>
      <c r="D19" s="21" t="n">
        <f aca="false">IFERROR(INDEX(Resumo_Semanal!$K$4:$K$107,MATCH($E$3,Resumo_Semanal!$A$4:$A$107,0)),"")</f>
        <v>0.142857142857143</v>
      </c>
      <c r="E19" s="21" t="n">
        <f aca="false">IF(OR(C19="",D19=""),"",C19-D19)</f>
        <v>-0.0803571428571429</v>
      </c>
      <c r="F19" s="21" t="n">
        <f aca="false">Config!$B$20</f>
        <v>0.15</v>
      </c>
      <c r="G19" s="21" t="n">
        <f aca="false">IF(OR(C19="",F19=0),"",C19/F19)</f>
        <v>0.416666666666667</v>
      </c>
      <c r="H19" s="21"/>
      <c r="I19" s="21" t="n">
        <f aca="false">Config!$C$20</f>
        <v>0.15</v>
      </c>
    </row>
    <row r="20" customFormat="false" ht="15" hidden="false" customHeight="false" outlineLevel="0" collapsed="false">
      <c r="B20" s="17" t="s">
        <v>237</v>
      </c>
      <c r="C20" s="20" t="n">
        <f aca="false">IFERROR(INDEX(Resumo_Semanal!$J$4:$J$107,MATCH($C$3,Resumo_Semanal!$A$4:$A$107,0)),"")</f>
        <v>14</v>
      </c>
      <c r="D20" s="20" t="n">
        <f aca="false">IFERROR(INDEX(Resumo_Semanal!$J$4:$J$107,MATCH($E$3,Resumo_Semanal!$A$4:$A$107,0)),"")</f>
        <v>11</v>
      </c>
      <c r="E20" s="20" t="n">
        <f aca="false">IF(OR(C20="",D20=""),"",C20-D20)</f>
        <v>3</v>
      </c>
      <c r="F20" s="20" t="n">
        <f aca="false">Config!$B$12</f>
        <v>12</v>
      </c>
      <c r="G20" s="21" t="n">
        <f aca="false">IF(OR(C20="",F20=0),"",C20/F20)</f>
        <v>1.16666666666667</v>
      </c>
      <c r="H20" s="20" t="n">
        <f aca="false">SUMIFS(Resumo_Semanal!$J$4:$J$107,Resumo_Semanal!$D$4:$D$107,$C$5,Resumo_Semanal!$B$4:$B$107,"&lt;="&amp;$C$4)</f>
        <v>25</v>
      </c>
      <c r="I20" s="20" t="n">
        <f aca="false">Config!$C$12</f>
        <v>50</v>
      </c>
    </row>
    <row r="21" customFormat="false" ht="15" hidden="false" customHeight="false" outlineLevel="0" collapsed="false">
      <c r="B21" s="17" t="str">
        <f aca="false">"Avaliações realizadas — "&amp;Config!$B$5</f>
        <v>Avaliações realizadas — Ariosto</v>
      </c>
      <c r="C21" s="20" t="n">
        <f aca="false">IFERROR(INDEX(Resumo_Semanal!$H$4:$H$107,MATCH($C$3,Resumo_Semanal!$A$4:$A$107,0)),"")</f>
        <v>8</v>
      </c>
      <c r="D21" s="20" t="n">
        <f aca="false">IFERROR(INDEX(Resumo_Semanal!$H$4:$H$107,MATCH($E$3,Resumo_Semanal!$A$4:$A$107,0)),"")</f>
        <v>6</v>
      </c>
      <c r="E21" s="20" t="n">
        <f aca="false">IF(OR(C21="",D21=""),"",C21-D21)</f>
        <v>2</v>
      </c>
      <c r="F21" s="20"/>
      <c r="G21" s="21"/>
      <c r="H21" s="20" t="n">
        <f aca="false">SUMIFS(Resumo_Semanal!$H$4:$H$107,Resumo_Semanal!$D$4:$D$107,$C$5,Resumo_Semanal!$B$4:$B$107,"&lt;="&amp;$C$4)</f>
        <v>14</v>
      </c>
      <c r="I21" s="20"/>
    </row>
    <row r="22" customFormat="false" ht="15" hidden="false" customHeight="false" outlineLevel="0" collapsed="false">
      <c r="B22" s="17" t="str">
        <f aca="false">"Avaliações realizadas — "&amp;Config!$B$6</f>
        <v>Avaliações realizadas — Tássia</v>
      </c>
      <c r="C22" s="20" t="n">
        <f aca="false">IFERROR(INDEX(Resumo_Semanal!$I$4:$I$107,MATCH($C$3,Resumo_Semanal!$A$4:$A$107,0)),"")</f>
        <v>6</v>
      </c>
      <c r="D22" s="20" t="n">
        <f aca="false">IFERROR(INDEX(Resumo_Semanal!$I$4:$I$107,MATCH($E$3,Resumo_Semanal!$A$4:$A$107,0)),"")</f>
        <v>5</v>
      </c>
      <c r="E22" s="20" t="n">
        <f aca="false">IF(OR(C22="",D22=""),"",C22-D22)</f>
        <v>1</v>
      </c>
      <c r="F22" s="20"/>
      <c r="G22" s="21"/>
      <c r="H22" s="20" t="n">
        <f aca="false">SUMIFS(Resumo_Semanal!$I$4:$I$107,Resumo_Semanal!$D$4:$D$107,$C$5,Resumo_Semanal!$B$4:$B$107,"&lt;="&amp;$C$4)</f>
        <v>11</v>
      </c>
      <c r="I22" s="20"/>
    </row>
    <row r="23" customFormat="false" ht="15" hidden="false" customHeight="false" outlineLevel="0" collapsed="false">
      <c r="B23" s="17" t="s">
        <v>238</v>
      </c>
      <c r="C23" s="20" t="n">
        <f aca="false">IFERROR(INDEX(Resumo_Semanal!$N$4:$N$107,MATCH($C$3,Resumo_Semanal!$A$4:$A$107,0)),"")</f>
        <v>10</v>
      </c>
      <c r="D23" s="20" t="n">
        <f aca="false">IFERROR(INDEX(Resumo_Semanal!$N$4:$N$107,MATCH($E$3,Resumo_Semanal!$A$4:$A$107,0)),"")</f>
        <v>7</v>
      </c>
      <c r="E23" s="20" t="n">
        <f aca="false">IF(OR(C23="",D23=""),"",C23-D23)</f>
        <v>3</v>
      </c>
      <c r="F23" s="20" t="n">
        <f aca="false">Config!$B$13</f>
        <v>8</v>
      </c>
      <c r="G23" s="21" t="n">
        <f aca="false">IF(OR(C23="",F23=0),"",C23/F23)</f>
        <v>1.25</v>
      </c>
      <c r="H23" s="20" t="n">
        <f aca="false">SUMIFS(Resumo_Semanal!$N$4:$N$107,Resumo_Semanal!$D$4:$D$107,$C$5,Resumo_Semanal!$B$4:$B$107,"&lt;="&amp;$C$4)</f>
        <v>17</v>
      </c>
      <c r="I23" s="20" t="n">
        <f aca="false">Config!$C$13</f>
        <v>32</v>
      </c>
    </row>
    <row r="24" customFormat="false" ht="15" hidden="false" customHeight="false" outlineLevel="0" collapsed="false">
      <c r="B24" s="17" t="str">
        <f aca="false">"Tratamentos contratados — "&amp;Config!$B$5</f>
        <v>Tratamentos contratados — Ariosto</v>
      </c>
      <c r="C24" s="20" t="n">
        <f aca="false">IFERROR(INDEX(Resumo_Semanal!$L$4:$L$107,MATCH($C$3,Resumo_Semanal!$A$4:$A$107,0)),"")</f>
        <v>6</v>
      </c>
      <c r="D24" s="20" t="n">
        <f aca="false">IFERROR(INDEX(Resumo_Semanal!$L$4:$L$107,MATCH($E$3,Resumo_Semanal!$A$4:$A$107,0)),"")</f>
        <v>4</v>
      </c>
      <c r="E24" s="20" t="n">
        <f aca="false">IF(OR(C24="",D24=""),"",C24-D24)</f>
        <v>2</v>
      </c>
      <c r="F24" s="20"/>
      <c r="G24" s="21"/>
      <c r="H24" s="20" t="n">
        <f aca="false">SUMIFS(Resumo_Semanal!$L$4:$L$107,Resumo_Semanal!$D$4:$D$107,$C$5,Resumo_Semanal!$B$4:$B$107,"&lt;="&amp;$C$4)</f>
        <v>10</v>
      </c>
      <c r="I24" s="20"/>
    </row>
    <row r="25" customFormat="false" ht="15" hidden="false" customHeight="false" outlineLevel="0" collapsed="false">
      <c r="B25" s="17" t="str">
        <f aca="false">"Tratamentos contratados — "&amp;Config!$B$6</f>
        <v>Tratamentos contratados — Tássia</v>
      </c>
      <c r="C25" s="20" t="n">
        <f aca="false">IFERROR(INDEX(Resumo_Semanal!$M$4:$M$107,MATCH($C$3,Resumo_Semanal!$A$4:$A$107,0)),"")</f>
        <v>4</v>
      </c>
      <c r="D25" s="20" t="n">
        <f aca="false">IFERROR(INDEX(Resumo_Semanal!$M$4:$M$107,MATCH($E$3,Resumo_Semanal!$A$4:$A$107,0)),"")</f>
        <v>3</v>
      </c>
      <c r="E25" s="20" t="n">
        <f aca="false">IF(OR(C25="",D25=""),"",C25-D25)</f>
        <v>1</v>
      </c>
      <c r="F25" s="20"/>
      <c r="G25" s="21"/>
      <c r="H25" s="20" t="n">
        <f aca="false">SUMIFS(Resumo_Semanal!$M$4:$M$107,Resumo_Semanal!$D$4:$D$107,$C$5,Resumo_Semanal!$B$4:$B$107,"&lt;="&amp;$C$4)</f>
        <v>7</v>
      </c>
      <c r="I25" s="20"/>
    </row>
    <row r="26" customFormat="false" ht="15" hidden="false" customHeight="false" outlineLevel="0" collapsed="false">
      <c r="B26" s="17" t="s">
        <v>239</v>
      </c>
      <c r="C26" s="21" t="n">
        <f aca="false">IFERROR(INDEX(Resumo_Semanal!$O$4:$O$107,MATCH($C$3,Resumo_Semanal!$A$4:$A$107,0)),"")</f>
        <v>0.714285714285714</v>
      </c>
      <c r="D26" s="21" t="n">
        <f aca="false">IFERROR(INDEX(Resumo_Semanal!$O$4:$O$107,MATCH($E$3,Resumo_Semanal!$A$4:$A$107,0)),"")</f>
        <v>0.636363636363636</v>
      </c>
      <c r="E26" s="21" t="n">
        <f aca="false">IF(OR(C26="",D26=""),"",C26-D26)</f>
        <v>0.077922077922078</v>
      </c>
      <c r="F26" s="21" t="n">
        <f aca="false">Config!$B$19</f>
        <v>0.6</v>
      </c>
      <c r="G26" s="21" t="n">
        <f aca="false">IF(OR(C26="",F26=0),"",C26/F26)</f>
        <v>1.19047619047619</v>
      </c>
      <c r="H26" s="21"/>
      <c r="I26" s="21" t="n">
        <f aca="false">Config!$C$19</f>
        <v>0.6</v>
      </c>
    </row>
    <row r="27" customFormat="false" ht="15" hidden="false" customHeight="false" outlineLevel="0" collapsed="false">
      <c r="B27" s="17" t="s">
        <v>240</v>
      </c>
      <c r="C27" s="20" t="n">
        <f aca="false">IFERROR(INDEX(Resumo_Semanal!$AB$4:$AB$107,MATCH($C$3,Resumo_Semanal!$A$4:$A$107,0)),"")</f>
        <v>2</v>
      </c>
      <c r="D27" s="20" t="n">
        <f aca="false">IFERROR(INDEX(Resumo_Semanal!$AB$4:$AB$107,MATCH($E$3,Resumo_Semanal!$A$4:$A$107,0)),"")</f>
        <v>1</v>
      </c>
      <c r="E27" s="20" t="n">
        <f aca="false">IF(OR(C27="",D27=""),"",C27-D27)</f>
        <v>1</v>
      </c>
      <c r="F27" s="20"/>
      <c r="G27" s="21"/>
      <c r="H27" s="20" t="n">
        <f aca="false">SUMIFS(Resumo_Semanal!$AB$4:$AB$107,Resumo_Semanal!$D$4:$D$107,$C$5,Resumo_Semanal!$B$4:$B$107,"&lt;="&amp;$C$4)</f>
        <v>3</v>
      </c>
      <c r="I27" s="20"/>
    </row>
    <row r="28" customFormat="false" ht="15" hidden="false" customHeight="false" outlineLevel="0" collapsed="false">
      <c r="B28" s="17" t="s">
        <v>241</v>
      </c>
      <c r="C28" s="22" t="n">
        <f aca="false">IFERROR(INDEX(Resumo_Semanal!$AC$4:$AC$107,MATCH($C$3,Resumo_Semanal!$A$4:$A$107,0)),"")</f>
        <v>300</v>
      </c>
      <c r="D28" s="22" t="n">
        <f aca="false">IFERROR(INDEX(Resumo_Semanal!$AC$4:$AC$107,MATCH($E$3,Resumo_Semanal!$A$4:$A$107,0)),"")</f>
        <v>150</v>
      </c>
      <c r="E28" s="22" t="n">
        <f aca="false">IF(OR(C28="",D28=""),"",C28-D28)</f>
        <v>150</v>
      </c>
      <c r="F28" s="22"/>
      <c r="G28" s="21"/>
      <c r="H28" s="22" t="n">
        <f aca="false">SUMIFS(Resumo_Semanal!$AC$4:$AC$107,Resumo_Semanal!$D$4:$D$107,$C$5,Resumo_Semanal!$B$4:$B$107,"&lt;="&amp;$C$4)</f>
        <v>450</v>
      </c>
      <c r="I28" s="22"/>
    </row>
    <row r="29" customFormat="false" ht="15" hidden="false" customHeight="false" outlineLevel="0" collapsed="false">
      <c r="B29" s="17" t="s">
        <v>195</v>
      </c>
      <c r="C29" s="20" t="n">
        <f aca="false">IFERROR(INDEX(Resumo_Semanal!$AD$4:$AD$107,MATCH($C$3,Resumo_Semanal!$A$4:$A$107,0)),"")</f>
        <v>2</v>
      </c>
      <c r="D29" s="20" t="n">
        <f aca="false">IFERROR(INDEX(Resumo_Semanal!$AD$4:$AD$107,MATCH($E$3,Resumo_Semanal!$A$4:$A$107,0)),"")</f>
        <v>2</v>
      </c>
      <c r="E29" s="20" t="n">
        <f aca="false">IF(OR(C29="",D29=""),"",C29-D29)</f>
        <v>0</v>
      </c>
      <c r="F29" s="20"/>
      <c r="G29" s="21"/>
      <c r="H29" s="20" t="n">
        <f aca="false">SUMIFS(Resumo_Semanal!$AD$4:$AD$107,Resumo_Semanal!$D$4:$D$107,$C$5,Resumo_Semanal!$B$4:$B$107,"&lt;="&amp;$C$4)</f>
        <v>4</v>
      </c>
      <c r="I29" s="20"/>
    </row>
    <row r="30" customFormat="false" ht="15" hidden="false" customHeight="false" outlineLevel="0" collapsed="false">
      <c r="B30" s="17" t="s">
        <v>242</v>
      </c>
      <c r="C30" s="22" t="n">
        <f aca="false">IFERROR(INDEX(Resumo_Semanal!$AE$4:$AE$107,MATCH($C$3,Resumo_Semanal!$A$4:$A$107,0)),"")</f>
        <v>6800</v>
      </c>
      <c r="D30" s="22" t="n">
        <f aca="false">IFERROR(INDEX(Resumo_Semanal!$AE$4:$AE$107,MATCH($E$3,Resumo_Semanal!$A$4:$A$107,0)),"")</f>
        <v>6200</v>
      </c>
      <c r="E30" s="22" t="n">
        <f aca="false">IF(OR(C30="",D30=""),"",C30-D30)</f>
        <v>600</v>
      </c>
      <c r="F30" s="22"/>
      <c r="G30" s="21"/>
      <c r="H30" s="22" t="n">
        <f aca="false">SUMIFS(Resumo_Semanal!$AE$4:$AE$107,Resumo_Semanal!$D$4:$D$107,$C$5,Resumo_Semanal!$B$4:$B$107,"&lt;="&amp;$C$4)</f>
        <v>13000</v>
      </c>
      <c r="I30" s="22"/>
    </row>
    <row r="31" customFormat="false" ht="15" hidden="false" customHeight="false" outlineLevel="0" collapsed="false">
      <c r="B31" s="17" t="s">
        <v>197</v>
      </c>
      <c r="C31" s="20" t="n">
        <f aca="false">IFERROR(INDEX(Resumo_Semanal!$AG$4:$AG$107,MATCH($C$3,Resumo_Semanal!$A$4:$A$107,0)),"")</f>
        <v>2</v>
      </c>
      <c r="D31" s="20" t="n">
        <f aca="false">IFERROR(INDEX(Resumo_Semanal!$AG$4:$AG$107,MATCH($E$3,Resumo_Semanal!$A$4:$A$107,0)),"")</f>
        <v>2</v>
      </c>
      <c r="E31" s="20" t="n">
        <f aca="false">IF(OR(C31="",D31=""),"",C31-D31)</f>
        <v>0</v>
      </c>
      <c r="F31" s="20"/>
      <c r="G31" s="21"/>
      <c r="H31" s="20" t="n">
        <f aca="false">SUMIFS(Resumo_Semanal!$AG$4:$AG$107,Resumo_Semanal!$D$4:$D$107,$C$5,Resumo_Semanal!$B$4:$B$107,"&lt;="&amp;$C$4)</f>
        <v>4</v>
      </c>
      <c r="I31" s="20"/>
    </row>
    <row r="32" customFormat="false" ht="15" hidden="false" customHeight="false" outlineLevel="0" collapsed="false">
      <c r="B32" s="17" t="s">
        <v>198</v>
      </c>
      <c r="C32" s="20" t="n">
        <f aca="false">IFERROR(INDEX(Resumo_Semanal!$AH$4:$AH$107,MATCH($C$3,Resumo_Semanal!$A$4:$A$107,0)),"")</f>
        <v>2</v>
      </c>
      <c r="D32" s="20" t="n">
        <f aca="false">IFERROR(INDEX(Resumo_Semanal!$AH$4:$AH$107,MATCH($E$3,Resumo_Semanal!$A$4:$A$107,0)),"")</f>
        <v>1</v>
      </c>
      <c r="E32" s="20" t="n">
        <f aca="false">IF(OR(C32="",D32=""),"",C32-D32)</f>
        <v>1</v>
      </c>
      <c r="F32" s="20"/>
      <c r="G32" s="21"/>
      <c r="H32" s="20" t="n">
        <f aca="false">SUMIFS(Resumo_Semanal!$AH$4:$AH$107,Resumo_Semanal!$D$4:$D$107,$C$5,Resumo_Semanal!$B$4:$B$107,"&lt;="&amp;$C$4)</f>
        <v>3</v>
      </c>
      <c r="I32" s="20"/>
    </row>
    <row r="34" customFormat="false" ht="15" hidden="false" customHeight="false" outlineLevel="0" collapsed="false">
      <c r="B34" s="3" t="s">
        <v>243</v>
      </c>
    </row>
    <row r="35" customFormat="false" ht="23.85" hidden="false" customHeight="false" outlineLevel="0" collapsed="false">
      <c r="B35" s="19" t="s">
        <v>121</v>
      </c>
      <c r="C35" s="19" t="s">
        <v>228</v>
      </c>
      <c r="D35" s="19" t="s">
        <v>220</v>
      </c>
      <c r="E35" s="19" t="s">
        <v>229</v>
      </c>
      <c r="F35" s="19" t="s">
        <v>244</v>
      </c>
    </row>
    <row r="36" customFormat="false" ht="15" hidden="false" customHeight="false" outlineLevel="0" collapsed="false">
      <c r="B36" s="17" t="str">
        <f aca="false">Config!$I$10</f>
        <v>Instagram</v>
      </c>
      <c r="C36" s="13" t="n">
        <f aca="false">SUMIFS(Leads_Canal!$C$4:$C$503,Leads_Canal!$A$4:$A$503,$C$3,Leads_Canal!$B$4:$B$503,Config!$I$10)</f>
        <v>20</v>
      </c>
      <c r="D36" s="13" t="n">
        <f aca="false">SUMIFS(Leads_Canal!$C$4:$C$503,Leads_Canal!$A$4:$A$503,$E$3,Leads_Canal!$B$4:$B$503,Config!$I$10)</f>
        <v>16</v>
      </c>
      <c r="E36" s="13" t="n">
        <f aca="false">C36-D36</f>
        <v>4</v>
      </c>
      <c r="F36" s="21" t="n">
        <f aca="false">IF(SUM($C$36:$C$44)=0,"",C36/SUM($C$36:$C$44))</f>
        <v>0.444444444444444</v>
      </c>
    </row>
    <row r="37" customFormat="false" ht="15" hidden="false" customHeight="false" outlineLevel="0" collapsed="false">
      <c r="B37" s="17" t="str">
        <f aca="false">Config!$I$11</f>
        <v>Google</v>
      </c>
      <c r="C37" s="13" t="n">
        <f aca="false">SUMIFS(Leads_Canal!$C$4:$C$503,Leads_Canal!$A$4:$A$503,$C$3,Leads_Canal!$B$4:$B$503,Config!$I$11)</f>
        <v>12</v>
      </c>
      <c r="D37" s="13" t="n">
        <f aca="false">SUMIFS(Leads_Canal!$C$4:$C$503,Leads_Canal!$A$4:$A$503,$E$3,Leads_Canal!$B$4:$B$503,Config!$I$11)</f>
        <v>10</v>
      </c>
      <c r="E37" s="13" t="n">
        <f aca="false">C37-D37</f>
        <v>2</v>
      </c>
      <c r="F37" s="21" t="n">
        <f aca="false">IF(SUM($C$36:$C$44)=0,"",C37/SUM($C$36:$C$44))</f>
        <v>0.266666666666667</v>
      </c>
    </row>
    <row r="38" customFormat="false" ht="15" hidden="false" customHeight="false" outlineLevel="0" collapsed="false">
      <c r="B38" s="17" t="str">
        <f aca="false">Config!$I$12</f>
        <v>WhatsApp direto</v>
      </c>
      <c r="C38" s="13" t="n">
        <f aca="false">SUMIFS(Leads_Canal!$C$4:$C$503,Leads_Canal!$A$4:$A$503,$C$3,Leads_Canal!$B$4:$B$503,Config!$I$12)</f>
        <v>5</v>
      </c>
      <c r="D38" s="13" t="n">
        <f aca="false">SUMIFS(Leads_Canal!$C$4:$C$503,Leads_Canal!$A$4:$A$503,$E$3,Leads_Canal!$B$4:$B$503,Config!$I$12)</f>
        <v>5</v>
      </c>
      <c r="E38" s="13" t="n">
        <f aca="false">C38-D38</f>
        <v>0</v>
      </c>
      <c r="F38" s="21" t="n">
        <f aca="false">IF(SUM($C$36:$C$44)=0,"",C38/SUM($C$36:$C$44))</f>
        <v>0.111111111111111</v>
      </c>
    </row>
    <row r="39" customFormat="false" ht="15" hidden="false" customHeight="false" outlineLevel="0" collapsed="false">
      <c r="B39" s="17" t="str">
        <f aca="false">Config!$I$13</f>
        <v>Indicação</v>
      </c>
      <c r="C39" s="13" t="n">
        <f aca="false">SUMIFS(Leads_Canal!$C$4:$C$503,Leads_Canal!$A$4:$A$503,$C$3,Leads_Canal!$B$4:$B$503,Config!$I$13)</f>
        <v>8</v>
      </c>
      <c r="D39" s="13" t="n">
        <f aca="false">SUMIFS(Leads_Canal!$C$4:$C$503,Leads_Canal!$A$4:$A$503,$E$3,Leads_Canal!$B$4:$B$503,Config!$I$13)</f>
        <v>7</v>
      </c>
      <c r="E39" s="13" t="n">
        <f aca="false">C39-D39</f>
        <v>1</v>
      </c>
      <c r="F39" s="21" t="n">
        <f aca="false">IF(SUM($C$36:$C$44)=0,"",C39/SUM($C$36:$C$44))</f>
        <v>0.177777777777778</v>
      </c>
    </row>
    <row r="40" customFormat="false" ht="15" hidden="false" customHeight="false" outlineLevel="0" collapsed="false">
      <c r="B40" s="17" t="str">
        <f aca="false">Config!$I$14</f>
        <v>Facebook</v>
      </c>
      <c r="C40" s="13" t="n">
        <f aca="false">SUMIFS(Leads_Canal!$C$4:$C$503,Leads_Canal!$A$4:$A$503,$C$3,Leads_Canal!$B$4:$B$503,Config!$I$14)</f>
        <v>0</v>
      </c>
      <c r="D40" s="13" t="n">
        <f aca="false">SUMIFS(Leads_Canal!$C$4:$C$503,Leads_Canal!$A$4:$A$503,$E$3,Leads_Canal!$B$4:$B$503,Config!$I$14)</f>
        <v>0</v>
      </c>
      <c r="E40" s="13" t="n">
        <f aca="false">C40-D40</f>
        <v>0</v>
      </c>
      <c r="F40" s="21" t="n">
        <f aca="false">IF(SUM($C$36:$C$44)=0,"",C40/SUM($C$36:$C$44))</f>
        <v>0</v>
      </c>
    </row>
    <row r="41" customFormat="false" ht="15" hidden="false" customHeight="false" outlineLevel="0" collapsed="false">
      <c r="B41" s="17" t="str">
        <f aca="false">Config!$I$15</f>
        <v>Site</v>
      </c>
      <c r="C41" s="13" t="n">
        <f aca="false">SUMIFS(Leads_Canal!$C$4:$C$503,Leads_Canal!$A$4:$A$503,$C$3,Leads_Canal!$B$4:$B$503,Config!$I$15)</f>
        <v>0</v>
      </c>
      <c r="D41" s="13" t="n">
        <f aca="false">SUMIFS(Leads_Canal!$C$4:$C$503,Leads_Canal!$A$4:$A$503,$E$3,Leads_Canal!$B$4:$B$503,Config!$I$15)</f>
        <v>0</v>
      </c>
      <c r="E41" s="13" t="n">
        <f aca="false">C41-D41</f>
        <v>0</v>
      </c>
      <c r="F41" s="21" t="n">
        <f aca="false">IF(SUM($C$36:$C$44)=0,"",C41/SUM($C$36:$C$44))</f>
        <v>0</v>
      </c>
    </row>
    <row r="42" customFormat="false" ht="15" hidden="false" customHeight="false" outlineLevel="0" collapsed="false">
      <c r="B42" s="17" t="str">
        <f aca="false">Config!$I$16</f>
        <v>Convênio/Parceria</v>
      </c>
      <c r="C42" s="13" t="n">
        <f aca="false">SUMIFS(Leads_Canal!$C$4:$C$503,Leads_Canal!$A$4:$A$503,$C$3,Leads_Canal!$B$4:$B$503,Config!$I$16)</f>
        <v>0</v>
      </c>
      <c r="D42" s="13" t="n">
        <f aca="false">SUMIFS(Leads_Canal!$C$4:$C$503,Leads_Canal!$A$4:$A$503,$E$3,Leads_Canal!$B$4:$B$503,Config!$I$16)</f>
        <v>0</v>
      </c>
      <c r="E42" s="13" t="n">
        <f aca="false">C42-D42</f>
        <v>0</v>
      </c>
      <c r="F42" s="21" t="n">
        <f aca="false">IF(SUM($C$36:$C$44)=0,"",C42/SUM($C$36:$C$44))</f>
        <v>0</v>
      </c>
    </row>
    <row r="43" customFormat="false" ht="15" hidden="false" customHeight="false" outlineLevel="0" collapsed="false">
      <c r="B43" s="17" t="str">
        <f aca="false">Config!$I$17</f>
        <v>Passante/Fachada</v>
      </c>
      <c r="C43" s="13" t="n">
        <f aca="false">SUMIFS(Leads_Canal!$C$4:$C$503,Leads_Canal!$A$4:$A$503,$C$3,Leads_Canal!$B$4:$B$503,Config!$I$17)</f>
        <v>0</v>
      </c>
      <c r="D43" s="13" t="n">
        <f aca="false">SUMIFS(Leads_Canal!$C$4:$C$503,Leads_Canal!$A$4:$A$503,$E$3,Leads_Canal!$B$4:$B$503,Config!$I$17)</f>
        <v>0</v>
      </c>
      <c r="E43" s="13" t="n">
        <f aca="false">C43-D43</f>
        <v>0</v>
      </c>
      <c r="F43" s="21" t="n">
        <f aca="false">IF(SUM($C$36:$C$44)=0,"",C43/SUM($C$36:$C$44))</f>
        <v>0</v>
      </c>
    </row>
    <row r="44" customFormat="false" ht="15" hidden="false" customHeight="false" outlineLevel="0" collapsed="false">
      <c r="B44" s="17" t="str">
        <f aca="false">Config!$I$18</f>
        <v>Outro</v>
      </c>
      <c r="C44" s="13" t="n">
        <f aca="false">SUMIFS(Leads_Canal!$C$4:$C$503,Leads_Canal!$A$4:$A$503,$C$3,Leads_Canal!$B$4:$B$503,Config!$I$18)</f>
        <v>0</v>
      </c>
      <c r="D44" s="13" t="n">
        <f aca="false">SUMIFS(Leads_Canal!$C$4:$C$503,Leads_Canal!$A$4:$A$503,$E$3,Leads_Canal!$B$4:$B$503,Config!$I$18)</f>
        <v>0</v>
      </c>
      <c r="E44" s="13" t="n">
        <f aca="false">C44-D44</f>
        <v>0</v>
      </c>
      <c r="F44" s="21" t="n">
        <f aca="false">IF(SUM($C$36:$C$44)=0,"",C44/SUM($C$36:$C$44))</f>
        <v>0</v>
      </c>
    </row>
    <row r="46" customFormat="false" ht="19.5" hidden="false" customHeight="true" outlineLevel="0" collapsed="false">
      <c r="B46" s="14" t="s">
        <v>245</v>
      </c>
      <c r="C46" s="15"/>
      <c r="D46" s="15"/>
      <c r="E46" s="15"/>
      <c r="F46" s="15"/>
      <c r="G46" s="15"/>
      <c r="H46" s="15"/>
      <c r="I46" s="15"/>
    </row>
    <row r="47" customFormat="false" ht="23.85" hidden="false" customHeight="false" outlineLevel="0" collapsed="false">
      <c r="B47" s="19" t="s">
        <v>227</v>
      </c>
      <c r="C47" s="19" t="s">
        <v>228</v>
      </c>
      <c r="D47" s="19" t="s">
        <v>220</v>
      </c>
      <c r="E47" s="19" t="s">
        <v>229</v>
      </c>
      <c r="F47" s="19" t="s">
        <v>230</v>
      </c>
      <c r="G47" s="19" t="s">
        <v>231</v>
      </c>
      <c r="H47" s="19" t="s">
        <v>232</v>
      </c>
      <c r="I47" s="19" t="s">
        <v>233</v>
      </c>
    </row>
    <row r="48" customFormat="false" ht="15" hidden="false" customHeight="false" outlineLevel="0" collapsed="false">
      <c r="B48" s="17" t="str">
        <f aca="false">"Atendimentos realizados — "&amp;Config!$B$5</f>
        <v>Atendimentos realizados — Ariosto</v>
      </c>
      <c r="C48" s="20" t="n">
        <f aca="false">IFERROR(INDEX(Resumo_Semanal!$P$4:$P$107,MATCH($C$3,Resumo_Semanal!$A$4:$A$107,0)),"")</f>
        <v>63</v>
      </c>
      <c r="D48" s="20" t="n">
        <f aca="false">IFERROR(INDEX(Resumo_Semanal!$P$4:$P$107,MATCH($E$3,Resumo_Semanal!$A$4:$A$107,0)),"")</f>
        <v>58</v>
      </c>
      <c r="E48" s="20" t="n">
        <f aca="false">IF(OR(C48="",D48=""),"",C48-D48)</f>
        <v>5</v>
      </c>
      <c r="F48" s="20"/>
      <c r="G48" s="21"/>
      <c r="H48" s="20" t="n">
        <f aca="false">SUMIFS(Resumo_Semanal!$P$4:$P$107,Resumo_Semanal!$D$4:$D$107,$C$5,Resumo_Semanal!$B$4:$B$107,"&lt;="&amp;$C$4)</f>
        <v>121</v>
      </c>
      <c r="I48" s="20"/>
    </row>
    <row r="49" customFormat="false" ht="15" hidden="false" customHeight="false" outlineLevel="0" collapsed="false">
      <c r="B49" s="17" t="str">
        <f aca="false">"Atendimentos realizados — "&amp;Config!$B$6</f>
        <v>Atendimentos realizados — Tássia</v>
      </c>
      <c r="C49" s="20" t="n">
        <f aca="false">IFERROR(INDEX(Resumo_Semanal!$Q$4:$Q$107,MATCH($C$3,Resumo_Semanal!$A$4:$A$107,0)),"")</f>
        <v>57</v>
      </c>
      <c r="D49" s="20" t="n">
        <f aca="false">IFERROR(INDEX(Resumo_Semanal!$Q$4:$Q$107,MATCH($E$3,Resumo_Semanal!$A$4:$A$107,0)),"")</f>
        <v>52</v>
      </c>
      <c r="E49" s="20" t="n">
        <f aca="false">IF(OR(C49="",D49=""),"",C49-D49)</f>
        <v>5</v>
      </c>
      <c r="F49" s="20"/>
      <c r="G49" s="21"/>
      <c r="H49" s="20" t="n">
        <f aca="false">SUMIFS(Resumo_Semanal!$Q$4:$Q$107,Resumo_Semanal!$D$4:$D$107,$C$5,Resumo_Semanal!$B$4:$B$107,"&lt;="&amp;$C$4)</f>
        <v>109</v>
      </c>
      <c r="I49" s="20"/>
    </row>
    <row r="50" customFormat="false" ht="15" hidden="false" customHeight="false" outlineLevel="0" collapsed="false">
      <c r="B50" s="17" t="s">
        <v>246</v>
      </c>
      <c r="C50" s="20" t="n">
        <f aca="false">IFERROR(INDEX(Resumo_Semanal!$R$4:$R$107,MATCH($C$3,Resumo_Semanal!$A$4:$A$107,0)),"")</f>
        <v>120</v>
      </c>
      <c r="D50" s="20" t="n">
        <f aca="false">IFERROR(INDEX(Resumo_Semanal!$R$4:$R$107,MATCH($E$3,Resumo_Semanal!$A$4:$A$107,0)),"")</f>
        <v>110</v>
      </c>
      <c r="E50" s="20" t="n">
        <f aca="false">IF(OR(C50="",D50=""),"",C50-D50)</f>
        <v>10</v>
      </c>
      <c r="F50" s="20" t="n">
        <f aca="false">Config!$B$14</f>
        <v>120</v>
      </c>
      <c r="G50" s="21" t="n">
        <f aca="false">IF(OR(C50="",F50=0),"",C50/F50)</f>
        <v>1</v>
      </c>
      <c r="H50" s="20" t="n">
        <f aca="false">SUMIFS(Resumo_Semanal!$R$4:$R$107,Resumo_Semanal!$D$4:$D$107,$C$5,Resumo_Semanal!$B$4:$B$107,"&lt;="&amp;$C$4)</f>
        <v>230</v>
      </c>
      <c r="I50" s="20" t="n">
        <f aca="false">Config!$C$14</f>
        <v>500</v>
      </c>
    </row>
    <row r="51" customFormat="false" ht="15" hidden="false" customHeight="false" outlineLevel="0" collapsed="false">
      <c r="B51" s="17" t="s">
        <v>56</v>
      </c>
      <c r="C51" s="20" t="n">
        <f aca="false">IFERROR(INDEX(Resumo_Semanal!$S$4:$S$107,MATCH($C$3,Resumo_Semanal!$A$4:$A$107,0)),"")</f>
        <v>5</v>
      </c>
      <c r="D51" s="20" t="n">
        <f aca="false">IFERROR(INDEX(Resumo_Semanal!$S$4:$S$107,MATCH($E$3,Resumo_Semanal!$A$4:$A$107,0)),"")</f>
        <v>7</v>
      </c>
      <c r="E51" s="20" t="n">
        <f aca="false">IF(OR(C51="",D51=""),"",C51-D51)</f>
        <v>-2</v>
      </c>
      <c r="F51" s="20"/>
      <c r="G51" s="21"/>
      <c r="H51" s="20" t="n">
        <f aca="false">SUMIFS(Resumo_Semanal!$S$4:$S$107,Resumo_Semanal!$D$4:$D$107,$C$5,Resumo_Semanal!$B$4:$B$107,"&lt;="&amp;$C$4)</f>
        <v>12</v>
      </c>
      <c r="I51" s="20"/>
    </row>
    <row r="52" customFormat="false" ht="15" hidden="false" customHeight="false" outlineLevel="0" collapsed="false">
      <c r="B52" s="17" t="s">
        <v>247</v>
      </c>
      <c r="C52" s="21" t="n">
        <f aca="false">IFERROR(INDEX(Resumo_Semanal!$U$4:$U$107,MATCH($C$3,Resumo_Semanal!$A$4:$A$107,0)),"")</f>
        <v>0.95</v>
      </c>
      <c r="D52" s="21" t="n">
        <f aca="false">IFERROR(INDEX(Resumo_Semanal!$U$4:$U$107,MATCH($E$3,Resumo_Semanal!$A$4:$A$107,0)),"")</f>
        <v>0.9</v>
      </c>
      <c r="E52" s="21" t="n">
        <f aca="false">IF(OR(C52="",D52=""),"",C52-D52)</f>
        <v>0.0499999999999999</v>
      </c>
      <c r="F52" s="21" t="n">
        <f aca="false">Config!$B$15</f>
        <v>0.85</v>
      </c>
      <c r="G52" s="21" t="n">
        <f aca="false">IF(OR(C52="",F52=0),"",C52/F52)</f>
        <v>1.11764705882353</v>
      </c>
      <c r="H52" s="21"/>
      <c r="I52" s="21" t="n">
        <f aca="false">Config!$C$15</f>
        <v>0.85</v>
      </c>
    </row>
    <row r="53" customFormat="false" ht="15" hidden="false" customHeight="false" outlineLevel="0" collapsed="false">
      <c r="B53" s="17" t="s">
        <v>248</v>
      </c>
      <c r="C53" s="21" t="n">
        <f aca="false">IFERROR(INDEX(Resumo_Semanal!$V$4:$V$107,MATCH($C$3,Resumo_Semanal!$A$4:$A$107,0)),"")</f>
        <v>0.916666666666667</v>
      </c>
      <c r="D53" s="21" t="n">
        <f aca="false">IFERROR(INDEX(Resumo_Semanal!$V$4:$V$107,MATCH($E$3,Resumo_Semanal!$A$4:$A$107,0)),"")</f>
        <v>0.833333333333333</v>
      </c>
      <c r="E53" s="21" t="n">
        <f aca="false">IF(OR(C53="",D53=""),"",C53-D53)</f>
        <v>0.0833333333333333</v>
      </c>
      <c r="F53" s="21" t="n">
        <f aca="false">Config!$B$15</f>
        <v>0.85</v>
      </c>
      <c r="G53" s="21" t="n">
        <f aca="false">IF(OR(C53="",F53=0),"",C53/F53)</f>
        <v>1.07843137254902</v>
      </c>
      <c r="H53" s="21"/>
      <c r="I53" s="21" t="n">
        <f aca="false">Config!$C$15</f>
        <v>0.85</v>
      </c>
    </row>
    <row r="54" customFormat="false" ht="15" hidden="false" customHeight="false" outlineLevel="0" collapsed="false">
      <c r="B54" s="17" t="s">
        <v>249</v>
      </c>
      <c r="C54" s="21" t="n">
        <f aca="false">IFERROR(INDEX(Resumo_Semanal!$W$4:$W$107,MATCH($C$3,Resumo_Semanal!$A$4:$A$107,0)),"")</f>
        <v>0.933333333333333</v>
      </c>
      <c r="D54" s="21" t="n">
        <f aca="false">IFERROR(INDEX(Resumo_Semanal!$W$4:$W$107,MATCH($E$3,Resumo_Semanal!$A$4:$A$107,0)),"")</f>
        <v>0.866666666666667</v>
      </c>
      <c r="E54" s="21" t="n">
        <f aca="false">IF(OR(C54="",D54=""),"",C54-D54)</f>
        <v>0.0666666666666667</v>
      </c>
      <c r="F54" s="21" t="n">
        <f aca="false">Config!$B$15</f>
        <v>0.85</v>
      </c>
      <c r="G54" s="21" t="n">
        <f aca="false">IF(OR(C54="",F54=0),"",C54/F54)</f>
        <v>1.09803921568627</v>
      </c>
      <c r="H54" s="21"/>
      <c r="I54" s="21" t="n">
        <f aca="false">Config!$C$15</f>
        <v>0.85</v>
      </c>
    </row>
    <row r="55" customFormat="false" ht="15" hidden="false" customHeight="false" outlineLevel="0" collapsed="false">
      <c r="B55" s="17" t="str">
        <f aca="false">"Tempo médio de atendimento (min) — "&amp;Config!$B$5</f>
        <v>Tempo médio de atendimento (min) — Ariosto</v>
      </c>
      <c r="C55" s="23" t="n">
        <f aca="false">IFERROR(INDEX(Resumo_Semanal!$X$4:$X$107,MATCH($C$3,Resumo_Semanal!$A$4:$A$107,0)),"")</f>
        <v>41.2</v>
      </c>
      <c r="D55" s="23" t="n">
        <f aca="false">IFERROR(INDEX(Resumo_Semanal!$X$4:$X$107,MATCH($E$3,Resumo_Semanal!$A$4:$A$107,0)),"")</f>
        <v>42.5</v>
      </c>
      <c r="E55" s="23" t="n">
        <f aca="false">IF(OR(C55="",D55=""),"",C55-D55)</f>
        <v>-1.3</v>
      </c>
      <c r="F55" s="23"/>
      <c r="G55" s="21"/>
      <c r="H55" s="23"/>
      <c r="I55" s="23"/>
    </row>
    <row r="56" customFormat="false" ht="15" hidden="false" customHeight="false" outlineLevel="0" collapsed="false">
      <c r="B56" s="17" t="str">
        <f aca="false">"Desvio padrão (min) — "&amp;Config!$B$5</f>
        <v>Desvio padrão (min) — Ariosto</v>
      </c>
      <c r="C56" s="23" t="n">
        <f aca="false">IFERROR(INDEX(Resumo_Semanal!$Y$4:$Y$107,MATCH($C$3,Resumo_Semanal!$A$4:$A$107,0)),"")</f>
        <v>5.8</v>
      </c>
      <c r="D56" s="23" t="n">
        <f aca="false">IFERROR(INDEX(Resumo_Semanal!$Y$4:$Y$107,MATCH($E$3,Resumo_Semanal!$A$4:$A$107,0)),"")</f>
        <v>6.1</v>
      </c>
      <c r="E56" s="23" t="n">
        <f aca="false">IF(OR(C56="",D56=""),"",C56-D56)</f>
        <v>-0.3</v>
      </c>
      <c r="F56" s="23"/>
      <c r="G56" s="21"/>
      <c r="H56" s="23"/>
      <c r="I56" s="23"/>
    </row>
    <row r="57" customFormat="false" ht="15" hidden="false" customHeight="false" outlineLevel="0" collapsed="false">
      <c r="B57" s="17" t="str">
        <f aca="false">"Tempo médio de atendimento (min) — "&amp;Config!$B$6</f>
        <v>Tempo médio de atendimento (min) — Tássia</v>
      </c>
      <c r="C57" s="23" t="n">
        <f aca="false">IFERROR(INDEX(Resumo_Semanal!$Z$4:$Z$107,MATCH($C$3,Resumo_Semanal!$A$4:$A$107,0)),"")</f>
        <v>40.5</v>
      </c>
      <c r="D57" s="23" t="n">
        <f aca="false">IFERROR(INDEX(Resumo_Semanal!$Z$4:$Z$107,MATCH($E$3,Resumo_Semanal!$A$4:$A$107,0)),"")</f>
        <v>39.8</v>
      </c>
      <c r="E57" s="23" t="n">
        <f aca="false">IF(OR(C57="",D57=""),"",C57-D57)</f>
        <v>0.700000000000003</v>
      </c>
      <c r="F57" s="23"/>
      <c r="G57" s="21"/>
      <c r="H57" s="23"/>
      <c r="I57" s="23"/>
    </row>
    <row r="58" customFormat="false" ht="15" hidden="false" customHeight="false" outlineLevel="0" collapsed="false">
      <c r="B58" s="17" t="str">
        <f aca="false">"Desvio padrão (min) — "&amp;Config!$B$6</f>
        <v>Desvio padrão (min) — Tássia</v>
      </c>
      <c r="C58" s="23" t="n">
        <f aca="false">IFERROR(INDEX(Resumo_Semanal!$AA$4:$AA$107,MATCH($C$3,Resumo_Semanal!$A$4:$A$107,0)),"")</f>
        <v>4.9</v>
      </c>
      <c r="D58" s="23" t="n">
        <f aca="false">IFERROR(INDEX(Resumo_Semanal!$AA$4:$AA$107,MATCH($E$3,Resumo_Semanal!$A$4:$A$107,0)),"")</f>
        <v>5.4</v>
      </c>
      <c r="E58" s="23" t="n">
        <f aca="false">IF(OR(C58="",D58=""),"",C58-D58)</f>
        <v>-0.5</v>
      </c>
      <c r="F58" s="23"/>
      <c r="G58" s="21"/>
      <c r="H58" s="23"/>
      <c r="I58" s="23"/>
    </row>
    <row r="60" customFormat="false" ht="19.5" hidden="false" customHeight="true" outlineLevel="0" collapsed="false">
      <c r="B60" s="14" t="s">
        <v>250</v>
      </c>
      <c r="C60" s="15"/>
      <c r="D60" s="15"/>
      <c r="E60" s="15"/>
      <c r="F60" s="15"/>
      <c r="G60" s="15"/>
      <c r="H60" s="15"/>
      <c r="I60" s="15"/>
    </row>
    <row r="61" customFormat="false" ht="23.85" hidden="false" customHeight="false" outlineLevel="0" collapsed="false">
      <c r="B61" s="19" t="s">
        <v>227</v>
      </c>
      <c r="C61" s="19" t="s">
        <v>228</v>
      </c>
      <c r="D61" s="19" t="s">
        <v>220</v>
      </c>
      <c r="E61" s="19" t="s">
        <v>229</v>
      </c>
      <c r="F61" s="19" t="s">
        <v>230</v>
      </c>
      <c r="G61" s="19" t="s">
        <v>231</v>
      </c>
      <c r="H61" s="19" t="s">
        <v>232</v>
      </c>
      <c r="I61" s="19" t="s">
        <v>233</v>
      </c>
    </row>
    <row r="62" customFormat="false" ht="15" hidden="false" customHeight="false" outlineLevel="0" collapsed="false">
      <c r="B62" s="17" t="s">
        <v>251</v>
      </c>
      <c r="C62" s="22" t="n">
        <f aca="false">IFERROR(INDEX(Resumo_Semanal!$AI$4:$AI$107,MATCH($C$3,Resumo_Semanal!$A$4:$A$107,0)),"")</f>
        <v>2860</v>
      </c>
      <c r="D62" s="22" t="n">
        <f aca="false">IFERROR(INDEX(Resumo_Semanal!$AI$4:$AI$107,MATCH($E$3,Resumo_Semanal!$A$4:$A$107,0)),"")</f>
        <v>3183.33</v>
      </c>
      <c r="E62" s="22" t="n">
        <f aca="false">IF(OR(C62="",D62=""),"",C62-D62)</f>
        <v>-323.33</v>
      </c>
      <c r="F62" s="22" t="n">
        <f aca="false">Config!$B$16</f>
        <v>30000</v>
      </c>
      <c r="G62" s="21" t="n">
        <f aca="false">IF(OR(C62="",F62=0),"",C62/F62)</f>
        <v>0.0953333333333333</v>
      </c>
      <c r="H62" s="22" t="n">
        <f aca="false">SUMIFS(Resumo_Semanal!$AI$4:$AI$107,Resumo_Semanal!$D$4:$D$107,$C$5,Resumo_Semanal!$B$4:$B$107,"&lt;="&amp;$C$4)</f>
        <v>6043.33</v>
      </c>
      <c r="I62" s="22" t="n">
        <f aca="false">Config!$C$16</f>
        <v>120000</v>
      </c>
    </row>
    <row r="63" customFormat="false" ht="15" hidden="false" customHeight="false" outlineLevel="0" collapsed="false">
      <c r="B63" s="17" t="s">
        <v>252</v>
      </c>
      <c r="C63" s="22" t="n">
        <f aca="false">IFERROR(INDEX(Resumo_Semanal!$AJ$4:$AJ$107,MATCH($C$3,Resumo_Semanal!$A$4:$A$107,0)),"")</f>
        <v>4880</v>
      </c>
      <c r="D63" s="22" t="n">
        <f aca="false">IFERROR(INDEX(Resumo_Semanal!$AJ$4:$AJ$107,MATCH($E$3,Resumo_Semanal!$A$4:$A$107,0)),"")</f>
        <v>2800</v>
      </c>
      <c r="E63" s="22" t="n">
        <f aca="false">IF(OR(C63="",D63=""),"",C63-D63)</f>
        <v>2080</v>
      </c>
      <c r="F63" s="22" t="n">
        <f aca="false">Config!$B$17</f>
        <v>18000</v>
      </c>
      <c r="G63" s="21" t="n">
        <f aca="false">IF(OR(C63="",F63=0),"",C63/F63)</f>
        <v>0.271111111111111</v>
      </c>
      <c r="H63" s="22" t="n">
        <f aca="false">SUMIFS(Resumo_Semanal!$AJ$4:$AJ$107,Resumo_Semanal!$D$4:$D$107,$C$5,Resumo_Semanal!$B$4:$B$107,"&lt;="&amp;$C$4)</f>
        <v>7680</v>
      </c>
      <c r="I63" s="22" t="n">
        <f aca="false">Config!$C$17</f>
        <v>72000</v>
      </c>
    </row>
    <row r="64" customFormat="false" ht="15" hidden="false" customHeight="false" outlineLevel="0" collapsed="false">
      <c r="B64" s="17" t="s">
        <v>201</v>
      </c>
      <c r="C64" s="22" t="n">
        <f aca="false">IFERROR(INDEX(Resumo_Semanal!$AK$4:$AK$107,MATCH($C$3,Resumo_Semanal!$A$4:$A$107,0)),"")</f>
        <v>1850</v>
      </c>
      <c r="D64" s="22" t="n">
        <f aca="false">IFERROR(INDEX(Resumo_Semanal!$AK$4:$AK$107,MATCH($E$3,Resumo_Semanal!$A$4:$A$107,0)),"")</f>
        <v>0</v>
      </c>
      <c r="E64" s="22" t="n">
        <f aca="false">IF(OR(C64="",D64=""),"",C64-D64)</f>
        <v>1850</v>
      </c>
      <c r="F64" s="22"/>
      <c r="G64" s="21"/>
      <c r="H64" s="22" t="n">
        <f aca="false">SUMIFS(Resumo_Semanal!$AK$4:$AK$107,Resumo_Semanal!$D$4:$D$107,$C$5,Resumo_Semanal!$B$4:$B$107,"&lt;="&amp;$C$4)</f>
        <v>1850</v>
      </c>
      <c r="I64" s="22"/>
    </row>
    <row r="65" customFormat="false" ht="15" hidden="false" customHeight="false" outlineLevel="0" collapsed="false">
      <c r="B65" s="17" t="s">
        <v>253</v>
      </c>
      <c r="C65" s="22" t="n">
        <f aca="false">IFERROR(INDEX(Resumo_Semanal!$AL$4:$AL$107,MATCH($C$3,Resumo_Semanal!$A$4:$A$107,0)),"")</f>
        <v>700</v>
      </c>
      <c r="D65" s="22" t="n">
        <f aca="false">IFERROR(INDEX(Resumo_Semanal!$AL$4:$AL$107,MATCH($E$3,Resumo_Semanal!$A$4:$A$107,0)),"")</f>
        <v>600</v>
      </c>
      <c r="E65" s="22" t="n">
        <f aca="false">IF(OR(C65="",D65=""),"",C65-D65)</f>
        <v>100</v>
      </c>
      <c r="F65" s="22" t="n">
        <f aca="false">Config!$B$18</f>
        <v>2500</v>
      </c>
      <c r="G65" s="21" t="n">
        <f aca="false">IF(OR(C65="",F65=0),"",C65/F65)</f>
        <v>0.28</v>
      </c>
      <c r="H65" s="22" t="n">
        <f aca="false">SUMIFS(Resumo_Semanal!$AL$4:$AL$107,Resumo_Semanal!$D$4:$D$107,$C$5,Resumo_Semanal!$B$4:$B$107,"&lt;="&amp;$C$4)</f>
        <v>1300</v>
      </c>
      <c r="I65" s="22" t="n">
        <f aca="false">Config!$C$18</f>
        <v>10000</v>
      </c>
    </row>
    <row r="66" customFormat="false" ht="15" hidden="false" customHeight="false" outlineLevel="0" collapsed="false">
      <c r="B66" s="17" t="s">
        <v>254</v>
      </c>
      <c r="C66" s="22" t="n">
        <f aca="false">IFERROR(INDEX(Resumo_Semanal!$AM$4:$AM$107,MATCH($C$3,Resumo_Semanal!$A$4:$A$107,0)),"")</f>
        <v>-4570</v>
      </c>
      <c r="D66" s="22" t="n">
        <f aca="false">IFERROR(INDEX(Resumo_Semanal!$AM$4:$AM$107,MATCH($E$3,Resumo_Semanal!$A$4:$A$107,0)),"")</f>
        <v>-216.67</v>
      </c>
      <c r="E66" s="22" t="n">
        <f aca="false">IF(OR(C66="",D66=""),"",C66-D66)</f>
        <v>-4353.33</v>
      </c>
      <c r="F66" s="22"/>
      <c r="G66" s="21"/>
      <c r="H66" s="22" t="n">
        <f aca="false">SUMIFS(Resumo_Semanal!$AM$4:$AM$107,Resumo_Semanal!$D$4:$D$107,$C$5,Resumo_Semanal!$B$4:$B$107,"&lt;="&amp;$C$4)</f>
        <v>-4786.67</v>
      </c>
      <c r="I66" s="22"/>
    </row>
    <row r="67" customFormat="false" ht="15" hidden="false" customHeight="false" outlineLevel="0" collapsed="false">
      <c r="B67" s="17" t="s">
        <v>255</v>
      </c>
      <c r="C67" s="22" t="n">
        <f aca="false">IFERROR(INDEX(Resumo_Semanal!$AP$4:$AP$107,MATCH($C$3,Resumo_Semanal!$A$4:$A$107,0)),"")</f>
        <v>77.7777777777778</v>
      </c>
      <c r="D67" s="22" t="n">
        <f aca="false">IFERROR(INDEX(Resumo_Semanal!$AP$4:$AP$107,MATCH($E$3,Resumo_Semanal!$A$4:$A$107,0)),"")</f>
        <v>100</v>
      </c>
      <c r="E67" s="22" t="n">
        <f aca="false">IF(OR(C67="",D67=""),"",C67-D67)</f>
        <v>-22.2222222222222</v>
      </c>
      <c r="F67" s="22"/>
      <c r="G67" s="21"/>
      <c r="H67" s="22"/>
      <c r="I67" s="22"/>
    </row>
    <row r="68" customFormat="false" ht="15" hidden="false" customHeight="false" outlineLevel="0" collapsed="false">
      <c r="B68" s="17" t="s">
        <v>256</v>
      </c>
      <c r="C68" s="22" t="n">
        <f aca="false">SUMIFS(Financeiro!$G$4:$G$503,Financeiro!$D$4:$D$503,"Receita",Financeiro!$H$4:$H$503,"Pendente")</f>
        <v>950</v>
      </c>
      <c r="D68" s="13" t="str">
        <f aca="false">COUNTIFS(Financeiro!$D$4:$D$503,"Receita",Financeiro!$H$4:$H$503,"Pendente")&amp;" lançamento(s)"</f>
        <v>1 lançamento(s)</v>
      </c>
    </row>
    <row r="69" customFormat="false" ht="15" hidden="false" customHeight="false" outlineLevel="0" collapsed="false">
      <c r="B69" s="17" t="s">
        <v>257</v>
      </c>
      <c r="C69" s="22" t="n">
        <f aca="false">SUMIFS(Financeiro!$G$4:$G$503,Financeiro!$D$4:$D$503,"Receita",Financeiro!$H$4:$H$503,"Atrasado")</f>
        <v>760</v>
      </c>
      <c r="D69" s="13" t="str">
        <f aca="false">COUNTIFS(Financeiro!$D$4:$D$503,"Receita",Financeiro!$H$4:$H$503,"Atrasado")&amp;" lançamento(s)"</f>
        <v>1 lançamento(s)</v>
      </c>
    </row>
    <row r="70" customFormat="false" ht="15" hidden="false" customHeight="false" outlineLevel="0" collapsed="false">
      <c r="B70" s="2" t="s">
        <v>258</v>
      </c>
    </row>
    <row r="72" customFormat="false" ht="19.5" hidden="false" customHeight="true" outlineLevel="0" collapsed="false">
      <c r="B72" s="14" t="s">
        <v>259</v>
      </c>
      <c r="C72" s="15"/>
      <c r="D72" s="15"/>
      <c r="E72" s="15"/>
      <c r="F72" s="15"/>
      <c r="G72" s="15"/>
      <c r="H72" s="15"/>
      <c r="I72" s="15"/>
    </row>
    <row r="73" customFormat="false" ht="45" hidden="false" customHeight="true" outlineLevel="0" collapsed="false">
      <c r="B73" s="18" t="s">
        <v>260</v>
      </c>
      <c r="C73" s="9" t="str">
        <f aca="false">IFERROR(INDEX(Reuniao_Semanal!$E$4:$E$203,MATCH($C$3,Reuniao_Semanal!$A$4:$A$203,0)),"")</f>
        <v>Roberto A. — 2 faltas seguidas e parcela em atraso; Ana R. — reclamou de espera</v>
      </c>
      <c r="D73" s="9"/>
      <c r="E73" s="9"/>
      <c r="F73" s="9"/>
      <c r="G73" s="9"/>
      <c r="H73" s="9"/>
      <c r="I73" s="9"/>
    </row>
    <row r="74" customFormat="false" ht="45" hidden="false" customHeight="true" outlineLevel="0" collapsed="false">
      <c r="B74" s="18" t="s">
        <v>134</v>
      </c>
      <c r="C74" s="9" t="str">
        <f aca="false">IFERROR(INDEX(Reuniao_Semanal!$F$4:$F$203,MATCH($C$3,Reuniao_Semanal!$A$4:$A$203,0)),"")</f>
        <v>Pacientes elogiaram o novo protocolo de alongamento</v>
      </c>
      <c r="D74" s="9"/>
      <c r="E74" s="9"/>
      <c r="F74" s="9"/>
      <c r="G74" s="9"/>
      <c r="H74" s="9"/>
      <c r="I74" s="9"/>
    </row>
    <row r="75" customFormat="false" ht="45" hidden="false" customHeight="true" outlineLevel="0" collapsed="false">
      <c r="B75" s="18" t="s">
        <v>135</v>
      </c>
      <c r="C75" s="9" t="str">
        <f aca="false">IFERROR(INDEX(Reuniao_Semanal!$G$4:$G$203,MATCH($C$3,Reuniao_Semanal!$A$4:$A$203,0)),"")</f>
        <v>Espera de 15 min na recepção em dois dias (acúmulo às 8h)</v>
      </c>
      <c r="D75" s="9"/>
      <c r="E75" s="9"/>
      <c r="F75" s="9"/>
      <c r="G75" s="9"/>
      <c r="H75" s="9"/>
      <c r="I75" s="9"/>
    </row>
    <row r="76" customFormat="false" ht="15" hidden="false" customHeight="false" outlineLevel="0" collapsed="false">
      <c r="B76" s="24" t="s">
        <v>261</v>
      </c>
      <c r="C76" s="13" t="str">
        <f aca="false">IFERROR(INDEX(Reuniao_Semanal!$H$4:$H$203,MATCH($C$3,Reuniao_Semanal!$A$4:$A$203,0)),"")</f>
        <v>Sim</v>
      </c>
    </row>
    <row r="77" customFormat="false" ht="45" hidden="false" customHeight="true" outlineLevel="0" collapsed="false">
      <c r="B77" s="18" t="s">
        <v>26</v>
      </c>
      <c r="C77" s="9" t="str">
        <f aca="false">IFERROR(INDEX(Reuniao_Semanal!$I$4:$I$203,MATCH($C$3,Reuniao_Semanal!$A$4:$A$203,0)),"")</f>
        <v>Atraso na abertura da recepção às 7h50</v>
      </c>
      <c r="D77" s="9"/>
      <c r="E77" s="9"/>
      <c r="F77" s="9"/>
      <c r="G77" s="9"/>
      <c r="H77" s="9"/>
      <c r="I77" s="9"/>
    </row>
    <row r="79" customFormat="false" ht="19.5" hidden="false" customHeight="true" outlineLevel="0" collapsed="false">
      <c r="B79" s="14" t="s">
        <v>262</v>
      </c>
      <c r="C79" s="15"/>
      <c r="D79" s="15"/>
      <c r="E79" s="15"/>
      <c r="F79" s="15"/>
      <c r="G79" s="15"/>
      <c r="H79" s="15"/>
      <c r="I79" s="15"/>
    </row>
    <row r="80" customFormat="false" ht="23.85" hidden="false" customHeight="false" outlineLevel="0" collapsed="false">
      <c r="B80" s="19" t="s">
        <v>263</v>
      </c>
      <c r="C80" s="19" t="s">
        <v>264</v>
      </c>
      <c r="D80" s="19" t="s">
        <v>265</v>
      </c>
    </row>
    <row r="81" customFormat="false" ht="15" hidden="false" customHeight="false" outlineLevel="0" collapsed="false">
      <c r="B81" s="17" t="s">
        <v>247</v>
      </c>
      <c r="C81" s="21" t="n">
        <f aca="false">IFERROR(INDEX(Resumo_Semanal!$U$4:$U$107,MATCH($G$3,Resumo_Semanal!$A$4:$A$107,0)),"")</f>
        <v>0.733333333333333</v>
      </c>
      <c r="D81" s="21" t="n">
        <f aca="false">Config!$B$15</f>
        <v>0.85</v>
      </c>
    </row>
    <row r="82" customFormat="false" ht="15" hidden="false" customHeight="false" outlineLevel="0" collapsed="false">
      <c r="B82" s="17" t="s">
        <v>248</v>
      </c>
      <c r="C82" s="21" t="n">
        <f aca="false">IFERROR(INDEX(Resumo_Semanal!$V$4:$V$107,MATCH($G$3,Resumo_Semanal!$A$4:$A$107,0)),"")</f>
        <v>0.633333333333333</v>
      </c>
      <c r="D82" s="21" t="n">
        <f aca="false">Config!$B$15</f>
        <v>0.85</v>
      </c>
    </row>
    <row r="83" customFormat="false" ht="15" hidden="false" customHeight="false" outlineLevel="0" collapsed="false">
      <c r="B83" s="17" t="s">
        <v>249</v>
      </c>
      <c r="C83" s="21" t="n">
        <f aca="false">IFERROR(INDEX(Resumo_Semanal!$W$4:$W$107,MATCH($G$3,Resumo_Semanal!$A$4:$A$107,0)),"")</f>
        <v>0.683333333333333</v>
      </c>
      <c r="D83" s="21" t="n">
        <f aca="false">Config!$B$15</f>
        <v>0.85</v>
      </c>
    </row>
    <row r="84" customFormat="false" ht="15" hidden="false" customHeight="false" outlineLevel="0" collapsed="false">
      <c r="B84" s="2" t="s">
        <v>266</v>
      </c>
    </row>
    <row r="85" customFormat="false" ht="45" hidden="false" customHeight="true" outlineLevel="0" collapsed="false">
      <c r="B85" s="18" t="s">
        <v>140</v>
      </c>
      <c r="C85" s="9" t="str">
        <f aca="false">IFERROR(INDEX(Reuniao_Semanal!$J$4:$J$203,MATCH($C$3,Reuniao_Semanal!$A$4:$A$203,0)),"")</f>
        <v>Recepção pede roteiro de confirmação de consulta por WhatsApp</v>
      </c>
      <c r="D85" s="9"/>
      <c r="E85" s="9"/>
      <c r="F85" s="9"/>
      <c r="G85" s="9"/>
      <c r="H85" s="9"/>
      <c r="I85" s="9"/>
    </row>
    <row r="86" customFormat="false" ht="45" hidden="false" customHeight="true" outlineLevel="0" collapsed="false">
      <c r="B86" s="18" t="s">
        <v>267</v>
      </c>
      <c r="C86" s="9" t="str">
        <f aca="false">IFERROR(INDEX(Reuniao_Semanal!$K$4:$K$203,MATCH($C$3,Reuniao_Semanal!$A$4:$A$203,0)),"")</f>
        <v>Agenda da manhã já com 73% ocupada; reforçar captação para a tarde</v>
      </c>
      <c r="D86" s="9"/>
      <c r="E86" s="9"/>
      <c r="F86" s="9"/>
      <c r="G86" s="9"/>
      <c r="H86" s="9"/>
      <c r="I86" s="9"/>
    </row>
    <row r="88" customFormat="false" ht="19.5" hidden="false" customHeight="true" outlineLevel="0" collapsed="false">
      <c r="B88" s="14" t="s">
        <v>268</v>
      </c>
      <c r="C88" s="15"/>
      <c r="D88" s="15"/>
      <c r="E88" s="15"/>
      <c r="F88" s="15"/>
      <c r="G88" s="15"/>
      <c r="H88" s="15"/>
      <c r="I88" s="15"/>
    </row>
    <row r="89" customFormat="false" ht="45" hidden="false" customHeight="true" outlineLevel="0" collapsed="false">
      <c r="B89" s="18" t="s">
        <v>144</v>
      </c>
      <c r="C89" s="9" t="str">
        <f aca="false">IFERROR(INDEX(Reuniao_Semanal!$L$4:$L$203,MATCH($C$3,Reuniao_Semanal!$A$4:$A$203,0)),"")</f>
        <v>Manutenção do ar-condicionado da sala 2 agendada para quinta</v>
      </c>
      <c r="D89" s="9"/>
      <c r="E89" s="9"/>
      <c r="F89" s="9"/>
      <c r="G89" s="9"/>
      <c r="H89" s="9"/>
      <c r="I89" s="9"/>
    </row>
    <row r="91" customFormat="false" ht="19.5" hidden="false" customHeight="true" outlineLevel="0" collapsed="false">
      <c r="B91" s="14" t="s">
        <v>269</v>
      </c>
      <c r="C91" s="15"/>
      <c r="D91" s="15"/>
      <c r="E91" s="15"/>
      <c r="F91" s="15"/>
      <c r="G91" s="15"/>
      <c r="H91" s="15"/>
      <c r="I91" s="15"/>
    </row>
    <row r="92" customFormat="false" ht="45" hidden="false" customHeight="true" outlineLevel="0" collapsed="false">
      <c r="B92" s="18" t="s">
        <v>146</v>
      </c>
      <c r="C92" s="9" t="str">
        <f aca="false">IFERROR(INDEX(Reuniao_Semanal!$M$4:$M$203,MATCH($C$3,Reuniao_Semanal!$A$4:$A$203,0)),"")</f>
        <v>Receita R$ 32.000; 10 avaliações; ocupação total ≥ 85%</v>
      </c>
      <c r="D92" s="9"/>
      <c r="E92" s="9"/>
      <c r="F92" s="9"/>
      <c r="G92" s="9"/>
      <c r="H92" s="9"/>
      <c r="I92" s="9"/>
    </row>
    <row r="93" customFormat="false" ht="45" hidden="false" customHeight="true" outlineLevel="0" collapsed="false">
      <c r="B93" s="18" t="s">
        <v>148</v>
      </c>
      <c r="C93" s="9" t="str">
        <f aca="false">IFERROR(INDEX(Reuniao_Semanal!$N$4:$N$203,MATCH($C$3,Reuniao_Semanal!$A$4:$A$203,0)),"")</f>
        <v>Confirmação de consulta 24h antes por WhatsApp; escala da recepção a partir de 7h40</v>
      </c>
      <c r="D93" s="9"/>
      <c r="E93" s="9"/>
      <c r="F93" s="9"/>
      <c r="G93" s="9"/>
      <c r="H93" s="9"/>
      <c r="I93" s="9"/>
    </row>
    <row r="94" customFormat="false" ht="15" hidden="false" customHeight="false" outlineLevel="0" collapsed="false">
      <c r="B94" s="3" t="s">
        <v>270</v>
      </c>
    </row>
    <row r="95" customFormat="false" ht="15" hidden="false" customHeight="false" outlineLevel="0" collapsed="false">
      <c r="B95" s="19" t="s">
        <v>153</v>
      </c>
      <c r="C95" s="19" t="s">
        <v>271</v>
      </c>
      <c r="D95" s="19" t="s">
        <v>272</v>
      </c>
      <c r="E95" s="19" t="s">
        <v>273</v>
      </c>
      <c r="F95" s="19" t="s">
        <v>274</v>
      </c>
      <c r="G95" s="19" t="s">
        <v>275</v>
      </c>
      <c r="H95" s="19" t="s">
        <v>276</v>
      </c>
      <c r="I95" s="19" t="s">
        <v>114</v>
      </c>
    </row>
    <row r="96" customFormat="false" ht="36" hidden="false" customHeight="true" outlineLevel="0" collapsed="false">
      <c r="B96" s="9" t="str">
        <f aca="false">IFERROR(INDEX(Plano_Acao!$C$4:$C$503,MATCH($C$3&amp;"-1",Plano_Acao!$L$4:$L$503,0)),"")</f>
        <v>Espera na recepção às 8h</v>
      </c>
      <c r="C96" s="9" t="str">
        <f aca="false">IFERROR(INDEX(Plano_Acao!$D$4:$D$503,MATCH($C$3&amp;"-1",Plano_Acao!$L$4:$L$503,0)),"")</f>
        <v>Antecipar abertura da recepção</v>
      </c>
      <c r="D96" s="9" t="str">
        <f aca="false">IFERROR(INDEX(Plano_Acao!$E$4:$E$503,MATCH($C$3&amp;"-1",Plano_Acao!$L$4:$L$503,0)),"")</f>
        <v>Reduzir espera e reclamações</v>
      </c>
      <c r="E96" s="9" t="str">
        <f aca="false">IFERROR(INDEX(Plano_Acao!$F$4:$F$503,MATCH($C$3&amp;"-1",Plano_Acao!$L$4:$L$503,0)),"")</f>
        <v>Recepção</v>
      </c>
      <c r="F96" s="25" t="n">
        <f aca="false">IFERROR(INDEX(Plano_Acao!$G$4:$G$503,MATCH($C$3&amp;"-1",Plano_Acao!$L$4:$L$503,0)),"")</f>
        <v>46301</v>
      </c>
      <c r="G96" s="9" t="str">
        <f aca="false">IFERROR(INDEX(Plano_Acao!$H$4:$H$503,MATCH($C$3&amp;"-1",Plano_Acao!$L$4:$L$503,0)),"")</f>
        <v>Recepção</v>
      </c>
      <c r="H96" s="9" t="str">
        <f aca="false">IFERROR(INDEX(Plano_Acao!$I$4:$I$503,MATCH($C$3&amp;"-1",Plano_Acao!$L$4:$L$503,0)),"")</f>
        <v>Escala iniciando às 7h40; check-in antecipado</v>
      </c>
      <c r="I96" s="9" t="str">
        <f aca="false">IFERROR(INDEX(Plano_Acao!$K$4:$K$503,MATCH($C$3&amp;"-1",Plano_Acao!$L$4:$L$503,0)),"")</f>
        <v>Em andamento</v>
      </c>
    </row>
    <row r="97" customFormat="false" ht="36" hidden="false" customHeight="true" outlineLevel="0" collapsed="false">
      <c r="B97" s="9" t="str">
        <f aca="false">IFERROR(INDEX(Plano_Acao!$C$4:$C$503,MATCH($C$3&amp;"-2",Plano_Acao!$L$4:$L$503,0)),"")</f>
        <v>Cancelamentos de atendimento</v>
      </c>
      <c r="C97" s="9" t="str">
        <f aca="false">IFERROR(INDEX(Plano_Acao!$D$4:$D$503,MATCH($C$3&amp;"-2",Plano_Acao!$L$4:$L$503,0)),"")</f>
        <v>Confirmar consultas 24h antes por WhatsApp</v>
      </c>
      <c r="D97" s="9" t="str">
        <f aca="false">IFERROR(INDEX(Plano_Acao!$E$4:$E$503,MATCH($C$3&amp;"-2",Plano_Acao!$L$4:$L$503,0)),"")</f>
        <v>Reduzir faltas e liberar horários</v>
      </c>
      <c r="E97" s="9" t="str">
        <f aca="false">IFERROR(INDEX(Plano_Acao!$F$4:$F$503,MATCH($C$3&amp;"-2",Plano_Acao!$L$4:$L$503,0)),"")</f>
        <v>Recepção</v>
      </c>
      <c r="F97" s="25" t="n">
        <f aca="false">IFERROR(INDEX(Plano_Acao!$G$4:$G$503,MATCH($C$3&amp;"-2",Plano_Acao!$L$4:$L$503,0)),"")</f>
        <v>46304</v>
      </c>
      <c r="G97" s="9" t="str">
        <f aca="false">IFERROR(INDEX(Plano_Acao!$H$4:$H$503,MATCH($C$3&amp;"-2",Plano_Acao!$L$4:$L$503,0)),"")</f>
        <v>Recepção</v>
      </c>
      <c r="H97" s="9" t="str">
        <f aca="false">IFERROR(INDEX(Plano_Acao!$I$4:$I$503,MATCH($C$3&amp;"-2",Plano_Acao!$L$4:$L$503,0)),"")</f>
        <v>Modelo de mensagem + lista diária de confirmação</v>
      </c>
      <c r="I97" s="9" t="str">
        <f aca="false">IFERROR(INDEX(Plano_Acao!$K$4:$K$503,MATCH($C$3&amp;"-2",Plano_Acao!$L$4:$L$503,0)),"")</f>
        <v>A fazer</v>
      </c>
    </row>
    <row r="98" customFormat="false" ht="36" hidden="false" customHeight="true" outlineLevel="0" collapsed="false">
      <c r="B98" s="9" t="str">
        <f aca="false">IFERROR(INDEX(Plano_Acao!$C$4:$C$503,MATCH($C$3&amp;"-3",Plano_Acao!$L$4:$L$503,0)),"")</f>
        <v>Ocupação da tarde &lt; 90%</v>
      </c>
      <c r="C98" s="9" t="str">
        <f aca="false">IFERROR(INDEX(Plano_Acao!$D$4:$D$503,MATCH($C$3&amp;"-3",Plano_Acao!$L$4:$L$503,0)),"")</f>
        <v>Campanha de captação para horários da tarde</v>
      </c>
      <c r="D98" s="9" t="str">
        <f aca="false">IFERROR(INDEX(Plano_Acao!$E$4:$E$503,MATCH($C$3&amp;"-3",Plano_Acao!$L$4:$L$503,0)),"")</f>
        <v>Elevar taxa de ocupação</v>
      </c>
      <c r="E98" s="9" t="str">
        <f aca="false">IFERROR(INDEX(Plano_Acao!$F$4:$F$503,MATCH($C$3&amp;"-3",Plano_Acao!$L$4:$L$503,0)),"")</f>
        <v>Marketing</v>
      </c>
      <c r="F98" s="25" t="n">
        <f aca="false">IFERROR(INDEX(Plano_Acao!$G$4:$G$503,MATCH($C$3&amp;"-3",Plano_Acao!$L$4:$L$503,0)),"")</f>
        <v>46311</v>
      </c>
      <c r="G98" s="9" t="str">
        <f aca="false">IFERROR(INDEX(Plano_Acao!$H$4:$H$503,MATCH($C$3&amp;"-3",Plano_Acao!$L$4:$L$503,0)),"")</f>
        <v>Ariosto</v>
      </c>
      <c r="H98" s="9" t="str">
        <f aca="false">IFERROR(INDEX(Plano_Acao!$I$4:$I$503,MATCH($C$3&amp;"-3",Plano_Acao!$L$4:$L$503,0)),"")</f>
        <v>Anúncio segmentado + oferta de avaliação à tarde</v>
      </c>
      <c r="I98" s="9" t="str">
        <f aca="false">IFERROR(INDEX(Plano_Acao!$K$4:$K$503,MATCH($C$3&amp;"-3",Plano_Acao!$L$4:$L$503,0)),"")</f>
        <v>A fazer</v>
      </c>
    </row>
    <row r="99" customFormat="false" ht="36" hidden="false" customHeight="true" outlineLevel="0" collapsed="false">
      <c r="B99" s="9" t="str">
        <f aca="false">IFERROR(INDEX(Plano_Acao!$C$4:$C$503,MATCH($C$3&amp;"-4",Plano_Acao!$L$4:$L$503,0)),"")</f>
        <v/>
      </c>
      <c r="C99" s="9" t="str">
        <f aca="false">IFERROR(INDEX(Plano_Acao!$D$4:$D$503,MATCH($C$3&amp;"-4",Plano_Acao!$L$4:$L$503,0)),"")</f>
        <v/>
      </c>
      <c r="D99" s="9" t="str">
        <f aca="false">IFERROR(INDEX(Plano_Acao!$E$4:$E$503,MATCH($C$3&amp;"-4",Plano_Acao!$L$4:$L$503,0)),"")</f>
        <v/>
      </c>
      <c r="E99" s="9" t="str">
        <f aca="false">IFERROR(INDEX(Plano_Acao!$F$4:$F$503,MATCH($C$3&amp;"-4",Plano_Acao!$L$4:$L$503,0)),"")</f>
        <v/>
      </c>
      <c r="F99" s="25" t="str">
        <f aca="false">IFERROR(INDEX(Plano_Acao!$G$4:$G$503,MATCH($C$3&amp;"-4",Plano_Acao!$L$4:$L$503,0)),"")</f>
        <v/>
      </c>
      <c r="G99" s="9" t="str">
        <f aca="false">IFERROR(INDEX(Plano_Acao!$H$4:$H$503,MATCH($C$3&amp;"-4",Plano_Acao!$L$4:$L$503,0)),"")</f>
        <v/>
      </c>
      <c r="H99" s="9" t="str">
        <f aca="false">IFERROR(INDEX(Plano_Acao!$I$4:$I$503,MATCH($C$3&amp;"-4",Plano_Acao!$L$4:$L$503,0)),"")</f>
        <v/>
      </c>
      <c r="I99" s="9" t="str">
        <f aca="false">IFERROR(INDEX(Plano_Acao!$K$4:$K$503,MATCH($C$3&amp;"-4",Plano_Acao!$L$4:$L$503,0)),"")</f>
        <v/>
      </c>
    </row>
    <row r="100" customFormat="false" ht="36" hidden="false" customHeight="true" outlineLevel="0" collapsed="false">
      <c r="B100" s="9" t="str">
        <f aca="false">IFERROR(INDEX(Plano_Acao!$C$4:$C$503,MATCH($C$3&amp;"-5",Plano_Acao!$L$4:$L$503,0)),"")</f>
        <v/>
      </c>
      <c r="C100" s="9" t="str">
        <f aca="false">IFERROR(INDEX(Plano_Acao!$D$4:$D$503,MATCH($C$3&amp;"-5",Plano_Acao!$L$4:$L$503,0)),"")</f>
        <v/>
      </c>
      <c r="D100" s="9" t="str">
        <f aca="false">IFERROR(INDEX(Plano_Acao!$E$4:$E$503,MATCH($C$3&amp;"-5",Plano_Acao!$L$4:$L$503,0)),"")</f>
        <v/>
      </c>
      <c r="E100" s="9" t="str">
        <f aca="false">IFERROR(INDEX(Plano_Acao!$F$4:$F$503,MATCH($C$3&amp;"-5",Plano_Acao!$L$4:$L$503,0)),"")</f>
        <v/>
      </c>
      <c r="F100" s="25" t="str">
        <f aca="false">IFERROR(INDEX(Plano_Acao!$G$4:$G$503,MATCH($C$3&amp;"-5",Plano_Acao!$L$4:$L$503,0)),"")</f>
        <v/>
      </c>
      <c r="G100" s="9" t="str">
        <f aca="false">IFERROR(INDEX(Plano_Acao!$H$4:$H$503,MATCH($C$3&amp;"-5",Plano_Acao!$L$4:$L$503,0)),"")</f>
        <v/>
      </c>
      <c r="H100" s="9" t="str">
        <f aca="false">IFERROR(INDEX(Plano_Acao!$I$4:$I$503,MATCH($C$3&amp;"-5",Plano_Acao!$L$4:$L$503,0)),"")</f>
        <v/>
      </c>
      <c r="I100" s="9" t="str">
        <f aca="false">IFERROR(INDEX(Plano_Acao!$K$4:$K$503,MATCH($C$3&amp;"-5",Plano_Acao!$L$4:$L$503,0)),"")</f>
        <v/>
      </c>
    </row>
    <row r="101" customFormat="false" ht="36" hidden="false" customHeight="true" outlineLevel="0" collapsed="false">
      <c r="B101" s="9" t="str">
        <f aca="false">IFERROR(INDEX(Plano_Acao!$C$4:$C$503,MATCH($C$3&amp;"-6",Plano_Acao!$L$4:$L$503,0)),"")</f>
        <v/>
      </c>
      <c r="C101" s="9" t="str">
        <f aca="false">IFERROR(INDEX(Plano_Acao!$D$4:$D$503,MATCH($C$3&amp;"-6",Plano_Acao!$L$4:$L$503,0)),"")</f>
        <v/>
      </c>
      <c r="D101" s="9" t="str">
        <f aca="false">IFERROR(INDEX(Plano_Acao!$E$4:$E$503,MATCH($C$3&amp;"-6",Plano_Acao!$L$4:$L$503,0)),"")</f>
        <v/>
      </c>
      <c r="E101" s="9" t="str">
        <f aca="false">IFERROR(INDEX(Plano_Acao!$F$4:$F$503,MATCH($C$3&amp;"-6",Plano_Acao!$L$4:$L$503,0)),"")</f>
        <v/>
      </c>
      <c r="F101" s="25" t="str">
        <f aca="false">IFERROR(INDEX(Plano_Acao!$G$4:$G$503,MATCH($C$3&amp;"-6",Plano_Acao!$L$4:$L$503,0)),"")</f>
        <v/>
      </c>
      <c r="G101" s="9" t="str">
        <f aca="false">IFERROR(INDEX(Plano_Acao!$H$4:$H$503,MATCH($C$3&amp;"-6",Plano_Acao!$L$4:$L$503,0)),"")</f>
        <v/>
      </c>
      <c r="H101" s="9" t="str">
        <f aca="false">IFERROR(INDEX(Plano_Acao!$I$4:$I$503,MATCH($C$3&amp;"-6",Plano_Acao!$L$4:$L$503,0)),"")</f>
        <v/>
      </c>
      <c r="I101" s="9" t="str">
        <f aca="false">IFERROR(INDEX(Plano_Acao!$K$4:$K$503,MATCH($C$3&amp;"-6",Plano_Acao!$L$4:$L$503,0)),"")</f>
        <v/>
      </c>
    </row>
    <row r="102" customFormat="false" ht="36" hidden="false" customHeight="true" outlineLevel="0" collapsed="false">
      <c r="B102" s="9" t="str">
        <f aca="false">IFERROR(INDEX(Plano_Acao!$C$4:$C$503,MATCH($C$3&amp;"-7",Plano_Acao!$L$4:$L$503,0)),"")</f>
        <v/>
      </c>
      <c r="C102" s="9" t="str">
        <f aca="false">IFERROR(INDEX(Plano_Acao!$D$4:$D$503,MATCH($C$3&amp;"-7",Plano_Acao!$L$4:$L$503,0)),"")</f>
        <v/>
      </c>
      <c r="D102" s="9" t="str">
        <f aca="false">IFERROR(INDEX(Plano_Acao!$E$4:$E$503,MATCH($C$3&amp;"-7",Plano_Acao!$L$4:$L$503,0)),"")</f>
        <v/>
      </c>
      <c r="E102" s="9" t="str">
        <f aca="false">IFERROR(INDEX(Plano_Acao!$F$4:$F$503,MATCH($C$3&amp;"-7",Plano_Acao!$L$4:$L$503,0)),"")</f>
        <v/>
      </c>
      <c r="F102" s="25" t="str">
        <f aca="false">IFERROR(INDEX(Plano_Acao!$G$4:$G$503,MATCH($C$3&amp;"-7",Plano_Acao!$L$4:$L$503,0)),"")</f>
        <v/>
      </c>
      <c r="G102" s="9" t="str">
        <f aca="false">IFERROR(INDEX(Plano_Acao!$H$4:$H$503,MATCH($C$3&amp;"-7",Plano_Acao!$L$4:$L$503,0)),"")</f>
        <v/>
      </c>
      <c r="H102" s="9" t="str">
        <f aca="false">IFERROR(INDEX(Plano_Acao!$I$4:$I$503,MATCH($C$3&amp;"-7",Plano_Acao!$L$4:$L$503,0)),"")</f>
        <v/>
      </c>
      <c r="I102" s="9" t="str">
        <f aca="false">IFERROR(INDEX(Plano_Acao!$K$4:$K$503,MATCH($C$3&amp;"-7",Plano_Acao!$L$4:$L$503,0)),"")</f>
        <v/>
      </c>
    </row>
    <row r="103" customFormat="false" ht="36" hidden="false" customHeight="true" outlineLevel="0" collapsed="false">
      <c r="B103" s="9" t="str">
        <f aca="false">IFERROR(INDEX(Plano_Acao!$C$4:$C$503,MATCH($C$3&amp;"-8",Plano_Acao!$L$4:$L$503,0)),"")</f>
        <v/>
      </c>
      <c r="C103" s="9" t="str">
        <f aca="false">IFERROR(INDEX(Plano_Acao!$D$4:$D$503,MATCH($C$3&amp;"-8",Plano_Acao!$L$4:$L$503,0)),"")</f>
        <v/>
      </c>
      <c r="D103" s="9" t="str">
        <f aca="false">IFERROR(INDEX(Plano_Acao!$E$4:$E$503,MATCH($C$3&amp;"-8",Plano_Acao!$L$4:$L$503,0)),"")</f>
        <v/>
      </c>
      <c r="E103" s="9" t="str">
        <f aca="false">IFERROR(INDEX(Plano_Acao!$F$4:$F$503,MATCH($C$3&amp;"-8",Plano_Acao!$L$4:$L$503,0)),"")</f>
        <v/>
      </c>
      <c r="F103" s="25" t="str">
        <f aca="false">IFERROR(INDEX(Plano_Acao!$G$4:$G$503,MATCH($C$3&amp;"-8",Plano_Acao!$L$4:$L$503,0)),"")</f>
        <v/>
      </c>
      <c r="G103" s="9" t="str">
        <f aca="false">IFERROR(INDEX(Plano_Acao!$H$4:$H$503,MATCH($C$3&amp;"-8",Plano_Acao!$L$4:$L$503,0)),"")</f>
        <v/>
      </c>
      <c r="H103" s="9" t="str">
        <f aca="false">IFERROR(INDEX(Plano_Acao!$I$4:$I$503,MATCH($C$3&amp;"-8",Plano_Acao!$L$4:$L$503,0)),"")</f>
        <v/>
      </c>
      <c r="I103" s="9" t="str">
        <f aca="false">IFERROR(INDEX(Plano_Acao!$K$4:$K$503,MATCH($C$3&amp;"-8",Plano_Acao!$L$4:$L$503,0)),"")</f>
        <v/>
      </c>
    </row>
  </sheetData>
  <mergeCells count="11">
    <mergeCell ref="C10:I10"/>
    <mergeCell ref="C11:I11"/>
    <mergeCell ref="C73:I73"/>
    <mergeCell ref="C74:I74"/>
    <mergeCell ref="C75:I75"/>
    <mergeCell ref="C77:I77"/>
    <mergeCell ref="C85:I85"/>
    <mergeCell ref="C86:I86"/>
    <mergeCell ref="C89:I89"/>
    <mergeCell ref="C92:I92"/>
    <mergeCell ref="C93:I93"/>
  </mergeCells>
  <dataValidations count="1">
    <dataValidation allowBlank="true" error="Escolha um valor da lista" errorStyle="stop" operator="between" showDropDown="false" showErrorMessage="false" showInputMessage="false" sqref="C3" type="list">
      <formula1>Calendario!$A$4:$A$107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15" min="5" style="0" width="22"/>
  </cols>
  <sheetData>
    <row r="1" customFormat="false" ht="17.35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4" customFormat="false" ht="15" hidden="false" customHeight="false" outlineLevel="0" collapsed="false">
      <c r="A4" s="3" t="s">
        <v>279</v>
      </c>
    </row>
    <row r="5" customFormat="false" ht="15" hidden="false" customHeight="false" outlineLevel="0" collapsed="false">
      <c r="A5" s="17" t="s">
        <v>280</v>
      </c>
      <c r="B5" s="26" t="s">
        <v>281</v>
      </c>
    </row>
    <row r="6" customFormat="false" ht="15" hidden="false" customHeight="false" outlineLevel="0" collapsed="false">
      <c r="A6" s="17" t="s">
        <v>282</v>
      </c>
      <c r="B6" s="26" t="s">
        <v>283</v>
      </c>
    </row>
    <row r="8" customFormat="false" ht="15" hidden="false" customHeight="false" outlineLevel="0" collapsed="false">
      <c r="A8" s="3" t="s">
        <v>284</v>
      </c>
    </row>
    <row r="9" customFormat="false" ht="31.5" hidden="false" customHeight="true" outlineLevel="0" collapsed="false">
      <c r="A9" s="8" t="s">
        <v>227</v>
      </c>
      <c r="B9" s="8" t="s">
        <v>230</v>
      </c>
      <c r="C9" s="8" t="s">
        <v>233</v>
      </c>
      <c r="E9" s="8" t="s">
        <v>285</v>
      </c>
      <c r="F9" s="8" t="s">
        <v>95</v>
      </c>
      <c r="G9" s="8" t="s">
        <v>97</v>
      </c>
      <c r="H9" s="8" t="s">
        <v>286</v>
      </c>
      <c r="I9" s="8" t="s">
        <v>103</v>
      </c>
      <c r="J9" s="8" t="s">
        <v>287</v>
      </c>
      <c r="K9" s="8" t="s">
        <v>110</v>
      </c>
      <c r="L9" s="8" t="s">
        <v>288</v>
      </c>
      <c r="M9" s="8" t="s">
        <v>289</v>
      </c>
      <c r="N9" s="8" t="s">
        <v>137</v>
      </c>
      <c r="O9" s="8" t="s">
        <v>87</v>
      </c>
    </row>
    <row r="10" customFormat="false" ht="15" hidden="false" customHeight="false" outlineLevel="0" collapsed="false">
      <c r="A10" s="17" t="s">
        <v>38</v>
      </c>
      <c r="B10" s="27" t="n">
        <v>40</v>
      </c>
      <c r="C10" s="27" t="n">
        <v>170</v>
      </c>
      <c r="E10" s="26" t="s">
        <v>290</v>
      </c>
      <c r="F10" s="26" t="s">
        <v>291</v>
      </c>
      <c r="G10" s="26" t="s">
        <v>292</v>
      </c>
      <c r="H10" s="26" t="s">
        <v>293</v>
      </c>
      <c r="I10" s="26" t="s">
        <v>294</v>
      </c>
      <c r="J10" s="26" t="s">
        <v>295</v>
      </c>
      <c r="K10" s="26" t="s">
        <v>296</v>
      </c>
      <c r="L10" s="26" t="s">
        <v>297</v>
      </c>
      <c r="M10" s="26" t="s">
        <v>298</v>
      </c>
      <c r="N10" s="26" t="s">
        <v>299</v>
      </c>
      <c r="O10" s="17" t="str">
        <f aca="false">$B$5</f>
        <v>Ariosto</v>
      </c>
    </row>
    <row r="11" customFormat="false" ht="15" hidden="false" customHeight="false" outlineLevel="0" collapsed="false">
      <c r="A11" s="17" t="s">
        <v>58</v>
      </c>
      <c r="B11" s="27" t="n">
        <v>8</v>
      </c>
      <c r="C11" s="27" t="n">
        <v>32</v>
      </c>
      <c r="E11" s="26" t="s">
        <v>300</v>
      </c>
      <c r="F11" s="26" t="s">
        <v>301</v>
      </c>
      <c r="G11" s="26" t="s">
        <v>302</v>
      </c>
      <c r="H11" s="26" t="s">
        <v>303</v>
      </c>
      <c r="I11" s="26" t="s">
        <v>304</v>
      </c>
      <c r="J11" s="26" t="s">
        <v>305</v>
      </c>
      <c r="K11" s="26" t="s">
        <v>306</v>
      </c>
      <c r="L11" s="26" t="s">
        <v>307</v>
      </c>
      <c r="M11" s="26" t="s">
        <v>308</v>
      </c>
      <c r="N11" s="26" t="s">
        <v>309</v>
      </c>
      <c r="O11" s="17" t="str">
        <f aca="false">$B$6</f>
        <v>Tássia</v>
      </c>
    </row>
    <row r="12" customFormat="false" ht="15" hidden="false" customHeight="false" outlineLevel="0" collapsed="false">
      <c r="A12" s="17" t="s">
        <v>310</v>
      </c>
      <c r="B12" s="27" t="n">
        <v>12</v>
      </c>
      <c r="C12" s="27" t="n">
        <v>50</v>
      </c>
      <c r="G12" s="26" t="s">
        <v>311</v>
      </c>
      <c r="H12" s="26" t="s">
        <v>312</v>
      </c>
      <c r="I12" s="26" t="s">
        <v>313</v>
      </c>
      <c r="J12" s="26" t="s">
        <v>314</v>
      </c>
      <c r="L12" s="26" t="s">
        <v>315</v>
      </c>
      <c r="M12" s="26" t="s">
        <v>316</v>
      </c>
    </row>
    <row r="13" customFormat="false" ht="15" hidden="false" customHeight="false" outlineLevel="0" collapsed="false">
      <c r="A13" s="17" t="s">
        <v>317</v>
      </c>
      <c r="B13" s="27" t="n">
        <v>8</v>
      </c>
      <c r="C13" s="27" t="n">
        <v>32</v>
      </c>
      <c r="G13" s="26" t="s">
        <v>318</v>
      </c>
      <c r="H13" s="26" t="s">
        <v>319</v>
      </c>
      <c r="I13" s="26" t="s">
        <v>320</v>
      </c>
      <c r="J13" s="26" t="s">
        <v>202</v>
      </c>
      <c r="L13" s="26" t="s">
        <v>321</v>
      </c>
    </row>
    <row r="14" customFormat="false" ht="15" hidden="false" customHeight="false" outlineLevel="0" collapsed="false">
      <c r="A14" s="17" t="s">
        <v>322</v>
      </c>
      <c r="B14" s="27" t="n">
        <v>120</v>
      </c>
      <c r="C14" s="27" t="n">
        <v>500</v>
      </c>
      <c r="G14" s="26" t="s">
        <v>323</v>
      </c>
      <c r="I14" s="26" t="s">
        <v>324</v>
      </c>
    </row>
    <row r="15" customFormat="false" ht="15" hidden="false" customHeight="false" outlineLevel="0" collapsed="false">
      <c r="A15" s="17" t="s">
        <v>325</v>
      </c>
      <c r="B15" s="28" t="n">
        <v>0.85</v>
      </c>
      <c r="C15" s="28" t="n">
        <v>0.85</v>
      </c>
      <c r="G15" s="26" t="s">
        <v>326</v>
      </c>
      <c r="I15" s="26" t="s">
        <v>327</v>
      </c>
    </row>
    <row r="16" customFormat="false" ht="15" hidden="false" customHeight="false" outlineLevel="0" collapsed="false">
      <c r="A16" s="17" t="s">
        <v>295</v>
      </c>
      <c r="B16" s="29" t="n">
        <v>30000</v>
      </c>
      <c r="C16" s="29" t="n">
        <v>120000</v>
      </c>
      <c r="G16" s="26" t="s">
        <v>328</v>
      </c>
      <c r="I16" s="26" t="s">
        <v>329</v>
      </c>
    </row>
    <row r="17" customFormat="false" ht="15" hidden="false" customHeight="false" outlineLevel="0" collapsed="false">
      <c r="A17" s="17" t="s">
        <v>200</v>
      </c>
      <c r="B17" s="29" t="n">
        <v>18000</v>
      </c>
      <c r="C17" s="29" t="n">
        <v>72000</v>
      </c>
      <c r="I17" s="26" t="s">
        <v>330</v>
      </c>
    </row>
    <row r="18" customFormat="false" ht="15" hidden="false" customHeight="false" outlineLevel="0" collapsed="false">
      <c r="A18" s="17" t="s">
        <v>253</v>
      </c>
      <c r="B18" s="29" t="n">
        <v>2500</v>
      </c>
      <c r="C18" s="29" t="n">
        <v>10000</v>
      </c>
      <c r="I18" s="26" t="s">
        <v>331</v>
      </c>
    </row>
    <row r="19" customFormat="false" ht="15" hidden="false" customHeight="false" outlineLevel="0" collapsed="false">
      <c r="A19" s="17" t="s">
        <v>239</v>
      </c>
      <c r="B19" s="28" t="n">
        <v>0.6</v>
      </c>
      <c r="C19" s="28" t="n">
        <v>0.6</v>
      </c>
    </row>
    <row r="20" customFormat="false" ht="15" hidden="false" customHeight="false" outlineLevel="0" collapsed="false">
      <c r="A20" s="17" t="s">
        <v>332</v>
      </c>
      <c r="B20" s="28" t="n">
        <v>0.15</v>
      </c>
      <c r="C20" s="28" t="n">
        <v>0.15</v>
      </c>
    </row>
    <row r="21" customFormat="false" ht="15" hidden="false" customHeight="false" outlineLevel="0" collapsed="false">
      <c r="A21" s="2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334</v>
      </c>
    </row>
    <row r="2" customFormat="false" ht="15" hidden="false" customHeight="false" outlineLevel="0" collapsed="false">
      <c r="A2" s="2" t="s">
        <v>335</v>
      </c>
    </row>
    <row r="3" customFormat="false" ht="31.5" hidden="false" customHeight="true" outlineLevel="0" collapsed="false">
      <c r="A3" s="8" t="s">
        <v>28</v>
      </c>
      <c r="B3" s="8" t="s">
        <v>31</v>
      </c>
      <c r="C3" s="8" t="s">
        <v>34</v>
      </c>
      <c r="D3" s="8" t="s">
        <v>36</v>
      </c>
    </row>
    <row r="4" customFormat="false" ht="15" hidden="false" customHeight="false" outlineLevel="0" collapsed="false">
      <c r="A4" s="17" t="s">
        <v>336</v>
      </c>
      <c r="B4" s="30" t="n">
        <v>46027</v>
      </c>
      <c r="C4" s="30" t="n">
        <v>46033</v>
      </c>
      <c r="D4" s="17" t="s">
        <v>337</v>
      </c>
    </row>
    <row r="5" customFormat="false" ht="15" hidden="false" customHeight="false" outlineLevel="0" collapsed="false">
      <c r="A5" s="17" t="s">
        <v>338</v>
      </c>
      <c r="B5" s="30" t="n">
        <v>46034</v>
      </c>
      <c r="C5" s="30" t="n">
        <v>46040</v>
      </c>
      <c r="D5" s="17" t="s">
        <v>337</v>
      </c>
    </row>
    <row r="6" customFormat="false" ht="15" hidden="false" customHeight="false" outlineLevel="0" collapsed="false">
      <c r="A6" s="17" t="s">
        <v>339</v>
      </c>
      <c r="B6" s="30" t="n">
        <v>46041</v>
      </c>
      <c r="C6" s="30" t="n">
        <v>46047</v>
      </c>
      <c r="D6" s="17" t="s">
        <v>337</v>
      </c>
    </row>
    <row r="7" customFormat="false" ht="15" hidden="false" customHeight="false" outlineLevel="0" collapsed="false">
      <c r="A7" s="17" t="s">
        <v>340</v>
      </c>
      <c r="B7" s="30" t="n">
        <v>46048</v>
      </c>
      <c r="C7" s="30" t="n">
        <v>46054</v>
      </c>
      <c r="D7" s="17" t="s">
        <v>337</v>
      </c>
    </row>
    <row r="8" customFormat="false" ht="15" hidden="false" customHeight="false" outlineLevel="0" collapsed="false">
      <c r="A8" s="17" t="s">
        <v>341</v>
      </c>
      <c r="B8" s="30" t="n">
        <v>46055</v>
      </c>
      <c r="C8" s="30" t="n">
        <v>46061</v>
      </c>
      <c r="D8" s="17" t="s">
        <v>342</v>
      </c>
    </row>
    <row r="9" customFormat="false" ht="15" hidden="false" customHeight="false" outlineLevel="0" collapsed="false">
      <c r="A9" s="17" t="s">
        <v>343</v>
      </c>
      <c r="B9" s="30" t="n">
        <v>46062</v>
      </c>
      <c r="C9" s="30" t="n">
        <v>46068</v>
      </c>
      <c r="D9" s="17" t="s">
        <v>342</v>
      </c>
    </row>
    <row r="10" customFormat="false" ht="15" hidden="false" customHeight="false" outlineLevel="0" collapsed="false">
      <c r="A10" s="17" t="s">
        <v>344</v>
      </c>
      <c r="B10" s="30" t="n">
        <v>46069</v>
      </c>
      <c r="C10" s="30" t="n">
        <v>46075</v>
      </c>
      <c r="D10" s="17" t="s">
        <v>342</v>
      </c>
    </row>
    <row r="11" customFormat="false" ht="15" hidden="false" customHeight="false" outlineLevel="0" collapsed="false">
      <c r="A11" s="17" t="s">
        <v>345</v>
      </c>
      <c r="B11" s="30" t="n">
        <v>46076</v>
      </c>
      <c r="C11" s="30" t="n">
        <v>46082</v>
      </c>
      <c r="D11" s="17" t="s">
        <v>342</v>
      </c>
    </row>
    <row r="12" customFormat="false" ht="15" hidden="false" customHeight="false" outlineLevel="0" collapsed="false">
      <c r="A12" s="17" t="s">
        <v>346</v>
      </c>
      <c r="B12" s="30" t="n">
        <v>46083</v>
      </c>
      <c r="C12" s="30" t="n">
        <v>46089</v>
      </c>
      <c r="D12" s="17" t="s">
        <v>347</v>
      </c>
    </row>
    <row r="13" customFormat="false" ht="15" hidden="false" customHeight="false" outlineLevel="0" collapsed="false">
      <c r="A13" s="17" t="s">
        <v>348</v>
      </c>
      <c r="B13" s="30" t="n">
        <v>46090</v>
      </c>
      <c r="C13" s="30" t="n">
        <v>46096</v>
      </c>
      <c r="D13" s="17" t="s">
        <v>347</v>
      </c>
    </row>
    <row r="14" customFormat="false" ht="15" hidden="false" customHeight="false" outlineLevel="0" collapsed="false">
      <c r="A14" s="17" t="s">
        <v>349</v>
      </c>
      <c r="B14" s="30" t="n">
        <v>46097</v>
      </c>
      <c r="C14" s="30" t="n">
        <v>46103</v>
      </c>
      <c r="D14" s="17" t="s">
        <v>347</v>
      </c>
    </row>
    <row r="15" customFormat="false" ht="15" hidden="false" customHeight="false" outlineLevel="0" collapsed="false">
      <c r="A15" s="17" t="s">
        <v>350</v>
      </c>
      <c r="B15" s="30" t="n">
        <v>46104</v>
      </c>
      <c r="C15" s="30" t="n">
        <v>46110</v>
      </c>
      <c r="D15" s="17" t="s">
        <v>347</v>
      </c>
    </row>
    <row r="16" customFormat="false" ht="15" hidden="false" customHeight="false" outlineLevel="0" collapsed="false">
      <c r="A16" s="17" t="s">
        <v>351</v>
      </c>
      <c r="B16" s="30" t="n">
        <v>46111</v>
      </c>
      <c r="C16" s="30" t="n">
        <v>46117</v>
      </c>
      <c r="D16" s="17" t="s">
        <v>347</v>
      </c>
    </row>
    <row r="17" customFormat="false" ht="15" hidden="false" customHeight="false" outlineLevel="0" collapsed="false">
      <c r="A17" s="17" t="s">
        <v>352</v>
      </c>
      <c r="B17" s="30" t="n">
        <v>46118</v>
      </c>
      <c r="C17" s="30" t="n">
        <v>46124</v>
      </c>
      <c r="D17" s="17" t="s">
        <v>353</v>
      </c>
    </row>
    <row r="18" customFormat="false" ht="15" hidden="false" customHeight="false" outlineLevel="0" collapsed="false">
      <c r="A18" s="17" t="s">
        <v>354</v>
      </c>
      <c r="B18" s="30" t="n">
        <v>46125</v>
      </c>
      <c r="C18" s="30" t="n">
        <v>46131</v>
      </c>
      <c r="D18" s="17" t="s">
        <v>353</v>
      </c>
    </row>
    <row r="19" customFormat="false" ht="15" hidden="false" customHeight="false" outlineLevel="0" collapsed="false">
      <c r="A19" s="17" t="s">
        <v>355</v>
      </c>
      <c r="B19" s="30" t="n">
        <v>46132</v>
      </c>
      <c r="C19" s="30" t="n">
        <v>46138</v>
      </c>
      <c r="D19" s="17" t="s">
        <v>353</v>
      </c>
    </row>
    <row r="20" customFormat="false" ht="15" hidden="false" customHeight="false" outlineLevel="0" collapsed="false">
      <c r="A20" s="17" t="s">
        <v>356</v>
      </c>
      <c r="B20" s="30" t="n">
        <v>46139</v>
      </c>
      <c r="C20" s="30" t="n">
        <v>46145</v>
      </c>
      <c r="D20" s="17" t="s">
        <v>353</v>
      </c>
    </row>
    <row r="21" customFormat="false" ht="15" hidden="false" customHeight="false" outlineLevel="0" collapsed="false">
      <c r="A21" s="17" t="s">
        <v>357</v>
      </c>
      <c r="B21" s="30" t="n">
        <v>46146</v>
      </c>
      <c r="C21" s="30" t="n">
        <v>46152</v>
      </c>
      <c r="D21" s="17" t="s">
        <v>358</v>
      </c>
    </row>
    <row r="22" customFormat="false" ht="15" hidden="false" customHeight="false" outlineLevel="0" collapsed="false">
      <c r="A22" s="17" t="s">
        <v>359</v>
      </c>
      <c r="B22" s="30" t="n">
        <v>46153</v>
      </c>
      <c r="C22" s="30" t="n">
        <v>46159</v>
      </c>
      <c r="D22" s="17" t="s">
        <v>358</v>
      </c>
    </row>
    <row r="23" customFormat="false" ht="15" hidden="false" customHeight="false" outlineLevel="0" collapsed="false">
      <c r="A23" s="17" t="s">
        <v>360</v>
      </c>
      <c r="B23" s="30" t="n">
        <v>46160</v>
      </c>
      <c r="C23" s="30" t="n">
        <v>46166</v>
      </c>
      <c r="D23" s="17" t="s">
        <v>358</v>
      </c>
    </row>
    <row r="24" customFormat="false" ht="15" hidden="false" customHeight="false" outlineLevel="0" collapsed="false">
      <c r="A24" s="17" t="s">
        <v>361</v>
      </c>
      <c r="B24" s="30" t="n">
        <v>46167</v>
      </c>
      <c r="C24" s="30" t="n">
        <v>46173</v>
      </c>
      <c r="D24" s="17" t="s">
        <v>358</v>
      </c>
    </row>
    <row r="25" customFormat="false" ht="15" hidden="false" customHeight="false" outlineLevel="0" collapsed="false">
      <c r="A25" s="17" t="s">
        <v>362</v>
      </c>
      <c r="B25" s="30" t="n">
        <v>46174</v>
      </c>
      <c r="C25" s="30" t="n">
        <v>46180</v>
      </c>
      <c r="D25" s="17" t="s">
        <v>363</v>
      </c>
    </row>
    <row r="26" customFormat="false" ht="15" hidden="false" customHeight="false" outlineLevel="0" collapsed="false">
      <c r="A26" s="17" t="s">
        <v>364</v>
      </c>
      <c r="B26" s="30" t="n">
        <v>46181</v>
      </c>
      <c r="C26" s="30" t="n">
        <v>46187</v>
      </c>
      <c r="D26" s="17" t="s">
        <v>363</v>
      </c>
    </row>
    <row r="27" customFormat="false" ht="15" hidden="false" customHeight="false" outlineLevel="0" collapsed="false">
      <c r="A27" s="17" t="s">
        <v>365</v>
      </c>
      <c r="B27" s="30" t="n">
        <v>46188</v>
      </c>
      <c r="C27" s="30" t="n">
        <v>46194</v>
      </c>
      <c r="D27" s="17" t="s">
        <v>363</v>
      </c>
    </row>
    <row r="28" customFormat="false" ht="15" hidden="false" customHeight="false" outlineLevel="0" collapsed="false">
      <c r="A28" s="17" t="s">
        <v>366</v>
      </c>
      <c r="B28" s="30" t="n">
        <v>46195</v>
      </c>
      <c r="C28" s="30" t="n">
        <v>46201</v>
      </c>
      <c r="D28" s="17" t="s">
        <v>363</v>
      </c>
    </row>
    <row r="29" customFormat="false" ht="15" hidden="false" customHeight="false" outlineLevel="0" collapsed="false">
      <c r="A29" s="17" t="s">
        <v>367</v>
      </c>
      <c r="B29" s="30" t="n">
        <v>46202</v>
      </c>
      <c r="C29" s="30" t="n">
        <v>46208</v>
      </c>
      <c r="D29" s="17" t="s">
        <v>363</v>
      </c>
    </row>
    <row r="30" customFormat="false" ht="15" hidden="false" customHeight="false" outlineLevel="0" collapsed="false">
      <c r="A30" s="17" t="s">
        <v>368</v>
      </c>
      <c r="B30" s="30" t="n">
        <v>46209</v>
      </c>
      <c r="C30" s="30" t="n">
        <v>46215</v>
      </c>
      <c r="D30" s="17" t="s">
        <v>369</v>
      </c>
    </row>
    <row r="31" customFormat="false" ht="15" hidden="false" customHeight="false" outlineLevel="0" collapsed="false">
      <c r="A31" s="17" t="s">
        <v>370</v>
      </c>
      <c r="B31" s="30" t="n">
        <v>46216</v>
      </c>
      <c r="C31" s="30" t="n">
        <v>46222</v>
      </c>
      <c r="D31" s="17" t="s">
        <v>369</v>
      </c>
    </row>
    <row r="32" customFormat="false" ht="15" hidden="false" customHeight="false" outlineLevel="0" collapsed="false">
      <c r="A32" s="17" t="s">
        <v>371</v>
      </c>
      <c r="B32" s="30" t="n">
        <v>46223</v>
      </c>
      <c r="C32" s="30" t="n">
        <v>46229</v>
      </c>
      <c r="D32" s="17" t="s">
        <v>369</v>
      </c>
    </row>
    <row r="33" customFormat="false" ht="15" hidden="false" customHeight="false" outlineLevel="0" collapsed="false">
      <c r="A33" s="17" t="s">
        <v>372</v>
      </c>
      <c r="B33" s="30" t="n">
        <v>46230</v>
      </c>
      <c r="C33" s="30" t="n">
        <v>46236</v>
      </c>
      <c r="D33" s="17" t="s">
        <v>369</v>
      </c>
    </row>
    <row r="34" customFormat="false" ht="15" hidden="false" customHeight="false" outlineLevel="0" collapsed="false">
      <c r="A34" s="17" t="s">
        <v>373</v>
      </c>
      <c r="B34" s="30" t="n">
        <v>46237</v>
      </c>
      <c r="C34" s="30" t="n">
        <v>46243</v>
      </c>
      <c r="D34" s="17" t="s">
        <v>374</v>
      </c>
    </row>
    <row r="35" customFormat="false" ht="15" hidden="false" customHeight="false" outlineLevel="0" collapsed="false">
      <c r="A35" s="17" t="s">
        <v>375</v>
      </c>
      <c r="B35" s="30" t="n">
        <v>46244</v>
      </c>
      <c r="C35" s="30" t="n">
        <v>46250</v>
      </c>
      <c r="D35" s="17" t="s">
        <v>374</v>
      </c>
    </row>
    <row r="36" customFormat="false" ht="15" hidden="false" customHeight="false" outlineLevel="0" collapsed="false">
      <c r="A36" s="17" t="s">
        <v>376</v>
      </c>
      <c r="B36" s="30" t="n">
        <v>46251</v>
      </c>
      <c r="C36" s="30" t="n">
        <v>46257</v>
      </c>
      <c r="D36" s="17" t="s">
        <v>374</v>
      </c>
    </row>
    <row r="37" customFormat="false" ht="15" hidden="false" customHeight="false" outlineLevel="0" collapsed="false">
      <c r="A37" s="17" t="s">
        <v>377</v>
      </c>
      <c r="B37" s="30" t="n">
        <v>46258</v>
      </c>
      <c r="C37" s="30" t="n">
        <v>46264</v>
      </c>
      <c r="D37" s="17" t="s">
        <v>374</v>
      </c>
    </row>
    <row r="38" customFormat="false" ht="15" hidden="false" customHeight="false" outlineLevel="0" collapsed="false">
      <c r="A38" s="17" t="s">
        <v>378</v>
      </c>
      <c r="B38" s="30" t="n">
        <v>46265</v>
      </c>
      <c r="C38" s="30" t="n">
        <v>46271</v>
      </c>
      <c r="D38" s="17" t="s">
        <v>374</v>
      </c>
    </row>
    <row r="39" customFormat="false" ht="15" hidden="false" customHeight="false" outlineLevel="0" collapsed="false">
      <c r="A39" s="17" t="s">
        <v>379</v>
      </c>
      <c r="B39" s="30" t="n">
        <v>46272</v>
      </c>
      <c r="C39" s="30" t="n">
        <v>46278</v>
      </c>
      <c r="D39" s="17" t="s">
        <v>380</v>
      </c>
    </row>
    <row r="40" customFormat="false" ht="15" hidden="false" customHeight="false" outlineLevel="0" collapsed="false">
      <c r="A40" s="17" t="s">
        <v>381</v>
      </c>
      <c r="B40" s="30" t="n">
        <v>46279</v>
      </c>
      <c r="C40" s="30" t="n">
        <v>46285</v>
      </c>
      <c r="D40" s="17" t="s">
        <v>380</v>
      </c>
    </row>
    <row r="41" customFormat="false" ht="15" hidden="false" customHeight="false" outlineLevel="0" collapsed="false">
      <c r="A41" s="17" t="s">
        <v>382</v>
      </c>
      <c r="B41" s="30" t="n">
        <v>46286</v>
      </c>
      <c r="C41" s="30" t="n">
        <v>46292</v>
      </c>
      <c r="D41" s="17" t="s">
        <v>380</v>
      </c>
    </row>
    <row r="42" customFormat="false" ht="15" hidden="false" customHeight="false" outlineLevel="0" collapsed="false">
      <c r="A42" s="17" t="s">
        <v>219</v>
      </c>
      <c r="B42" s="30" t="n">
        <v>46293</v>
      </c>
      <c r="C42" s="30" t="n">
        <v>46299</v>
      </c>
      <c r="D42" s="17" t="s">
        <v>380</v>
      </c>
    </row>
    <row r="43" customFormat="false" ht="15" hidden="false" customHeight="false" outlineLevel="0" collapsed="false">
      <c r="A43" s="17" t="s">
        <v>383</v>
      </c>
      <c r="B43" s="30" t="n">
        <v>46300</v>
      </c>
      <c r="C43" s="30" t="n">
        <v>46306</v>
      </c>
      <c r="D43" s="17" t="s">
        <v>384</v>
      </c>
    </row>
    <row r="44" customFormat="false" ht="15" hidden="false" customHeight="false" outlineLevel="0" collapsed="false">
      <c r="A44" s="17" t="s">
        <v>385</v>
      </c>
      <c r="B44" s="30" t="n">
        <v>46307</v>
      </c>
      <c r="C44" s="30" t="n">
        <v>46313</v>
      </c>
      <c r="D44" s="17" t="s">
        <v>384</v>
      </c>
    </row>
    <row r="45" customFormat="false" ht="15" hidden="false" customHeight="false" outlineLevel="0" collapsed="false">
      <c r="A45" s="17" t="s">
        <v>386</v>
      </c>
      <c r="B45" s="30" t="n">
        <v>46314</v>
      </c>
      <c r="C45" s="30" t="n">
        <v>46320</v>
      </c>
      <c r="D45" s="17" t="s">
        <v>384</v>
      </c>
    </row>
    <row r="46" customFormat="false" ht="15" hidden="false" customHeight="false" outlineLevel="0" collapsed="false">
      <c r="A46" s="17" t="s">
        <v>387</v>
      </c>
      <c r="B46" s="30" t="n">
        <v>46321</v>
      </c>
      <c r="C46" s="30" t="n">
        <v>46327</v>
      </c>
      <c r="D46" s="17" t="s">
        <v>384</v>
      </c>
    </row>
    <row r="47" customFormat="false" ht="15" hidden="false" customHeight="false" outlineLevel="0" collapsed="false">
      <c r="A47" s="17" t="s">
        <v>388</v>
      </c>
      <c r="B47" s="30" t="n">
        <v>46328</v>
      </c>
      <c r="C47" s="30" t="n">
        <v>46334</v>
      </c>
      <c r="D47" s="17" t="s">
        <v>389</v>
      </c>
    </row>
    <row r="48" customFormat="false" ht="15" hidden="false" customHeight="false" outlineLevel="0" collapsed="false">
      <c r="A48" s="17" t="s">
        <v>390</v>
      </c>
      <c r="B48" s="30" t="n">
        <v>46335</v>
      </c>
      <c r="C48" s="30" t="n">
        <v>46341</v>
      </c>
      <c r="D48" s="17" t="s">
        <v>389</v>
      </c>
    </row>
    <row r="49" customFormat="false" ht="15" hidden="false" customHeight="false" outlineLevel="0" collapsed="false">
      <c r="A49" s="17" t="s">
        <v>391</v>
      </c>
      <c r="B49" s="30" t="n">
        <v>46342</v>
      </c>
      <c r="C49" s="30" t="n">
        <v>46348</v>
      </c>
      <c r="D49" s="17" t="s">
        <v>389</v>
      </c>
    </row>
    <row r="50" customFormat="false" ht="15" hidden="false" customHeight="false" outlineLevel="0" collapsed="false">
      <c r="A50" s="17" t="s">
        <v>392</v>
      </c>
      <c r="B50" s="30" t="n">
        <v>46349</v>
      </c>
      <c r="C50" s="30" t="n">
        <v>46355</v>
      </c>
      <c r="D50" s="17" t="s">
        <v>389</v>
      </c>
    </row>
    <row r="51" customFormat="false" ht="15" hidden="false" customHeight="false" outlineLevel="0" collapsed="false">
      <c r="A51" s="17" t="s">
        <v>393</v>
      </c>
      <c r="B51" s="30" t="n">
        <v>46356</v>
      </c>
      <c r="C51" s="30" t="n">
        <v>46362</v>
      </c>
      <c r="D51" s="17" t="s">
        <v>389</v>
      </c>
    </row>
    <row r="52" customFormat="false" ht="15" hidden="false" customHeight="false" outlineLevel="0" collapsed="false">
      <c r="A52" s="17" t="s">
        <v>394</v>
      </c>
      <c r="B52" s="30" t="n">
        <v>46363</v>
      </c>
      <c r="C52" s="30" t="n">
        <v>46369</v>
      </c>
      <c r="D52" s="17" t="s">
        <v>395</v>
      </c>
    </row>
    <row r="53" customFormat="false" ht="15" hidden="false" customHeight="false" outlineLevel="0" collapsed="false">
      <c r="A53" s="17" t="s">
        <v>396</v>
      </c>
      <c r="B53" s="30" t="n">
        <v>46370</v>
      </c>
      <c r="C53" s="30" t="n">
        <v>46376</v>
      </c>
      <c r="D53" s="17" t="s">
        <v>395</v>
      </c>
    </row>
    <row r="54" customFormat="false" ht="15" hidden="false" customHeight="false" outlineLevel="0" collapsed="false">
      <c r="A54" s="17" t="s">
        <v>397</v>
      </c>
      <c r="B54" s="30" t="n">
        <v>46377</v>
      </c>
      <c r="C54" s="30" t="n">
        <v>46383</v>
      </c>
      <c r="D54" s="17" t="s">
        <v>395</v>
      </c>
    </row>
    <row r="55" customFormat="false" ht="15" hidden="false" customHeight="false" outlineLevel="0" collapsed="false">
      <c r="A55" s="17" t="s">
        <v>398</v>
      </c>
      <c r="B55" s="30" t="n">
        <v>46384</v>
      </c>
      <c r="C55" s="30" t="n">
        <v>46390</v>
      </c>
      <c r="D55" s="17" t="s">
        <v>395</v>
      </c>
    </row>
    <row r="56" customFormat="false" ht="15" hidden="false" customHeight="false" outlineLevel="0" collapsed="false">
      <c r="A56" s="17" t="s">
        <v>399</v>
      </c>
      <c r="B56" s="30" t="n">
        <v>46391</v>
      </c>
      <c r="C56" s="30" t="n">
        <v>46397</v>
      </c>
      <c r="D56" s="17" t="s">
        <v>400</v>
      </c>
    </row>
    <row r="57" customFormat="false" ht="15" hidden="false" customHeight="false" outlineLevel="0" collapsed="false">
      <c r="A57" s="17" t="s">
        <v>401</v>
      </c>
      <c r="B57" s="30" t="n">
        <v>46398</v>
      </c>
      <c r="C57" s="30" t="n">
        <v>46404</v>
      </c>
      <c r="D57" s="17" t="s">
        <v>400</v>
      </c>
    </row>
    <row r="58" customFormat="false" ht="15" hidden="false" customHeight="false" outlineLevel="0" collapsed="false">
      <c r="A58" s="17" t="s">
        <v>402</v>
      </c>
      <c r="B58" s="30" t="n">
        <v>46405</v>
      </c>
      <c r="C58" s="30" t="n">
        <v>46411</v>
      </c>
      <c r="D58" s="17" t="s">
        <v>400</v>
      </c>
    </row>
    <row r="59" customFormat="false" ht="15" hidden="false" customHeight="false" outlineLevel="0" collapsed="false">
      <c r="A59" s="17" t="s">
        <v>403</v>
      </c>
      <c r="B59" s="30" t="n">
        <v>46412</v>
      </c>
      <c r="C59" s="30" t="n">
        <v>46418</v>
      </c>
      <c r="D59" s="17" t="s">
        <v>400</v>
      </c>
    </row>
    <row r="60" customFormat="false" ht="15" hidden="false" customHeight="false" outlineLevel="0" collapsed="false">
      <c r="A60" s="17" t="s">
        <v>404</v>
      </c>
      <c r="B60" s="30" t="n">
        <v>46419</v>
      </c>
      <c r="C60" s="30" t="n">
        <v>46425</v>
      </c>
      <c r="D60" s="17" t="s">
        <v>405</v>
      </c>
    </row>
    <row r="61" customFormat="false" ht="15" hidden="false" customHeight="false" outlineLevel="0" collapsed="false">
      <c r="A61" s="17" t="s">
        <v>406</v>
      </c>
      <c r="B61" s="30" t="n">
        <v>46426</v>
      </c>
      <c r="C61" s="30" t="n">
        <v>46432</v>
      </c>
      <c r="D61" s="17" t="s">
        <v>405</v>
      </c>
    </row>
    <row r="62" customFormat="false" ht="15" hidden="false" customHeight="false" outlineLevel="0" collapsed="false">
      <c r="A62" s="17" t="s">
        <v>407</v>
      </c>
      <c r="B62" s="30" t="n">
        <v>46433</v>
      </c>
      <c r="C62" s="30" t="n">
        <v>46439</v>
      </c>
      <c r="D62" s="17" t="s">
        <v>405</v>
      </c>
    </row>
    <row r="63" customFormat="false" ht="15" hidden="false" customHeight="false" outlineLevel="0" collapsed="false">
      <c r="A63" s="17" t="s">
        <v>408</v>
      </c>
      <c r="B63" s="30" t="n">
        <v>46440</v>
      </c>
      <c r="C63" s="30" t="n">
        <v>46446</v>
      </c>
      <c r="D63" s="17" t="s">
        <v>405</v>
      </c>
    </row>
    <row r="64" customFormat="false" ht="15" hidden="false" customHeight="false" outlineLevel="0" collapsed="false">
      <c r="A64" s="17" t="s">
        <v>409</v>
      </c>
      <c r="B64" s="30" t="n">
        <v>46447</v>
      </c>
      <c r="C64" s="30" t="n">
        <v>46453</v>
      </c>
      <c r="D64" s="17" t="s">
        <v>410</v>
      </c>
    </row>
    <row r="65" customFormat="false" ht="15" hidden="false" customHeight="false" outlineLevel="0" collapsed="false">
      <c r="A65" s="17" t="s">
        <v>411</v>
      </c>
      <c r="B65" s="30" t="n">
        <v>46454</v>
      </c>
      <c r="C65" s="30" t="n">
        <v>46460</v>
      </c>
      <c r="D65" s="17" t="s">
        <v>410</v>
      </c>
    </row>
    <row r="66" customFormat="false" ht="15" hidden="false" customHeight="false" outlineLevel="0" collapsed="false">
      <c r="A66" s="17" t="s">
        <v>412</v>
      </c>
      <c r="B66" s="30" t="n">
        <v>46461</v>
      </c>
      <c r="C66" s="30" t="n">
        <v>46467</v>
      </c>
      <c r="D66" s="17" t="s">
        <v>410</v>
      </c>
    </row>
    <row r="67" customFormat="false" ht="15" hidden="false" customHeight="false" outlineLevel="0" collapsed="false">
      <c r="A67" s="17" t="s">
        <v>413</v>
      </c>
      <c r="B67" s="30" t="n">
        <v>46468</v>
      </c>
      <c r="C67" s="30" t="n">
        <v>46474</v>
      </c>
      <c r="D67" s="17" t="s">
        <v>410</v>
      </c>
    </row>
    <row r="68" customFormat="false" ht="15" hidden="false" customHeight="false" outlineLevel="0" collapsed="false">
      <c r="A68" s="17" t="s">
        <v>414</v>
      </c>
      <c r="B68" s="30" t="n">
        <v>46475</v>
      </c>
      <c r="C68" s="30" t="n">
        <v>46481</v>
      </c>
      <c r="D68" s="17" t="s">
        <v>410</v>
      </c>
    </row>
    <row r="69" customFormat="false" ht="15" hidden="false" customHeight="false" outlineLevel="0" collapsed="false">
      <c r="A69" s="17" t="s">
        <v>415</v>
      </c>
      <c r="B69" s="30" t="n">
        <v>46482</v>
      </c>
      <c r="C69" s="30" t="n">
        <v>46488</v>
      </c>
      <c r="D69" s="17" t="s">
        <v>416</v>
      </c>
    </row>
    <row r="70" customFormat="false" ht="15" hidden="false" customHeight="false" outlineLevel="0" collapsed="false">
      <c r="A70" s="17" t="s">
        <v>417</v>
      </c>
      <c r="B70" s="30" t="n">
        <v>46489</v>
      </c>
      <c r="C70" s="30" t="n">
        <v>46495</v>
      </c>
      <c r="D70" s="17" t="s">
        <v>416</v>
      </c>
    </row>
    <row r="71" customFormat="false" ht="15" hidden="false" customHeight="false" outlineLevel="0" collapsed="false">
      <c r="A71" s="17" t="s">
        <v>418</v>
      </c>
      <c r="B71" s="30" t="n">
        <v>46496</v>
      </c>
      <c r="C71" s="30" t="n">
        <v>46502</v>
      </c>
      <c r="D71" s="17" t="s">
        <v>416</v>
      </c>
    </row>
    <row r="72" customFormat="false" ht="15" hidden="false" customHeight="false" outlineLevel="0" collapsed="false">
      <c r="A72" s="17" t="s">
        <v>419</v>
      </c>
      <c r="B72" s="30" t="n">
        <v>46503</v>
      </c>
      <c r="C72" s="30" t="n">
        <v>46509</v>
      </c>
      <c r="D72" s="17" t="s">
        <v>416</v>
      </c>
    </row>
    <row r="73" customFormat="false" ht="15" hidden="false" customHeight="false" outlineLevel="0" collapsed="false">
      <c r="A73" s="17" t="s">
        <v>420</v>
      </c>
      <c r="B73" s="30" t="n">
        <v>46510</v>
      </c>
      <c r="C73" s="30" t="n">
        <v>46516</v>
      </c>
      <c r="D73" s="17" t="s">
        <v>421</v>
      </c>
    </row>
    <row r="74" customFormat="false" ht="15" hidden="false" customHeight="false" outlineLevel="0" collapsed="false">
      <c r="A74" s="17" t="s">
        <v>422</v>
      </c>
      <c r="B74" s="30" t="n">
        <v>46517</v>
      </c>
      <c r="C74" s="30" t="n">
        <v>46523</v>
      </c>
      <c r="D74" s="17" t="s">
        <v>421</v>
      </c>
    </row>
    <row r="75" customFormat="false" ht="15" hidden="false" customHeight="false" outlineLevel="0" collapsed="false">
      <c r="A75" s="17" t="s">
        <v>423</v>
      </c>
      <c r="B75" s="30" t="n">
        <v>46524</v>
      </c>
      <c r="C75" s="30" t="n">
        <v>46530</v>
      </c>
      <c r="D75" s="17" t="s">
        <v>421</v>
      </c>
    </row>
    <row r="76" customFormat="false" ht="15" hidden="false" customHeight="false" outlineLevel="0" collapsed="false">
      <c r="A76" s="17" t="s">
        <v>424</v>
      </c>
      <c r="B76" s="30" t="n">
        <v>46531</v>
      </c>
      <c r="C76" s="30" t="n">
        <v>46537</v>
      </c>
      <c r="D76" s="17" t="s">
        <v>421</v>
      </c>
    </row>
    <row r="77" customFormat="false" ht="15" hidden="false" customHeight="false" outlineLevel="0" collapsed="false">
      <c r="A77" s="17" t="s">
        <v>425</v>
      </c>
      <c r="B77" s="30" t="n">
        <v>46538</v>
      </c>
      <c r="C77" s="30" t="n">
        <v>46544</v>
      </c>
      <c r="D77" s="17" t="s">
        <v>421</v>
      </c>
    </row>
    <row r="78" customFormat="false" ht="15" hidden="false" customHeight="false" outlineLevel="0" collapsed="false">
      <c r="A78" s="17" t="s">
        <v>426</v>
      </c>
      <c r="B78" s="30" t="n">
        <v>46545</v>
      </c>
      <c r="C78" s="30" t="n">
        <v>46551</v>
      </c>
      <c r="D78" s="17" t="s">
        <v>427</v>
      </c>
    </row>
    <row r="79" customFormat="false" ht="15" hidden="false" customHeight="false" outlineLevel="0" collapsed="false">
      <c r="A79" s="17" t="s">
        <v>428</v>
      </c>
      <c r="B79" s="30" t="n">
        <v>46552</v>
      </c>
      <c r="C79" s="30" t="n">
        <v>46558</v>
      </c>
      <c r="D79" s="17" t="s">
        <v>427</v>
      </c>
    </row>
    <row r="80" customFormat="false" ht="15" hidden="false" customHeight="false" outlineLevel="0" collapsed="false">
      <c r="A80" s="17" t="s">
        <v>429</v>
      </c>
      <c r="B80" s="30" t="n">
        <v>46559</v>
      </c>
      <c r="C80" s="30" t="n">
        <v>46565</v>
      </c>
      <c r="D80" s="17" t="s">
        <v>427</v>
      </c>
    </row>
    <row r="81" customFormat="false" ht="15" hidden="false" customHeight="false" outlineLevel="0" collapsed="false">
      <c r="A81" s="17" t="s">
        <v>430</v>
      </c>
      <c r="B81" s="30" t="n">
        <v>46566</v>
      </c>
      <c r="C81" s="30" t="n">
        <v>46572</v>
      </c>
      <c r="D81" s="17" t="s">
        <v>427</v>
      </c>
    </row>
    <row r="82" customFormat="false" ht="15" hidden="false" customHeight="false" outlineLevel="0" collapsed="false">
      <c r="A82" s="17" t="s">
        <v>431</v>
      </c>
      <c r="B82" s="30" t="n">
        <v>46573</v>
      </c>
      <c r="C82" s="30" t="n">
        <v>46579</v>
      </c>
      <c r="D82" s="17" t="s">
        <v>432</v>
      </c>
    </row>
    <row r="83" customFormat="false" ht="15" hidden="false" customHeight="false" outlineLevel="0" collapsed="false">
      <c r="A83" s="17" t="s">
        <v>433</v>
      </c>
      <c r="B83" s="30" t="n">
        <v>46580</v>
      </c>
      <c r="C83" s="30" t="n">
        <v>46586</v>
      </c>
      <c r="D83" s="17" t="s">
        <v>432</v>
      </c>
    </row>
    <row r="84" customFormat="false" ht="15" hidden="false" customHeight="false" outlineLevel="0" collapsed="false">
      <c r="A84" s="17" t="s">
        <v>434</v>
      </c>
      <c r="B84" s="30" t="n">
        <v>46587</v>
      </c>
      <c r="C84" s="30" t="n">
        <v>46593</v>
      </c>
      <c r="D84" s="17" t="s">
        <v>432</v>
      </c>
    </row>
    <row r="85" customFormat="false" ht="15" hidden="false" customHeight="false" outlineLevel="0" collapsed="false">
      <c r="A85" s="17" t="s">
        <v>435</v>
      </c>
      <c r="B85" s="30" t="n">
        <v>46594</v>
      </c>
      <c r="C85" s="30" t="n">
        <v>46600</v>
      </c>
      <c r="D85" s="17" t="s">
        <v>432</v>
      </c>
    </row>
    <row r="86" customFormat="false" ht="15" hidden="false" customHeight="false" outlineLevel="0" collapsed="false">
      <c r="A86" s="17" t="s">
        <v>436</v>
      </c>
      <c r="B86" s="30" t="n">
        <v>46601</v>
      </c>
      <c r="C86" s="30" t="n">
        <v>46607</v>
      </c>
      <c r="D86" s="17" t="s">
        <v>437</v>
      </c>
    </row>
    <row r="87" customFormat="false" ht="15" hidden="false" customHeight="false" outlineLevel="0" collapsed="false">
      <c r="A87" s="17" t="s">
        <v>438</v>
      </c>
      <c r="B87" s="30" t="n">
        <v>46608</v>
      </c>
      <c r="C87" s="30" t="n">
        <v>46614</v>
      </c>
      <c r="D87" s="17" t="s">
        <v>437</v>
      </c>
    </row>
    <row r="88" customFormat="false" ht="15" hidden="false" customHeight="false" outlineLevel="0" collapsed="false">
      <c r="A88" s="17" t="s">
        <v>439</v>
      </c>
      <c r="B88" s="30" t="n">
        <v>46615</v>
      </c>
      <c r="C88" s="30" t="n">
        <v>46621</v>
      </c>
      <c r="D88" s="17" t="s">
        <v>437</v>
      </c>
    </row>
    <row r="89" customFormat="false" ht="15" hidden="false" customHeight="false" outlineLevel="0" collapsed="false">
      <c r="A89" s="17" t="s">
        <v>440</v>
      </c>
      <c r="B89" s="30" t="n">
        <v>46622</v>
      </c>
      <c r="C89" s="30" t="n">
        <v>46628</v>
      </c>
      <c r="D89" s="17" t="s">
        <v>437</v>
      </c>
    </row>
    <row r="90" customFormat="false" ht="15" hidden="false" customHeight="false" outlineLevel="0" collapsed="false">
      <c r="A90" s="17" t="s">
        <v>441</v>
      </c>
      <c r="B90" s="30" t="n">
        <v>46629</v>
      </c>
      <c r="C90" s="30" t="n">
        <v>46635</v>
      </c>
      <c r="D90" s="17" t="s">
        <v>437</v>
      </c>
    </row>
    <row r="91" customFormat="false" ht="15" hidden="false" customHeight="false" outlineLevel="0" collapsed="false">
      <c r="A91" s="17" t="s">
        <v>442</v>
      </c>
      <c r="B91" s="30" t="n">
        <v>46636</v>
      </c>
      <c r="C91" s="30" t="n">
        <v>46642</v>
      </c>
      <c r="D91" s="17" t="s">
        <v>443</v>
      </c>
    </row>
    <row r="92" customFormat="false" ht="15" hidden="false" customHeight="false" outlineLevel="0" collapsed="false">
      <c r="A92" s="17" t="s">
        <v>444</v>
      </c>
      <c r="B92" s="30" t="n">
        <v>46643</v>
      </c>
      <c r="C92" s="30" t="n">
        <v>46649</v>
      </c>
      <c r="D92" s="17" t="s">
        <v>443</v>
      </c>
    </row>
    <row r="93" customFormat="false" ht="15" hidden="false" customHeight="false" outlineLevel="0" collapsed="false">
      <c r="A93" s="17" t="s">
        <v>445</v>
      </c>
      <c r="B93" s="30" t="n">
        <v>46650</v>
      </c>
      <c r="C93" s="30" t="n">
        <v>46656</v>
      </c>
      <c r="D93" s="17" t="s">
        <v>443</v>
      </c>
    </row>
    <row r="94" customFormat="false" ht="15" hidden="false" customHeight="false" outlineLevel="0" collapsed="false">
      <c r="A94" s="17" t="s">
        <v>446</v>
      </c>
      <c r="B94" s="30" t="n">
        <v>46657</v>
      </c>
      <c r="C94" s="30" t="n">
        <v>46663</v>
      </c>
      <c r="D94" s="17" t="s">
        <v>443</v>
      </c>
    </row>
    <row r="95" customFormat="false" ht="15" hidden="false" customHeight="false" outlineLevel="0" collapsed="false">
      <c r="A95" s="17" t="s">
        <v>447</v>
      </c>
      <c r="B95" s="30" t="n">
        <v>46664</v>
      </c>
      <c r="C95" s="30" t="n">
        <v>46670</v>
      </c>
      <c r="D95" s="17" t="s">
        <v>448</v>
      </c>
    </row>
    <row r="96" customFormat="false" ht="15" hidden="false" customHeight="false" outlineLevel="0" collapsed="false">
      <c r="A96" s="17" t="s">
        <v>449</v>
      </c>
      <c r="B96" s="30" t="n">
        <v>46671</v>
      </c>
      <c r="C96" s="30" t="n">
        <v>46677</v>
      </c>
      <c r="D96" s="17" t="s">
        <v>448</v>
      </c>
    </row>
    <row r="97" customFormat="false" ht="15" hidden="false" customHeight="false" outlineLevel="0" collapsed="false">
      <c r="A97" s="17" t="s">
        <v>450</v>
      </c>
      <c r="B97" s="30" t="n">
        <v>46678</v>
      </c>
      <c r="C97" s="30" t="n">
        <v>46684</v>
      </c>
      <c r="D97" s="17" t="s">
        <v>448</v>
      </c>
    </row>
    <row r="98" customFormat="false" ht="15" hidden="false" customHeight="false" outlineLevel="0" collapsed="false">
      <c r="A98" s="17" t="s">
        <v>451</v>
      </c>
      <c r="B98" s="30" t="n">
        <v>46685</v>
      </c>
      <c r="C98" s="30" t="n">
        <v>46691</v>
      </c>
      <c r="D98" s="17" t="s">
        <v>448</v>
      </c>
    </row>
    <row r="99" customFormat="false" ht="15" hidden="false" customHeight="false" outlineLevel="0" collapsed="false">
      <c r="A99" s="17" t="s">
        <v>452</v>
      </c>
      <c r="B99" s="30" t="n">
        <v>46692</v>
      </c>
      <c r="C99" s="30" t="n">
        <v>46698</v>
      </c>
      <c r="D99" s="17" t="s">
        <v>453</v>
      </c>
    </row>
    <row r="100" customFormat="false" ht="15" hidden="false" customHeight="false" outlineLevel="0" collapsed="false">
      <c r="A100" s="17" t="s">
        <v>454</v>
      </c>
      <c r="B100" s="30" t="n">
        <v>46699</v>
      </c>
      <c r="C100" s="30" t="n">
        <v>46705</v>
      </c>
      <c r="D100" s="17" t="s">
        <v>453</v>
      </c>
    </row>
    <row r="101" customFormat="false" ht="15" hidden="false" customHeight="false" outlineLevel="0" collapsed="false">
      <c r="A101" s="17" t="s">
        <v>455</v>
      </c>
      <c r="B101" s="30" t="n">
        <v>46706</v>
      </c>
      <c r="C101" s="30" t="n">
        <v>46712</v>
      </c>
      <c r="D101" s="17" t="s">
        <v>453</v>
      </c>
    </row>
    <row r="102" customFormat="false" ht="15" hidden="false" customHeight="false" outlineLevel="0" collapsed="false">
      <c r="A102" s="17" t="s">
        <v>456</v>
      </c>
      <c r="B102" s="30" t="n">
        <v>46713</v>
      </c>
      <c r="C102" s="30" t="n">
        <v>46719</v>
      </c>
      <c r="D102" s="17" t="s">
        <v>453</v>
      </c>
    </row>
    <row r="103" customFormat="false" ht="15" hidden="false" customHeight="false" outlineLevel="0" collapsed="false">
      <c r="A103" s="17" t="s">
        <v>457</v>
      </c>
      <c r="B103" s="30" t="n">
        <v>46720</v>
      </c>
      <c r="C103" s="30" t="n">
        <v>46726</v>
      </c>
      <c r="D103" s="17" t="s">
        <v>453</v>
      </c>
    </row>
    <row r="104" customFormat="false" ht="15" hidden="false" customHeight="false" outlineLevel="0" collapsed="false">
      <c r="A104" s="17" t="s">
        <v>458</v>
      </c>
      <c r="B104" s="30" t="n">
        <v>46727</v>
      </c>
      <c r="C104" s="30" t="n">
        <v>46733</v>
      </c>
      <c r="D104" s="17" t="s">
        <v>459</v>
      </c>
    </row>
    <row r="105" customFormat="false" ht="15" hidden="false" customHeight="false" outlineLevel="0" collapsed="false">
      <c r="A105" s="17" t="s">
        <v>460</v>
      </c>
      <c r="B105" s="30" t="n">
        <v>46734</v>
      </c>
      <c r="C105" s="30" t="n">
        <v>46740</v>
      </c>
      <c r="D105" s="17" t="s">
        <v>459</v>
      </c>
    </row>
    <row r="106" customFormat="false" ht="15" hidden="false" customHeight="false" outlineLevel="0" collapsed="false">
      <c r="A106" s="17" t="s">
        <v>461</v>
      </c>
      <c r="B106" s="30" t="n">
        <v>46741</v>
      </c>
      <c r="C106" s="30" t="n">
        <v>46747</v>
      </c>
      <c r="D106" s="17" t="s">
        <v>459</v>
      </c>
    </row>
    <row r="107" customFormat="false" ht="15" hidden="false" customHeight="false" outlineLevel="0" collapsed="false">
      <c r="A107" s="17" t="s">
        <v>462</v>
      </c>
      <c r="B107" s="30" t="n">
        <v>46748</v>
      </c>
      <c r="C107" s="30" t="n">
        <v>46754</v>
      </c>
      <c r="D107" s="17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9"/>
    <col collapsed="false" customWidth="true" hidden="false" outlineLevel="0" max="7" min="5" style="0" width="11"/>
    <col collapsed="false" customWidth="true" hidden="false" outlineLevel="0" max="13" min="8" style="0" width="12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9" min="16" style="0" width="12"/>
    <col collapsed="false" customWidth="true" hidden="false" outlineLevel="0" max="20" min="20" style="0" width="13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12"/>
    <col collapsed="false" customWidth="true" hidden="false" outlineLevel="0" max="24" min="24" style="0" width="30"/>
  </cols>
  <sheetData>
    <row r="1" customFormat="false" ht="17.35" hidden="false" customHeight="false" outlineLevel="0" collapsed="false">
      <c r="A1" s="1" t="s">
        <v>463</v>
      </c>
    </row>
    <row r="2" customFormat="false" ht="15" hidden="false" customHeight="false" outlineLevel="0" collapsed="false">
      <c r="A2" s="2" t="s">
        <v>464</v>
      </c>
    </row>
    <row r="3" customFormat="false" ht="31.5" hidden="false" customHeight="true" outlineLevel="0" collapsed="false">
      <c r="A3" s="8" t="s">
        <v>28</v>
      </c>
      <c r="B3" s="8" t="s">
        <v>31</v>
      </c>
      <c r="C3" s="8" t="s">
        <v>34</v>
      </c>
      <c r="D3" s="8" t="s">
        <v>36</v>
      </c>
      <c r="E3" s="8" t="s">
        <v>38</v>
      </c>
      <c r="F3" s="8" t="s">
        <v>40</v>
      </c>
      <c r="G3" s="8" t="s">
        <v>42</v>
      </c>
      <c r="H3" s="8" t="s">
        <v>44</v>
      </c>
      <c r="I3" s="8" t="s">
        <v>46</v>
      </c>
      <c r="J3" s="8" t="s">
        <v>48</v>
      </c>
      <c r="K3" s="8" t="s">
        <v>50</v>
      </c>
      <c r="L3" s="8" t="s">
        <v>52</v>
      </c>
      <c r="M3" s="8" t="s">
        <v>54</v>
      </c>
      <c r="N3" s="8" t="s">
        <v>56</v>
      </c>
      <c r="O3" s="8" t="s">
        <v>58</v>
      </c>
      <c r="P3" s="8" t="s">
        <v>60</v>
      </c>
      <c r="Q3" s="8" t="s">
        <v>62</v>
      </c>
      <c r="R3" s="8" t="s">
        <v>64</v>
      </c>
      <c r="S3" s="8" t="s">
        <v>66</v>
      </c>
      <c r="T3" s="8" t="s">
        <v>68</v>
      </c>
      <c r="U3" s="8" t="s">
        <v>70</v>
      </c>
      <c r="V3" s="8" t="s">
        <v>72</v>
      </c>
      <c r="W3" s="8" t="s">
        <v>74</v>
      </c>
      <c r="X3" s="8" t="s">
        <v>76</v>
      </c>
    </row>
    <row r="4" customFormat="false" ht="15" hidden="false" customHeight="false" outlineLevel="0" collapsed="false">
      <c r="A4" s="17" t="s">
        <v>336</v>
      </c>
      <c r="B4" s="30" t="n">
        <f aca="false">IFERROR(INDEX(Calendario!$B$4:$B$107,MATCH($A4,Calendario!$A$4:$A$107,0)),"")</f>
        <v>46027</v>
      </c>
      <c r="C4" s="30" t="n">
        <f aca="false">IFERROR(INDEX(Calendario!$C$4:$C$107,MATCH($A4,Calendario!$A$4:$A$107,0)),"")</f>
        <v>46033</v>
      </c>
      <c r="D4" s="17" t="str">
        <f aca="false">IFERROR(INDEX(Calendario!$D$4:$D$107,MATCH($A4,Calendario!$A$4:$A$107,0)),"")</f>
        <v>2026-01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31"/>
      <c r="U4" s="31"/>
      <c r="V4" s="31"/>
      <c r="W4" s="31"/>
      <c r="X4" s="26"/>
    </row>
    <row r="5" customFormat="false" ht="15" hidden="false" customHeight="false" outlineLevel="0" collapsed="false">
      <c r="A5" s="17" t="s">
        <v>338</v>
      </c>
      <c r="B5" s="30" t="n">
        <f aca="false">IFERROR(INDEX(Calendario!$B$4:$B$107,MATCH($A5,Calendario!$A$4:$A$107,0)),"")</f>
        <v>46034</v>
      </c>
      <c r="C5" s="30" t="n">
        <f aca="false">IFERROR(INDEX(Calendario!$C$4:$C$107,MATCH($A5,Calendario!$A$4:$A$107,0)),"")</f>
        <v>46040</v>
      </c>
      <c r="D5" s="17" t="str">
        <f aca="false">IFERROR(INDEX(Calendario!$D$4:$D$107,MATCH($A5,Calendario!$A$4:$A$107,0)),"")</f>
        <v>2026-01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1"/>
      <c r="U5" s="31"/>
      <c r="V5" s="31"/>
      <c r="W5" s="31"/>
      <c r="X5" s="26"/>
    </row>
    <row r="6" customFormat="false" ht="15" hidden="false" customHeight="false" outlineLevel="0" collapsed="false">
      <c r="A6" s="17" t="s">
        <v>339</v>
      </c>
      <c r="B6" s="30" t="n">
        <f aca="false">IFERROR(INDEX(Calendario!$B$4:$B$107,MATCH($A6,Calendario!$A$4:$A$107,0)),"")</f>
        <v>46041</v>
      </c>
      <c r="C6" s="30" t="n">
        <f aca="false">IFERROR(INDEX(Calendario!$C$4:$C$107,MATCH($A6,Calendario!$A$4:$A$107,0)),"")</f>
        <v>46047</v>
      </c>
      <c r="D6" s="17" t="str">
        <f aca="false">IFERROR(INDEX(Calendario!$D$4:$D$107,MATCH($A6,Calendario!$A$4:$A$107,0)),"")</f>
        <v>2026-01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1"/>
      <c r="U6" s="31"/>
      <c r="V6" s="31"/>
      <c r="W6" s="31"/>
      <c r="X6" s="26"/>
    </row>
    <row r="7" customFormat="false" ht="15" hidden="false" customHeight="false" outlineLevel="0" collapsed="false">
      <c r="A7" s="17" t="s">
        <v>340</v>
      </c>
      <c r="B7" s="30" t="n">
        <f aca="false">IFERROR(INDEX(Calendario!$B$4:$B$107,MATCH($A7,Calendario!$A$4:$A$107,0)),"")</f>
        <v>46048</v>
      </c>
      <c r="C7" s="30" t="n">
        <f aca="false">IFERROR(INDEX(Calendario!$C$4:$C$107,MATCH($A7,Calendario!$A$4:$A$107,0)),"")</f>
        <v>46054</v>
      </c>
      <c r="D7" s="17" t="str">
        <f aca="false">IFERROR(INDEX(Calendario!$D$4:$D$107,MATCH($A7,Calendario!$A$4:$A$107,0)),"")</f>
        <v>2026-01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31"/>
      <c r="U7" s="31"/>
      <c r="V7" s="31"/>
      <c r="W7" s="31"/>
      <c r="X7" s="26"/>
    </row>
    <row r="8" customFormat="false" ht="15" hidden="false" customHeight="false" outlineLevel="0" collapsed="false">
      <c r="A8" s="17" t="s">
        <v>341</v>
      </c>
      <c r="B8" s="30" t="n">
        <f aca="false">IFERROR(INDEX(Calendario!$B$4:$B$107,MATCH($A8,Calendario!$A$4:$A$107,0)),"")</f>
        <v>46055</v>
      </c>
      <c r="C8" s="30" t="n">
        <f aca="false">IFERROR(INDEX(Calendario!$C$4:$C$107,MATCH($A8,Calendario!$A$4:$A$107,0)),"")</f>
        <v>46061</v>
      </c>
      <c r="D8" s="17" t="str">
        <f aca="false">IFERROR(INDEX(Calendario!$D$4:$D$107,MATCH($A8,Calendario!$A$4:$A$107,0)),"")</f>
        <v>2026-02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31"/>
      <c r="U8" s="31"/>
      <c r="V8" s="31"/>
      <c r="W8" s="31"/>
      <c r="X8" s="26"/>
    </row>
    <row r="9" customFormat="false" ht="15" hidden="false" customHeight="false" outlineLevel="0" collapsed="false">
      <c r="A9" s="17" t="s">
        <v>343</v>
      </c>
      <c r="B9" s="30" t="n">
        <f aca="false">IFERROR(INDEX(Calendario!$B$4:$B$107,MATCH($A9,Calendario!$A$4:$A$107,0)),"")</f>
        <v>46062</v>
      </c>
      <c r="C9" s="30" t="n">
        <f aca="false">IFERROR(INDEX(Calendario!$C$4:$C$107,MATCH($A9,Calendario!$A$4:$A$107,0)),"")</f>
        <v>46068</v>
      </c>
      <c r="D9" s="17" t="str">
        <f aca="false">IFERROR(INDEX(Calendario!$D$4:$D$107,MATCH($A9,Calendario!$A$4:$A$107,0)),"")</f>
        <v>2026-02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31"/>
      <c r="U9" s="31"/>
      <c r="V9" s="31"/>
      <c r="W9" s="31"/>
      <c r="X9" s="26"/>
    </row>
    <row r="10" customFormat="false" ht="15" hidden="false" customHeight="false" outlineLevel="0" collapsed="false">
      <c r="A10" s="17" t="s">
        <v>344</v>
      </c>
      <c r="B10" s="30" t="n">
        <f aca="false">IFERROR(INDEX(Calendario!$B$4:$B$107,MATCH($A10,Calendario!$A$4:$A$107,0)),"")</f>
        <v>46069</v>
      </c>
      <c r="C10" s="30" t="n">
        <f aca="false">IFERROR(INDEX(Calendario!$C$4:$C$107,MATCH($A10,Calendario!$A$4:$A$107,0)),"")</f>
        <v>46075</v>
      </c>
      <c r="D10" s="17" t="str">
        <f aca="false">IFERROR(INDEX(Calendario!$D$4:$D$107,MATCH($A10,Calendario!$A$4:$A$107,0)),"")</f>
        <v>2026-02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31"/>
      <c r="U10" s="31"/>
      <c r="V10" s="31"/>
      <c r="W10" s="31"/>
      <c r="X10" s="26"/>
    </row>
    <row r="11" customFormat="false" ht="15" hidden="false" customHeight="false" outlineLevel="0" collapsed="false">
      <c r="A11" s="17" t="s">
        <v>345</v>
      </c>
      <c r="B11" s="30" t="n">
        <f aca="false">IFERROR(INDEX(Calendario!$B$4:$B$107,MATCH($A11,Calendario!$A$4:$A$107,0)),"")</f>
        <v>46076</v>
      </c>
      <c r="C11" s="30" t="n">
        <f aca="false">IFERROR(INDEX(Calendario!$C$4:$C$107,MATCH($A11,Calendario!$A$4:$A$107,0)),"")</f>
        <v>46082</v>
      </c>
      <c r="D11" s="17" t="str">
        <f aca="false">IFERROR(INDEX(Calendario!$D$4:$D$107,MATCH($A11,Calendario!$A$4:$A$107,0)),"")</f>
        <v>2026-02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31"/>
      <c r="U11" s="31"/>
      <c r="V11" s="31"/>
      <c r="W11" s="31"/>
      <c r="X11" s="26"/>
    </row>
    <row r="12" customFormat="false" ht="15" hidden="false" customHeight="false" outlineLevel="0" collapsed="false">
      <c r="A12" s="17" t="s">
        <v>346</v>
      </c>
      <c r="B12" s="30" t="n">
        <f aca="false">IFERROR(INDEX(Calendario!$B$4:$B$107,MATCH($A12,Calendario!$A$4:$A$107,0)),"")</f>
        <v>46083</v>
      </c>
      <c r="C12" s="30" t="n">
        <f aca="false">IFERROR(INDEX(Calendario!$C$4:$C$107,MATCH($A12,Calendario!$A$4:$A$107,0)),"")</f>
        <v>46089</v>
      </c>
      <c r="D12" s="17" t="str">
        <f aca="false">IFERROR(INDEX(Calendario!$D$4:$D$107,MATCH($A12,Calendario!$A$4:$A$107,0)),"")</f>
        <v>2026-03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31"/>
      <c r="U12" s="31"/>
      <c r="V12" s="31"/>
      <c r="W12" s="31"/>
      <c r="X12" s="26"/>
    </row>
    <row r="13" customFormat="false" ht="15" hidden="false" customHeight="false" outlineLevel="0" collapsed="false">
      <c r="A13" s="17" t="s">
        <v>348</v>
      </c>
      <c r="B13" s="30" t="n">
        <f aca="false">IFERROR(INDEX(Calendario!$B$4:$B$107,MATCH($A13,Calendario!$A$4:$A$107,0)),"")</f>
        <v>46090</v>
      </c>
      <c r="C13" s="30" t="n">
        <f aca="false">IFERROR(INDEX(Calendario!$C$4:$C$107,MATCH($A13,Calendario!$A$4:$A$107,0)),"")</f>
        <v>46096</v>
      </c>
      <c r="D13" s="17" t="str">
        <f aca="false">IFERROR(INDEX(Calendario!$D$4:$D$107,MATCH($A13,Calendario!$A$4:$A$107,0)),"")</f>
        <v>2026-03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31"/>
      <c r="U13" s="31"/>
      <c r="V13" s="31"/>
      <c r="W13" s="31"/>
      <c r="X13" s="26"/>
    </row>
    <row r="14" customFormat="false" ht="15" hidden="false" customHeight="false" outlineLevel="0" collapsed="false">
      <c r="A14" s="17" t="s">
        <v>349</v>
      </c>
      <c r="B14" s="30" t="n">
        <f aca="false">IFERROR(INDEX(Calendario!$B$4:$B$107,MATCH($A14,Calendario!$A$4:$A$107,0)),"")</f>
        <v>46097</v>
      </c>
      <c r="C14" s="30" t="n">
        <f aca="false">IFERROR(INDEX(Calendario!$C$4:$C$107,MATCH($A14,Calendario!$A$4:$A$107,0)),"")</f>
        <v>46103</v>
      </c>
      <c r="D14" s="17" t="str">
        <f aca="false">IFERROR(INDEX(Calendario!$D$4:$D$107,MATCH($A14,Calendario!$A$4:$A$107,0)),"")</f>
        <v>2026-03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31"/>
      <c r="U14" s="31"/>
      <c r="V14" s="31"/>
      <c r="W14" s="31"/>
      <c r="X14" s="26"/>
    </row>
    <row r="15" customFormat="false" ht="15" hidden="false" customHeight="false" outlineLevel="0" collapsed="false">
      <c r="A15" s="17" t="s">
        <v>350</v>
      </c>
      <c r="B15" s="30" t="n">
        <f aca="false">IFERROR(INDEX(Calendario!$B$4:$B$107,MATCH($A15,Calendario!$A$4:$A$107,0)),"")</f>
        <v>46104</v>
      </c>
      <c r="C15" s="30" t="n">
        <f aca="false">IFERROR(INDEX(Calendario!$C$4:$C$107,MATCH($A15,Calendario!$A$4:$A$107,0)),"")</f>
        <v>46110</v>
      </c>
      <c r="D15" s="17" t="str">
        <f aca="false">IFERROR(INDEX(Calendario!$D$4:$D$107,MATCH($A15,Calendario!$A$4:$A$107,0)),"")</f>
        <v>2026-03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31"/>
      <c r="U15" s="31"/>
      <c r="V15" s="31"/>
      <c r="W15" s="31"/>
      <c r="X15" s="26"/>
    </row>
    <row r="16" customFormat="false" ht="15" hidden="false" customHeight="false" outlineLevel="0" collapsed="false">
      <c r="A16" s="17" t="s">
        <v>351</v>
      </c>
      <c r="B16" s="30" t="n">
        <f aca="false">IFERROR(INDEX(Calendario!$B$4:$B$107,MATCH($A16,Calendario!$A$4:$A$107,0)),"")</f>
        <v>46111</v>
      </c>
      <c r="C16" s="30" t="n">
        <f aca="false">IFERROR(INDEX(Calendario!$C$4:$C$107,MATCH($A16,Calendario!$A$4:$A$107,0)),"")</f>
        <v>46117</v>
      </c>
      <c r="D16" s="17" t="str">
        <f aca="false">IFERROR(INDEX(Calendario!$D$4:$D$107,MATCH($A16,Calendario!$A$4:$A$107,0)),"")</f>
        <v>2026-03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31"/>
      <c r="U16" s="31"/>
      <c r="V16" s="31"/>
      <c r="W16" s="31"/>
      <c r="X16" s="26"/>
    </row>
    <row r="17" customFormat="false" ht="15" hidden="false" customHeight="false" outlineLevel="0" collapsed="false">
      <c r="A17" s="17" t="s">
        <v>352</v>
      </c>
      <c r="B17" s="30" t="n">
        <f aca="false">IFERROR(INDEX(Calendario!$B$4:$B$107,MATCH($A17,Calendario!$A$4:$A$107,0)),"")</f>
        <v>46118</v>
      </c>
      <c r="C17" s="30" t="n">
        <f aca="false">IFERROR(INDEX(Calendario!$C$4:$C$107,MATCH($A17,Calendario!$A$4:$A$107,0)),"")</f>
        <v>46124</v>
      </c>
      <c r="D17" s="17" t="str">
        <f aca="false">IFERROR(INDEX(Calendario!$D$4:$D$107,MATCH($A17,Calendario!$A$4:$A$107,0)),"")</f>
        <v>2026-04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31"/>
      <c r="U17" s="31"/>
      <c r="V17" s="31"/>
      <c r="W17" s="31"/>
      <c r="X17" s="26"/>
    </row>
    <row r="18" customFormat="false" ht="15" hidden="false" customHeight="false" outlineLevel="0" collapsed="false">
      <c r="A18" s="17" t="s">
        <v>354</v>
      </c>
      <c r="B18" s="30" t="n">
        <f aca="false">IFERROR(INDEX(Calendario!$B$4:$B$107,MATCH($A18,Calendario!$A$4:$A$107,0)),"")</f>
        <v>46125</v>
      </c>
      <c r="C18" s="30" t="n">
        <f aca="false">IFERROR(INDEX(Calendario!$C$4:$C$107,MATCH($A18,Calendario!$A$4:$A$107,0)),"")</f>
        <v>46131</v>
      </c>
      <c r="D18" s="17" t="str">
        <f aca="false">IFERROR(INDEX(Calendario!$D$4:$D$107,MATCH($A18,Calendario!$A$4:$A$107,0)),"")</f>
        <v>2026-04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31"/>
      <c r="U18" s="31"/>
      <c r="V18" s="31"/>
      <c r="W18" s="31"/>
      <c r="X18" s="26"/>
    </row>
    <row r="19" customFormat="false" ht="15" hidden="false" customHeight="false" outlineLevel="0" collapsed="false">
      <c r="A19" s="17" t="s">
        <v>355</v>
      </c>
      <c r="B19" s="30" t="n">
        <f aca="false">IFERROR(INDEX(Calendario!$B$4:$B$107,MATCH($A19,Calendario!$A$4:$A$107,0)),"")</f>
        <v>46132</v>
      </c>
      <c r="C19" s="30" t="n">
        <f aca="false">IFERROR(INDEX(Calendario!$C$4:$C$107,MATCH($A19,Calendario!$A$4:$A$107,0)),"")</f>
        <v>46138</v>
      </c>
      <c r="D19" s="17" t="str">
        <f aca="false">IFERROR(INDEX(Calendario!$D$4:$D$107,MATCH($A19,Calendario!$A$4:$A$107,0)),"")</f>
        <v>2026-04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31"/>
      <c r="U19" s="31"/>
      <c r="V19" s="31"/>
      <c r="W19" s="31"/>
      <c r="X19" s="26"/>
    </row>
    <row r="20" customFormat="false" ht="15" hidden="false" customHeight="false" outlineLevel="0" collapsed="false">
      <c r="A20" s="17" t="s">
        <v>356</v>
      </c>
      <c r="B20" s="30" t="n">
        <f aca="false">IFERROR(INDEX(Calendario!$B$4:$B$107,MATCH($A20,Calendario!$A$4:$A$107,0)),"")</f>
        <v>46139</v>
      </c>
      <c r="C20" s="30" t="n">
        <f aca="false">IFERROR(INDEX(Calendario!$C$4:$C$107,MATCH($A20,Calendario!$A$4:$A$107,0)),"")</f>
        <v>46145</v>
      </c>
      <c r="D20" s="17" t="str">
        <f aca="false">IFERROR(INDEX(Calendario!$D$4:$D$107,MATCH($A20,Calendario!$A$4:$A$107,0)),"")</f>
        <v>2026-04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31"/>
      <c r="U20" s="31"/>
      <c r="V20" s="31"/>
      <c r="W20" s="31"/>
      <c r="X20" s="26"/>
    </row>
    <row r="21" customFormat="false" ht="15" hidden="false" customHeight="false" outlineLevel="0" collapsed="false">
      <c r="A21" s="17" t="s">
        <v>357</v>
      </c>
      <c r="B21" s="30" t="n">
        <f aca="false">IFERROR(INDEX(Calendario!$B$4:$B$107,MATCH($A21,Calendario!$A$4:$A$107,0)),"")</f>
        <v>46146</v>
      </c>
      <c r="C21" s="30" t="n">
        <f aca="false">IFERROR(INDEX(Calendario!$C$4:$C$107,MATCH($A21,Calendario!$A$4:$A$107,0)),"")</f>
        <v>46152</v>
      </c>
      <c r="D21" s="17" t="str">
        <f aca="false">IFERROR(INDEX(Calendario!$D$4:$D$107,MATCH($A21,Calendario!$A$4:$A$107,0)),"")</f>
        <v>2026-05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31"/>
      <c r="U21" s="31"/>
      <c r="V21" s="31"/>
      <c r="W21" s="31"/>
      <c r="X21" s="26"/>
    </row>
    <row r="22" customFormat="false" ht="15" hidden="false" customHeight="false" outlineLevel="0" collapsed="false">
      <c r="A22" s="17" t="s">
        <v>359</v>
      </c>
      <c r="B22" s="30" t="n">
        <f aca="false">IFERROR(INDEX(Calendario!$B$4:$B$107,MATCH($A22,Calendario!$A$4:$A$107,0)),"")</f>
        <v>46153</v>
      </c>
      <c r="C22" s="30" t="n">
        <f aca="false">IFERROR(INDEX(Calendario!$C$4:$C$107,MATCH($A22,Calendario!$A$4:$A$107,0)),"")</f>
        <v>46159</v>
      </c>
      <c r="D22" s="17" t="str">
        <f aca="false">IFERROR(INDEX(Calendario!$D$4:$D$107,MATCH($A22,Calendario!$A$4:$A$107,0)),"")</f>
        <v>2026-05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31"/>
      <c r="U22" s="31"/>
      <c r="V22" s="31"/>
      <c r="W22" s="31"/>
      <c r="X22" s="26"/>
    </row>
    <row r="23" customFormat="false" ht="15" hidden="false" customHeight="false" outlineLevel="0" collapsed="false">
      <c r="A23" s="17" t="s">
        <v>360</v>
      </c>
      <c r="B23" s="30" t="n">
        <f aca="false">IFERROR(INDEX(Calendario!$B$4:$B$107,MATCH($A23,Calendario!$A$4:$A$107,0)),"")</f>
        <v>46160</v>
      </c>
      <c r="C23" s="30" t="n">
        <f aca="false">IFERROR(INDEX(Calendario!$C$4:$C$107,MATCH($A23,Calendario!$A$4:$A$107,0)),"")</f>
        <v>46166</v>
      </c>
      <c r="D23" s="17" t="str">
        <f aca="false">IFERROR(INDEX(Calendario!$D$4:$D$107,MATCH($A23,Calendario!$A$4:$A$107,0)),"")</f>
        <v>2026-05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31"/>
      <c r="U23" s="31"/>
      <c r="V23" s="31"/>
      <c r="W23" s="31"/>
      <c r="X23" s="26"/>
    </row>
    <row r="24" customFormat="false" ht="15" hidden="false" customHeight="false" outlineLevel="0" collapsed="false">
      <c r="A24" s="17" t="s">
        <v>361</v>
      </c>
      <c r="B24" s="30" t="n">
        <f aca="false">IFERROR(INDEX(Calendario!$B$4:$B$107,MATCH($A24,Calendario!$A$4:$A$107,0)),"")</f>
        <v>46167</v>
      </c>
      <c r="C24" s="30" t="n">
        <f aca="false">IFERROR(INDEX(Calendario!$C$4:$C$107,MATCH($A24,Calendario!$A$4:$A$107,0)),"")</f>
        <v>46173</v>
      </c>
      <c r="D24" s="17" t="str">
        <f aca="false">IFERROR(INDEX(Calendario!$D$4:$D$107,MATCH($A24,Calendario!$A$4:$A$107,0)),"")</f>
        <v>2026-05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31"/>
      <c r="U24" s="31"/>
      <c r="V24" s="31"/>
      <c r="W24" s="31"/>
      <c r="X24" s="26"/>
    </row>
    <row r="25" customFormat="false" ht="15" hidden="false" customHeight="false" outlineLevel="0" collapsed="false">
      <c r="A25" s="17" t="s">
        <v>362</v>
      </c>
      <c r="B25" s="30" t="n">
        <f aca="false">IFERROR(INDEX(Calendario!$B$4:$B$107,MATCH($A25,Calendario!$A$4:$A$107,0)),"")</f>
        <v>46174</v>
      </c>
      <c r="C25" s="30" t="n">
        <f aca="false">IFERROR(INDEX(Calendario!$C$4:$C$107,MATCH($A25,Calendario!$A$4:$A$107,0)),"")</f>
        <v>46180</v>
      </c>
      <c r="D25" s="17" t="str">
        <f aca="false">IFERROR(INDEX(Calendario!$D$4:$D$107,MATCH($A25,Calendario!$A$4:$A$107,0)),"")</f>
        <v>2026-06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31"/>
      <c r="U25" s="31"/>
      <c r="V25" s="31"/>
      <c r="W25" s="31"/>
      <c r="X25" s="26"/>
    </row>
    <row r="26" customFormat="false" ht="15" hidden="false" customHeight="false" outlineLevel="0" collapsed="false">
      <c r="A26" s="17" t="s">
        <v>364</v>
      </c>
      <c r="B26" s="30" t="n">
        <f aca="false">IFERROR(INDEX(Calendario!$B$4:$B$107,MATCH($A26,Calendario!$A$4:$A$107,0)),"")</f>
        <v>46181</v>
      </c>
      <c r="C26" s="30" t="n">
        <f aca="false">IFERROR(INDEX(Calendario!$C$4:$C$107,MATCH($A26,Calendario!$A$4:$A$107,0)),"")</f>
        <v>46187</v>
      </c>
      <c r="D26" s="17" t="str">
        <f aca="false">IFERROR(INDEX(Calendario!$D$4:$D$107,MATCH($A26,Calendario!$A$4:$A$107,0)),"")</f>
        <v>2026-06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31"/>
      <c r="U26" s="31"/>
      <c r="V26" s="31"/>
      <c r="W26" s="31"/>
      <c r="X26" s="26"/>
    </row>
    <row r="27" customFormat="false" ht="15" hidden="false" customHeight="false" outlineLevel="0" collapsed="false">
      <c r="A27" s="17" t="s">
        <v>365</v>
      </c>
      <c r="B27" s="30" t="n">
        <f aca="false">IFERROR(INDEX(Calendario!$B$4:$B$107,MATCH($A27,Calendario!$A$4:$A$107,0)),"")</f>
        <v>46188</v>
      </c>
      <c r="C27" s="30" t="n">
        <f aca="false">IFERROR(INDEX(Calendario!$C$4:$C$107,MATCH($A27,Calendario!$A$4:$A$107,0)),"")</f>
        <v>46194</v>
      </c>
      <c r="D27" s="17" t="str">
        <f aca="false">IFERROR(INDEX(Calendario!$D$4:$D$107,MATCH($A27,Calendario!$A$4:$A$107,0)),"")</f>
        <v>2026-06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31"/>
      <c r="U27" s="31"/>
      <c r="V27" s="31"/>
      <c r="W27" s="31"/>
      <c r="X27" s="26"/>
    </row>
    <row r="28" customFormat="false" ht="15" hidden="false" customHeight="false" outlineLevel="0" collapsed="false">
      <c r="A28" s="17" t="s">
        <v>366</v>
      </c>
      <c r="B28" s="30" t="n">
        <f aca="false">IFERROR(INDEX(Calendario!$B$4:$B$107,MATCH($A28,Calendario!$A$4:$A$107,0)),"")</f>
        <v>46195</v>
      </c>
      <c r="C28" s="30" t="n">
        <f aca="false">IFERROR(INDEX(Calendario!$C$4:$C$107,MATCH($A28,Calendario!$A$4:$A$107,0)),"")</f>
        <v>46201</v>
      </c>
      <c r="D28" s="17" t="str">
        <f aca="false">IFERROR(INDEX(Calendario!$D$4:$D$107,MATCH($A28,Calendario!$A$4:$A$107,0)),"")</f>
        <v>2026-06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31"/>
      <c r="U28" s="31"/>
      <c r="V28" s="31"/>
      <c r="W28" s="31"/>
      <c r="X28" s="26"/>
    </row>
    <row r="29" customFormat="false" ht="15" hidden="false" customHeight="false" outlineLevel="0" collapsed="false">
      <c r="A29" s="17" t="s">
        <v>367</v>
      </c>
      <c r="B29" s="30" t="n">
        <f aca="false">IFERROR(INDEX(Calendario!$B$4:$B$107,MATCH($A29,Calendario!$A$4:$A$107,0)),"")</f>
        <v>46202</v>
      </c>
      <c r="C29" s="30" t="n">
        <f aca="false">IFERROR(INDEX(Calendario!$C$4:$C$107,MATCH($A29,Calendario!$A$4:$A$107,0)),"")</f>
        <v>46208</v>
      </c>
      <c r="D29" s="17" t="str">
        <f aca="false">IFERROR(INDEX(Calendario!$D$4:$D$107,MATCH($A29,Calendario!$A$4:$A$107,0)),"")</f>
        <v>2026-06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31"/>
      <c r="U29" s="31"/>
      <c r="V29" s="31"/>
      <c r="W29" s="31"/>
      <c r="X29" s="26"/>
    </row>
    <row r="30" customFormat="false" ht="15" hidden="false" customHeight="false" outlineLevel="0" collapsed="false">
      <c r="A30" s="17" t="s">
        <v>368</v>
      </c>
      <c r="B30" s="30" t="n">
        <f aca="false">IFERROR(INDEX(Calendario!$B$4:$B$107,MATCH($A30,Calendario!$A$4:$A$107,0)),"")</f>
        <v>46209</v>
      </c>
      <c r="C30" s="30" t="n">
        <f aca="false">IFERROR(INDEX(Calendario!$C$4:$C$107,MATCH($A30,Calendario!$A$4:$A$107,0)),"")</f>
        <v>46215</v>
      </c>
      <c r="D30" s="17" t="str">
        <f aca="false">IFERROR(INDEX(Calendario!$D$4:$D$107,MATCH($A30,Calendario!$A$4:$A$107,0)),"")</f>
        <v>2026-07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31"/>
      <c r="U30" s="31"/>
      <c r="V30" s="31"/>
      <c r="W30" s="31"/>
      <c r="X30" s="26"/>
    </row>
    <row r="31" customFormat="false" ht="15" hidden="false" customHeight="false" outlineLevel="0" collapsed="false">
      <c r="A31" s="17" t="s">
        <v>370</v>
      </c>
      <c r="B31" s="30" t="n">
        <f aca="false">IFERROR(INDEX(Calendario!$B$4:$B$107,MATCH($A31,Calendario!$A$4:$A$107,0)),"")</f>
        <v>46216</v>
      </c>
      <c r="C31" s="30" t="n">
        <f aca="false">IFERROR(INDEX(Calendario!$C$4:$C$107,MATCH($A31,Calendario!$A$4:$A$107,0)),"")</f>
        <v>46222</v>
      </c>
      <c r="D31" s="17" t="str">
        <f aca="false">IFERROR(INDEX(Calendario!$D$4:$D$107,MATCH($A31,Calendario!$A$4:$A$107,0)),"")</f>
        <v>2026-07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31"/>
      <c r="U31" s="31"/>
      <c r="V31" s="31"/>
      <c r="W31" s="31"/>
      <c r="X31" s="26"/>
    </row>
    <row r="32" customFormat="false" ht="15" hidden="false" customHeight="false" outlineLevel="0" collapsed="false">
      <c r="A32" s="17" t="s">
        <v>371</v>
      </c>
      <c r="B32" s="30" t="n">
        <f aca="false">IFERROR(INDEX(Calendario!$B$4:$B$107,MATCH($A32,Calendario!$A$4:$A$107,0)),"")</f>
        <v>46223</v>
      </c>
      <c r="C32" s="30" t="n">
        <f aca="false">IFERROR(INDEX(Calendario!$C$4:$C$107,MATCH($A32,Calendario!$A$4:$A$107,0)),"")</f>
        <v>46229</v>
      </c>
      <c r="D32" s="17" t="str">
        <f aca="false">IFERROR(INDEX(Calendario!$D$4:$D$107,MATCH($A32,Calendario!$A$4:$A$107,0)),"")</f>
        <v>2026-07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31"/>
      <c r="U32" s="31"/>
      <c r="V32" s="31"/>
      <c r="W32" s="31"/>
      <c r="X32" s="26"/>
    </row>
    <row r="33" customFormat="false" ht="15" hidden="false" customHeight="false" outlineLevel="0" collapsed="false">
      <c r="A33" s="17" t="s">
        <v>372</v>
      </c>
      <c r="B33" s="30" t="n">
        <f aca="false">IFERROR(INDEX(Calendario!$B$4:$B$107,MATCH($A33,Calendario!$A$4:$A$107,0)),"")</f>
        <v>46230</v>
      </c>
      <c r="C33" s="30" t="n">
        <f aca="false">IFERROR(INDEX(Calendario!$C$4:$C$107,MATCH($A33,Calendario!$A$4:$A$107,0)),"")</f>
        <v>46236</v>
      </c>
      <c r="D33" s="17" t="str">
        <f aca="false">IFERROR(INDEX(Calendario!$D$4:$D$107,MATCH($A33,Calendario!$A$4:$A$107,0)),"")</f>
        <v>2026-07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31"/>
      <c r="U33" s="31"/>
      <c r="V33" s="31"/>
      <c r="W33" s="31"/>
      <c r="X33" s="26"/>
    </row>
    <row r="34" customFormat="false" ht="15" hidden="false" customHeight="false" outlineLevel="0" collapsed="false">
      <c r="A34" s="17" t="s">
        <v>373</v>
      </c>
      <c r="B34" s="30" t="n">
        <f aca="false">IFERROR(INDEX(Calendario!$B$4:$B$107,MATCH($A34,Calendario!$A$4:$A$107,0)),"")</f>
        <v>46237</v>
      </c>
      <c r="C34" s="30" t="n">
        <f aca="false">IFERROR(INDEX(Calendario!$C$4:$C$107,MATCH($A34,Calendario!$A$4:$A$107,0)),"")</f>
        <v>46243</v>
      </c>
      <c r="D34" s="17" t="str">
        <f aca="false">IFERROR(INDEX(Calendario!$D$4:$D$107,MATCH($A34,Calendario!$A$4:$A$107,0)),"")</f>
        <v>2026-08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31"/>
      <c r="U34" s="31"/>
      <c r="V34" s="31"/>
      <c r="W34" s="31"/>
      <c r="X34" s="26"/>
    </row>
    <row r="35" customFormat="false" ht="15" hidden="false" customHeight="false" outlineLevel="0" collapsed="false">
      <c r="A35" s="17" t="s">
        <v>375</v>
      </c>
      <c r="B35" s="30" t="n">
        <f aca="false">IFERROR(INDEX(Calendario!$B$4:$B$107,MATCH($A35,Calendario!$A$4:$A$107,0)),"")</f>
        <v>46244</v>
      </c>
      <c r="C35" s="30" t="n">
        <f aca="false">IFERROR(INDEX(Calendario!$C$4:$C$107,MATCH($A35,Calendario!$A$4:$A$107,0)),"")</f>
        <v>46250</v>
      </c>
      <c r="D35" s="17" t="str">
        <f aca="false">IFERROR(INDEX(Calendario!$D$4:$D$107,MATCH($A35,Calendario!$A$4:$A$107,0)),"")</f>
        <v>2026-08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31"/>
      <c r="U35" s="31"/>
      <c r="V35" s="31"/>
      <c r="W35" s="31"/>
      <c r="X35" s="26"/>
    </row>
    <row r="36" customFormat="false" ht="15" hidden="false" customHeight="false" outlineLevel="0" collapsed="false">
      <c r="A36" s="17" t="s">
        <v>376</v>
      </c>
      <c r="B36" s="30" t="n">
        <f aca="false">IFERROR(INDEX(Calendario!$B$4:$B$107,MATCH($A36,Calendario!$A$4:$A$107,0)),"")</f>
        <v>46251</v>
      </c>
      <c r="C36" s="30" t="n">
        <f aca="false">IFERROR(INDEX(Calendario!$C$4:$C$107,MATCH($A36,Calendario!$A$4:$A$107,0)),"")</f>
        <v>46257</v>
      </c>
      <c r="D36" s="17" t="str">
        <f aca="false">IFERROR(INDEX(Calendario!$D$4:$D$107,MATCH($A36,Calendario!$A$4:$A$107,0)),"")</f>
        <v>2026-08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31"/>
      <c r="U36" s="31"/>
      <c r="V36" s="31"/>
      <c r="W36" s="31"/>
      <c r="X36" s="26"/>
    </row>
    <row r="37" customFormat="false" ht="15" hidden="false" customHeight="false" outlineLevel="0" collapsed="false">
      <c r="A37" s="17" t="s">
        <v>377</v>
      </c>
      <c r="B37" s="30" t="n">
        <f aca="false">IFERROR(INDEX(Calendario!$B$4:$B$107,MATCH($A37,Calendario!$A$4:$A$107,0)),"")</f>
        <v>46258</v>
      </c>
      <c r="C37" s="30" t="n">
        <f aca="false">IFERROR(INDEX(Calendario!$C$4:$C$107,MATCH($A37,Calendario!$A$4:$A$107,0)),"")</f>
        <v>46264</v>
      </c>
      <c r="D37" s="17" t="str">
        <f aca="false">IFERROR(INDEX(Calendario!$D$4:$D$107,MATCH($A37,Calendario!$A$4:$A$107,0)),"")</f>
        <v>2026-08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31"/>
      <c r="U37" s="31"/>
      <c r="V37" s="31"/>
      <c r="W37" s="31"/>
      <c r="X37" s="26"/>
    </row>
    <row r="38" customFormat="false" ht="15" hidden="false" customHeight="false" outlineLevel="0" collapsed="false">
      <c r="A38" s="17" t="s">
        <v>378</v>
      </c>
      <c r="B38" s="30" t="n">
        <f aca="false">IFERROR(INDEX(Calendario!$B$4:$B$107,MATCH($A38,Calendario!$A$4:$A$107,0)),"")</f>
        <v>46265</v>
      </c>
      <c r="C38" s="30" t="n">
        <f aca="false">IFERROR(INDEX(Calendario!$C$4:$C$107,MATCH($A38,Calendario!$A$4:$A$107,0)),"")</f>
        <v>46271</v>
      </c>
      <c r="D38" s="17" t="str">
        <f aca="false">IFERROR(INDEX(Calendario!$D$4:$D$107,MATCH($A38,Calendario!$A$4:$A$107,0)),"")</f>
        <v>2026-08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31"/>
      <c r="U38" s="31"/>
      <c r="V38" s="31"/>
      <c r="W38" s="31"/>
      <c r="X38" s="26"/>
    </row>
    <row r="39" customFormat="false" ht="15" hidden="false" customHeight="false" outlineLevel="0" collapsed="false">
      <c r="A39" s="17" t="s">
        <v>379</v>
      </c>
      <c r="B39" s="30" t="n">
        <f aca="false">IFERROR(INDEX(Calendario!$B$4:$B$107,MATCH($A39,Calendario!$A$4:$A$107,0)),"")</f>
        <v>46272</v>
      </c>
      <c r="C39" s="30" t="n">
        <f aca="false">IFERROR(INDEX(Calendario!$C$4:$C$107,MATCH($A39,Calendario!$A$4:$A$107,0)),"")</f>
        <v>46278</v>
      </c>
      <c r="D39" s="17" t="str">
        <f aca="false">IFERROR(INDEX(Calendario!$D$4:$D$107,MATCH($A39,Calendario!$A$4:$A$107,0)),"")</f>
        <v>2026-09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31"/>
      <c r="U39" s="31"/>
      <c r="V39" s="31"/>
      <c r="W39" s="31"/>
      <c r="X39" s="26"/>
    </row>
    <row r="40" customFormat="false" ht="15" hidden="false" customHeight="false" outlineLevel="0" collapsed="false">
      <c r="A40" s="17" t="s">
        <v>381</v>
      </c>
      <c r="B40" s="30" t="n">
        <f aca="false">IFERROR(INDEX(Calendario!$B$4:$B$107,MATCH($A40,Calendario!$A$4:$A$107,0)),"")</f>
        <v>46279</v>
      </c>
      <c r="C40" s="30" t="n">
        <f aca="false">IFERROR(INDEX(Calendario!$C$4:$C$107,MATCH($A40,Calendario!$A$4:$A$107,0)),"")</f>
        <v>46285</v>
      </c>
      <c r="D40" s="17" t="str">
        <f aca="false">IFERROR(INDEX(Calendario!$D$4:$D$107,MATCH($A40,Calendario!$A$4:$A$107,0)),"")</f>
        <v>2026-09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31"/>
      <c r="U40" s="31"/>
      <c r="V40" s="31"/>
      <c r="W40" s="31"/>
      <c r="X40" s="26"/>
    </row>
    <row r="41" customFormat="false" ht="15" hidden="false" customHeight="false" outlineLevel="0" collapsed="false">
      <c r="A41" s="17" t="s">
        <v>382</v>
      </c>
      <c r="B41" s="30" t="n">
        <f aca="false">IFERROR(INDEX(Calendario!$B$4:$B$107,MATCH($A41,Calendario!$A$4:$A$107,0)),"")</f>
        <v>46286</v>
      </c>
      <c r="C41" s="30" t="n">
        <f aca="false">IFERROR(INDEX(Calendario!$C$4:$C$107,MATCH($A41,Calendario!$A$4:$A$107,0)),"")</f>
        <v>46292</v>
      </c>
      <c r="D41" s="17" t="str">
        <f aca="false">IFERROR(INDEX(Calendario!$D$4:$D$107,MATCH($A41,Calendario!$A$4:$A$107,0)),"")</f>
        <v>2026-09</v>
      </c>
      <c r="E41" s="27" t="n">
        <v>38</v>
      </c>
      <c r="F41" s="27" t="n">
        <v>14</v>
      </c>
      <c r="G41" s="27" t="n">
        <v>2</v>
      </c>
      <c r="H41" s="27" t="n">
        <v>6</v>
      </c>
      <c r="I41" s="27" t="n">
        <v>5</v>
      </c>
      <c r="J41" s="27" t="n">
        <v>4</v>
      </c>
      <c r="K41" s="27" t="n">
        <v>3</v>
      </c>
      <c r="L41" s="27" t="n">
        <v>58</v>
      </c>
      <c r="M41" s="27" t="n">
        <v>52</v>
      </c>
      <c r="N41" s="27" t="n">
        <v>7</v>
      </c>
      <c r="O41" s="27" t="n">
        <v>6</v>
      </c>
      <c r="P41" s="27" t="n">
        <v>60</v>
      </c>
      <c r="Q41" s="27" t="n">
        <v>54</v>
      </c>
      <c r="R41" s="27" t="n">
        <v>60</v>
      </c>
      <c r="S41" s="27" t="n">
        <v>50</v>
      </c>
      <c r="T41" s="31" t="n">
        <v>42.5</v>
      </c>
      <c r="U41" s="31" t="n">
        <v>6.1</v>
      </c>
      <c r="V41" s="31" t="n">
        <v>39.8</v>
      </c>
      <c r="W41" s="31" t="n">
        <v>5.4</v>
      </c>
      <c r="X41" s="26" t="s">
        <v>465</v>
      </c>
    </row>
    <row r="42" customFormat="false" ht="15" hidden="false" customHeight="false" outlineLevel="0" collapsed="false">
      <c r="A42" s="17" t="s">
        <v>219</v>
      </c>
      <c r="B42" s="30" t="n">
        <f aca="false">IFERROR(INDEX(Calendario!$B$4:$B$107,MATCH($A42,Calendario!$A$4:$A$107,0)),"")</f>
        <v>46293</v>
      </c>
      <c r="C42" s="30" t="n">
        <f aca="false">IFERROR(INDEX(Calendario!$C$4:$C$107,MATCH($A42,Calendario!$A$4:$A$107,0)),"")</f>
        <v>46299</v>
      </c>
      <c r="D42" s="17" t="str">
        <f aca="false">IFERROR(INDEX(Calendario!$D$4:$D$107,MATCH($A42,Calendario!$A$4:$A$107,0)),"")</f>
        <v>2026-09</v>
      </c>
      <c r="E42" s="27" t="n">
        <v>45</v>
      </c>
      <c r="F42" s="27" t="n">
        <v>16</v>
      </c>
      <c r="G42" s="27" t="n">
        <v>1</v>
      </c>
      <c r="H42" s="27" t="n">
        <v>8</v>
      </c>
      <c r="I42" s="27" t="n">
        <v>6</v>
      </c>
      <c r="J42" s="27" t="n">
        <v>6</v>
      </c>
      <c r="K42" s="27" t="n">
        <v>4</v>
      </c>
      <c r="L42" s="27" t="n">
        <v>63</v>
      </c>
      <c r="M42" s="27" t="n">
        <v>57</v>
      </c>
      <c r="N42" s="27" t="n">
        <v>5</v>
      </c>
      <c r="O42" s="27" t="n">
        <v>9</v>
      </c>
      <c r="P42" s="27" t="n">
        <v>60</v>
      </c>
      <c r="Q42" s="27" t="n">
        <v>57</v>
      </c>
      <c r="R42" s="27" t="n">
        <v>60</v>
      </c>
      <c r="S42" s="27" t="n">
        <v>55</v>
      </c>
      <c r="T42" s="31" t="n">
        <v>41.2</v>
      </c>
      <c r="U42" s="31" t="n">
        <v>5.8</v>
      </c>
      <c r="V42" s="31" t="n">
        <v>40.5</v>
      </c>
      <c r="W42" s="31" t="n">
        <v>4.9</v>
      </c>
      <c r="X42" s="26" t="s">
        <v>465</v>
      </c>
    </row>
    <row r="43" customFormat="false" ht="15" hidden="false" customHeight="false" outlineLevel="0" collapsed="false">
      <c r="A43" s="17" t="s">
        <v>383</v>
      </c>
      <c r="B43" s="30" t="n">
        <f aca="false">IFERROR(INDEX(Calendario!$B$4:$B$107,MATCH($A43,Calendario!$A$4:$A$107,0)),"")</f>
        <v>46300</v>
      </c>
      <c r="C43" s="30" t="n">
        <f aca="false">IFERROR(INDEX(Calendario!$C$4:$C$107,MATCH($A43,Calendario!$A$4:$A$107,0)),"")</f>
        <v>46306</v>
      </c>
      <c r="D43" s="17" t="str">
        <f aca="false">IFERROR(INDEX(Calendario!$D$4:$D$107,MATCH($A43,Calendario!$A$4:$A$107,0)),"")</f>
        <v>2026-10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 t="n">
        <v>60</v>
      </c>
      <c r="Q43" s="27" t="n">
        <v>44</v>
      </c>
      <c r="R43" s="27" t="n">
        <v>60</v>
      </c>
      <c r="S43" s="27" t="n">
        <v>38</v>
      </c>
      <c r="T43" s="31"/>
      <c r="U43" s="31"/>
      <c r="V43" s="31"/>
      <c r="W43" s="31"/>
      <c r="X43" s="26" t="s">
        <v>466</v>
      </c>
    </row>
    <row r="44" customFormat="false" ht="15" hidden="false" customHeight="false" outlineLevel="0" collapsed="false">
      <c r="A44" s="17" t="s">
        <v>385</v>
      </c>
      <c r="B44" s="30" t="n">
        <f aca="false">IFERROR(INDEX(Calendario!$B$4:$B$107,MATCH($A44,Calendario!$A$4:$A$107,0)),"")</f>
        <v>46307</v>
      </c>
      <c r="C44" s="30" t="n">
        <f aca="false">IFERROR(INDEX(Calendario!$C$4:$C$107,MATCH($A44,Calendario!$A$4:$A$107,0)),"")</f>
        <v>46313</v>
      </c>
      <c r="D44" s="17" t="str">
        <f aca="false">IFERROR(INDEX(Calendario!$D$4:$D$107,MATCH($A44,Calendario!$A$4:$A$107,0)),"")</f>
        <v>2026-10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31"/>
      <c r="U44" s="31"/>
      <c r="V44" s="31"/>
      <c r="W44" s="31"/>
      <c r="X44" s="26"/>
    </row>
    <row r="45" customFormat="false" ht="15" hidden="false" customHeight="false" outlineLevel="0" collapsed="false">
      <c r="A45" s="17" t="s">
        <v>386</v>
      </c>
      <c r="B45" s="30" t="n">
        <f aca="false">IFERROR(INDEX(Calendario!$B$4:$B$107,MATCH($A45,Calendario!$A$4:$A$107,0)),"")</f>
        <v>46314</v>
      </c>
      <c r="C45" s="30" t="n">
        <f aca="false">IFERROR(INDEX(Calendario!$C$4:$C$107,MATCH($A45,Calendario!$A$4:$A$107,0)),"")</f>
        <v>46320</v>
      </c>
      <c r="D45" s="17" t="str">
        <f aca="false">IFERROR(INDEX(Calendario!$D$4:$D$107,MATCH($A45,Calendario!$A$4:$A$107,0)),"")</f>
        <v>2026-10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31"/>
      <c r="U45" s="31"/>
      <c r="V45" s="31"/>
      <c r="W45" s="31"/>
      <c r="X45" s="26"/>
    </row>
    <row r="46" customFormat="false" ht="15" hidden="false" customHeight="false" outlineLevel="0" collapsed="false">
      <c r="A46" s="17" t="s">
        <v>387</v>
      </c>
      <c r="B46" s="30" t="n">
        <f aca="false">IFERROR(INDEX(Calendario!$B$4:$B$107,MATCH($A46,Calendario!$A$4:$A$107,0)),"")</f>
        <v>46321</v>
      </c>
      <c r="C46" s="30" t="n">
        <f aca="false">IFERROR(INDEX(Calendario!$C$4:$C$107,MATCH($A46,Calendario!$A$4:$A$107,0)),"")</f>
        <v>46327</v>
      </c>
      <c r="D46" s="17" t="str">
        <f aca="false">IFERROR(INDEX(Calendario!$D$4:$D$107,MATCH($A46,Calendario!$A$4:$A$107,0)),"")</f>
        <v>2026-10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31"/>
      <c r="U46" s="31"/>
      <c r="V46" s="31"/>
      <c r="W46" s="31"/>
      <c r="X46" s="26"/>
    </row>
    <row r="47" customFormat="false" ht="15" hidden="false" customHeight="false" outlineLevel="0" collapsed="false">
      <c r="A47" s="17" t="s">
        <v>388</v>
      </c>
      <c r="B47" s="30" t="n">
        <f aca="false">IFERROR(INDEX(Calendario!$B$4:$B$107,MATCH($A47,Calendario!$A$4:$A$107,0)),"")</f>
        <v>46328</v>
      </c>
      <c r="C47" s="30" t="n">
        <f aca="false">IFERROR(INDEX(Calendario!$C$4:$C$107,MATCH($A47,Calendario!$A$4:$A$107,0)),"")</f>
        <v>46334</v>
      </c>
      <c r="D47" s="17" t="str">
        <f aca="false">IFERROR(INDEX(Calendario!$D$4:$D$107,MATCH($A47,Calendario!$A$4:$A$107,0)),"")</f>
        <v>2026-11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31"/>
      <c r="U47" s="31"/>
      <c r="V47" s="31"/>
      <c r="W47" s="31"/>
      <c r="X47" s="26"/>
    </row>
    <row r="48" customFormat="false" ht="15" hidden="false" customHeight="false" outlineLevel="0" collapsed="false">
      <c r="A48" s="17" t="s">
        <v>390</v>
      </c>
      <c r="B48" s="30" t="n">
        <f aca="false">IFERROR(INDEX(Calendario!$B$4:$B$107,MATCH($A48,Calendario!$A$4:$A$107,0)),"")</f>
        <v>46335</v>
      </c>
      <c r="C48" s="30" t="n">
        <f aca="false">IFERROR(INDEX(Calendario!$C$4:$C$107,MATCH($A48,Calendario!$A$4:$A$107,0)),"")</f>
        <v>46341</v>
      </c>
      <c r="D48" s="17" t="str">
        <f aca="false">IFERROR(INDEX(Calendario!$D$4:$D$107,MATCH($A48,Calendario!$A$4:$A$107,0)),"")</f>
        <v>2026-11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31"/>
      <c r="U48" s="31"/>
      <c r="V48" s="31"/>
      <c r="W48" s="31"/>
      <c r="X48" s="26"/>
    </row>
    <row r="49" customFormat="false" ht="15" hidden="false" customHeight="false" outlineLevel="0" collapsed="false">
      <c r="A49" s="17" t="s">
        <v>391</v>
      </c>
      <c r="B49" s="30" t="n">
        <f aca="false">IFERROR(INDEX(Calendario!$B$4:$B$107,MATCH($A49,Calendario!$A$4:$A$107,0)),"")</f>
        <v>46342</v>
      </c>
      <c r="C49" s="30" t="n">
        <f aca="false">IFERROR(INDEX(Calendario!$C$4:$C$107,MATCH($A49,Calendario!$A$4:$A$107,0)),"")</f>
        <v>46348</v>
      </c>
      <c r="D49" s="17" t="str">
        <f aca="false">IFERROR(INDEX(Calendario!$D$4:$D$107,MATCH($A49,Calendario!$A$4:$A$107,0)),"")</f>
        <v>2026-11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31"/>
      <c r="U49" s="31"/>
      <c r="V49" s="31"/>
      <c r="W49" s="31"/>
      <c r="X49" s="26"/>
    </row>
    <row r="50" customFormat="false" ht="15" hidden="false" customHeight="false" outlineLevel="0" collapsed="false">
      <c r="A50" s="17" t="s">
        <v>392</v>
      </c>
      <c r="B50" s="30" t="n">
        <f aca="false">IFERROR(INDEX(Calendario!$B$4:$B$107,MATCH($A50,Calendario!$A$4:$A$107,0)),"")</f>
        <v>46349</v>
      </c>
      <c r="C50" s="30" t="n">
        <f aca="false">IFERROR(INDEX(Calendario!$C$4:$C$107,MATCH($A50,Calendario!$A$4:$A$107,0)),"")</f>
        <v>46355</v>
      </c>
      <c r="D50" s="17" t="str">
        <f aca="false">IFERROR(INDEX(Calendario!$D$4:$D$107,MATCH($A50,Calendario!$A$4:$A$107,0)),"")</f>
        <v>2026-11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31"/>
      <c r="U50" s="31"/>
      <c r="V50" s="31"/>
      <c r="W50" s="31"/>
      <c r="X50" s="26"/>
    </row>
    <row r="51" customFormat="false" ht="15" hidden="false" customHeight="false" outlineLevel="0" collapsed="false">
      <c r="A51" s="17" t="s">
        <v>393</v>
      </c>
      <c r="B51" s="30" t="n">
        <f aca="false">IFERROR(INDEX(Calendario!$B$4:$B$107,MATCH($A51,Calendario!$A$4:$A$107,0)),"")</f>
        <v>46356</v>
      </c>
      <c r="C51" s="30" t="n">
        <f aca="false">IFERROR(INDEX(Calendario!$C$4:$C$107,MATCH($A51,Calendario!$A$4:$A$107,0)),"")</f>
        <v>46362</v>
      </c>
      <c r="D51" s="17" t="str">
        <f aca="false">IFERROR(INDEX(Calendario!$D$4:$D$107,MATCH($A51,Calendario!$A$4:$A$107,0)),"")</f>
        <v>2026-11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31"/>
      <c r="U51" s="31"/>
      <c r="V51" s="31"/>
      <c r="W51" s="31"/>
      <c r="X51" s="26"/>
    </row>
    <row r="52" customFormat="false" ht="15" hidden="false" customHeight="false" outlineLevel="0" collapsed="false">
      <c r="A52" s="17" t="s">
        <v>394</v>
      </c>
      <c r="B52" s="30" t="n">
        <f aca="false">IFERROR(INDEX(Calendario!$B$4:$B$107,MATCH($A52,Calendario!$A$4:$A$107,0)),"")</f>
        <v>46363</v>
      </c>
      <c r="C52" s="30" t="n">
        <f aca="false">IFERROR(INDEX(Calendario!$C$4:$C$107,MATCH($A52,Calendario!$A$4:$A$107,0)),"")</f>
        <v>46369</v>
      </c>
      <c r="D52" s="17" t="str">
        <f aca="false">IFERROR(INDEX(Calendario!$D$4:$D$107,MATCH($A52,Calendario!$A$4:$A$107,0)),"")</f>
        <v>2026-12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31"/>
      <c r="U52" s="31"/>
      <c r="V52" s="31"/>
      <c r="W52" s="31"/>
      <c r="X52" s="26"/>
    </row>
    <row r="53" customFormat="false" ht="15" hidden="false" customHeight="false" outlineLevel="0" collapsed="false">
      <c r="A53" s="17" t="s">
        <v>396</v>
      </c>
      <c r="B53" s="30" t="n">
        <f aca="false">IFERROR(INDEX(Calendario!$B$4:$B$107,MATCH($A53,Calendario!$A$4:$A$107,0)),"")</f>
        <v>46370</v>
      </c>
      <c r="C53" s="30" t="n">
        <f aca="false">IFERROR(INDEX(Calendario!$C$4:$C$107,MATCH($A53,Calendario!$A$4:$A$107,0)),"")</f>
        <v>46376</v>
      </c>
      <c r="D53" s="17" t="str">
        <f aca="false">IFERROR(INDEX(Calendario!$D$4:$D$107,MATCH($A53,Calendario!$A$4:$A$107,0)),"")</f>
        <v>2026-12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31"/>
      <c r="U53" s="31"/>
      <c r="V53" s="31"/>
      <c r="W53" s="31"/>
      <c r="X53" s="26"/>
    </row>
    <row r="54" customFormat="false" ht="15" hidden="false" customHeight="false" outlineLevel="0" collapsed="false">
      <c r="A54" s="17" t="s">
        <v>397</v>
      </c>
      <c r="B54" s="30" t="n">
        <f aca="false">IFERROR(INDEX(Calendario!$B$4:$B$107,MATCH($A54,Calendario!$A$4:$A$107,0)),"")</f>
        <v>46377</v>
      </c>
      <c r="C54" s="30" t="n">
        <f aca="false">IFERROR(INDEX(Calendario!$C$4:$C$107,MATCH($A54,Calendario!$A$4:$A$107,0)),"")</f>
        <v>46383</v>
      </c>
      <c r="D54" s="17" t="str">
        <f aca="false">IFERROR(INDEX(Calendario!$D$4:$D$107,MATCH($A54,Calendario!$A$4:$A$107,0)),"")</f>
        <v>2026-12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31"/>
      <c r="U54" s="31"/>
      <c r="V54" s="31"/>
      <c r="W54" s="31"/>
      <c r="X54" s="26"/>
    </row>
    <row r="55" customFormat="false" ht="15" hidden="false" customHeight="false" outlineLevel="0" collapsed="false">
      <c r="A55" s="17" t="s">
        <v>398</v>
      </c>
      <c r="B55" s="30" t="n">
        <f aca="false">IFERROR(INDEX(Calendario!$B$4:$B$107,MATCH($A55,Calendario!$A$4:$A$107,0)),"")</f>
        <v>46384</v>
      </c>
      <c r="C55" s="30" t="n">
        <f aca="false">IFERROR(INDEX(Calendario!$C$4:$C$107,MATCH($A55,Calendario!$A$4:$A$107,0)),"")</f>
        <v>46390</v>
      </c>
      <c r="D55" s="17" t="str">
        <f aca="false">IFERROR(INDEX(Calendario!$D$4:$D$107,MATCH($A55,Calendario!$A$4:$A$107,0)),"")</f>
        <v>2026-12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31"/>
      <c r="U55" s="31"/>
      <c r="V55" s="31"/>
      <c r="W55" s="31"/>
      <c r="X55" s="26"/>
    </row>
    <row r="56" customFormat="false" ht="15" hidden="false" customHeight="false" outlineLevel="0" collapsed="false">
      <c r="A56" s="17" t="s">
        <v>399</v>
      </c>
      <c r="B56" s="30" t="n">
        <f aca="false">IFERROR(INDEX(Calendario!$B$4:$B$107,MATCH($A56,Calendario!$A$4:$A$107,0)),"")</f>
        <v>46391</v>
      </c>
      <c r="C56" s="30" t="n">
        <f aca="false">IFERROR(INDEX(Calendario!$C$4:$C$107,MATCH($A56,Calendario!$A$4:$A$107,0)),"")</f>
        <v>46397</v>
      </c>
      <c r="D56" s="17" t="str">
        <f aca="false">IFERROR(INDEX(Calendario!$D$4:$D$107,MATCH($A56,Calendario!$A$4:$A$107,0)),"")</f>
        <v>2027-01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31"/>
      <c r="U56" s="31"/>
      <c r="V56" s="31"/>
      <c r="W56" s="31"/>
      <c r="X56" s="26"/>
    </row>
    <row r="57" customFormat="false" ht="15" hidden="false" customHeight="false" outlineLevel="0" collapsed="false">
      <c r="A57" s="17" t="s">
        <v>401</v>
      </c>
      <c r="B57" s="30" t="n">
        <f aca="false">IFERROR(INDEX(Calendario!$B$4:$B$107,MATCH($A57,Calendario!$A$4:$A$107,0)),"")</f>
        <v>46398</v>
      </c>
      <c r="C57" s="30" t="n">
        <f aca="false">IFERROR(INDEX(Calendario!$C$4:$C$107,MATCH($A57,Calendario!$A$4:$A$107,0)),"")</f>
        <v>46404</v>
      </c>
      <c r="D57" s="17" t="str">
        <f aca="false">IFERROR(INDEX(Calendario!$D$4:$D$107,MATCH($A57,Calendario!$A$4:$A$107,0)),"")</f>
        <v>2027-01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31"/>
      <c r="U57" s="31"/>
      <c r="V57" s="31"/>
      <c r="W57" s="31"/>
      <c r="X57" s="26"/>
    </row>
    <row r="58" customFormat="false" ht="15" hidden="false" customHeight="false" outlineLevel="0" collapsed="false">
      <c r="A58" s="17" t="s">
        <v>402</v>
      </c>
      <c r="B58" s="30" t="n">
        <f aca="false">IFERROR(INDEX(Calendario!$B$4:$B$107,MATCH($A58,Calendario!$A$4:$A$107,0)),"")</f>
        <v>46405</v>
      </c>
      <c r="C58" s="30" t="n">
        <f aca="false">IFERROR(INDEX(Calendario!$C$4:$C$107,MATCH($A58,Calendario!$A$4:$A$107,0)),"")</f>
        <v>46411</v>
      </c>
      <c r="D58" s="17" t="str">
        <f aca="false">IFERROR(INDEX(Calendario!$D$4:$D$107,MATCH($A58,Calendario!$A$4:$A$107,0)),"")</f>
        <v>2027-01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31"/>
      <c r="U58" s="31"/>
      <c r="V58" s="31"/>
      <c r="W58" s="31"/>
      <c r="X58" s="26"/>
    </row>
    <row r="59" customFormat="false" ht="15" hidden="false" customHeight="false" outlineLevel="0" collapsed="false">
      <c r="A59" s="17" t="s">
        <v>403</v>
      </c>
      <c r="B59" s="30" t="n">
        <f aca="false">IFERROR(INDEX(Calendario!$B$4:$B$107,MATCH($A59,Calendario!$A$4:$A$107,0)),"")</f>
        <v>46412</v>
      </c>
      <c r="C59" s="30" t="n">
        <f aca="false">IFERROR(INDEX(Calendario!$C$4:$C$107,MATCH($A59,Calendario!$A$4:$A$107,0)),"")</f>
        <v>46418</v>
      </c>
      <c r="D59" s="17" t="str">
        <f aca="false">IFERROR(INDEX(Calendario!$D$4:$D$107,MATCH($A59,Calendario!$A$4:$A$107,0)),"")</f>
        <v>2027-01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31"/>
      <c r="U59" s="31"/>
      <c r="V59" s="31"/>
      <c r="W59" s="31"/>
      <c r="X59" s="26"/>
    </row>
    <row r="60" customFormat="false" ht="15" hidden="false" customHeight="false" outlineLevel="0" collapsed="false">
      <c r="A60" s="17" t="s">
        <v>404</v>
      </c>
      <c r="B60" s="30" t="n">
        <f aca="false">IFERROR(INDEX(Calendario!$B$4:$B$107,MATCH($A60,Calendario!$A$4:$A$107,0)),"")</f>
        <v>46419</v>
      </c>
      <c r="C60" s="30" t="n">
        <f aca="false">IFERROR(INDEX(Calendario!$C$4:$C$107,MATCH($A60,Calendario!$A$4:$A$107,0)),"")</f>
        <v>46425</v>
      </c>
      <c r="D60" s="17" t="str">
        <f aca="false">IFERROR(INDEX(Calendario!$D$4:$D$107,MATCH($A60,Calendario!$A$4:$A$107,0)),"")</f>
        <v>2027-02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31"/>
      <c r="U60" s="31"/>
      <c r="V60" s="31"/>
      <c r="W60" s="31"/>
      <c r="X60" s="26"/>
    </row>
    <row r="61" customFormat="false" ht="15" hidden="false" customHeight="false" outlineLevel="0" collapsed="false">
      <c r="A61" s="17" t="s">
        <v>406</v>
      </c>
      <c r="B61" s="30" t="n">
        <f aca="false">IFERROR(INDEX(Calendario!$B$4:$B$107,MATCH($A61,Calendario!$A$4:$A$107,0)),"")</f>
        <v>46426</v>
      </c>
      <c r="C61" s="30" t="n">
        <f aca="false">IFERROR(INDEX(Calendario!$C$4:$C$107,MATCH($A61,Calendario!$A$4:$A$107,0)),"")</f>
        <v>46432</v>
      </c>
      <c r="D61" s="17" t="str">
        <f aca="false">IFERROR(INDEX(Calendario!$D$4:$D$107,MATCH($A61,Calendario!$A$4:$A$107,0)),"")</f>
        <v>2027-02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31"/>
      <c r="U61" s="31"/>
      <c r="V61" s="31"/>
      <c r="W61" s="31"/>
      <c r="X61" s="26"/>
    </row>
    <row r="62" customFormat="false" ht="15" hidden="false" customHeight="false" outlineLevel="0" collapsed="false">
      <c r="A62" s="17" t="s">
        <v>407</v>
      </c>
      <c r="B62" s="30" t="n">
        <f aca="false">IFERROR(INDEX(Calendario!$B$4:$B$107,MATCH($A62,Calendario!$A$4:$A$107,0)),"")</f>
        <v>46433</v>
      </c>
      <c r="C62" s="30" t="n">
        <f aca="false">IFERROR(INDEX(Calendario!$C$4:$C$107,MATCH($A62,Calendario!$A$4:$A$107,0)),"")</f>
        <v>46439</v>
      </c>
      <c r="D62" s="17" t="str">
        <f aca="false">IFERROR(INDEX(Calendario!$D$4:$D$107,MATCH($A62,Calendario!$A$4:$A$107,0)),"")</f>
        <v>2027-02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31"/>
      <c r="U62" s="31"/>
      <c r="V62" s="31"/>
      <c r="W62" s="31"/>
      <c r="X62" s="26"/>
    </row>
    <row r="63" customFormat="false" ht="15" hidden="false" customHeight="false" outlineLevel="0" collapsed="false">
      <c r="A63" s="17" t="s">
        <v>408</v>
      </c>
      <c r="B63" s="30" t="n">
        <f aca="false">IFERROR(INDEX(Calendario!$B$4:$B$107,MATCH($A63,Calendario!$A$4:$A$107,0)),"")</f>
        <v>46440</v>
      </c>
      <c r="C63" s="30" t="n">
        <f aca="false">IFERROR(INDEX(Calendario!$C$4:$C$107,MATCH($A63,Calendario!$A$4:$A$107,0)),"")</f>
        <v>46446</v>
      </c>
      <c r="D63" s="17" t="str">
        <f aca="false">IFERROR(INDEX(Calendario!$D$4:$D$107,MATCH($A63,Calendario!$A$4:$A$107,0)),"")</f>
        <v>2027-02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31"/>
      <c r="U63" s="31"/>
      <c r="V63" s="31"/>
      <c r="W63" s="31"/>
      <c r="X63" s="26"/>
    </row>
    <row r="64" customFormat="false" ht="15" hidden="false" customHeight="false" outlineLevel="0" collapsed="false">
      <c r="A64" s="17" t="s">
        <v>409</v>
      </c>
      <c r="B64" s="30" t="n">
        <f aca="false">IFERROR(INDEX(Calendario!$B$4:$B$107,MATCH($A64,Calendario!$A$4:$A$107,0)),"")</f>
        <v>46447</v>
      </c>
      <c r="C64" s="30" t="n">
        <f aca="false">IFERROR(INDEX(Calendario!$C$4:$C$107,MATCH($A64,Calendario!$A$4:$A$107,0)),"")</f>
        <v>46453</v>
      </c>
      <c r="D64" s="17" t="str">
        <f aca="false">IFERROR(INDEX(Calendario!$D$4:$D$107,MATCH($A64,Calendario!$A$4:$A$107,0)),"")</f>
        <v>2027-03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31"/>
      <c r="U64" s="31"/>
      <c r="V64" s="31"/>
      <c r="W64" s="31"/>
      <c r="X64" s="26"/>
    </row>
    <row r="65" customFormat="false" ht="15" hidden="false" customHeight="false" outlineLevel="0" collapsed="false">
      <c r="A65" s="17" t="s">
        <v>411</v>
      </c>
      <c r="B65" s="30" t="n">
        <f aca="false">IFERROR(INDEX(Calendario!$B$4:$B$107,MATCH($A65,Calendario!$A$4:$A$107,0)),"")</f>
        <v>46454</v>
      </c>
      <c r="C65" s="30" t="n">
        <f aca="false">IFERROR(INDEX(Calendario!$C$4:$C$107,MATCH($A65,Calendario!$A$4:$A$107,0)),"")</f>
        <v>46460</v>
      </c>
      <c r="D65" s="17" t="str">
        <f aca="false">IFERROR(INDEX(Calendario!$D$4:$D$107,MATCH($A65,Calendario!$A$4:$A$107,0)),"")</f>
        <v>2027-03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31"/>
      <c r="U65" s="31"/>
      <c r="V65" s="31"/>
      <c r="W65" s="31"/>
      <c r="X65" s="26"/>
    </row>
    <row r="66" customFormat="false" ht="15" hidden="false" customHeight="false" outlineLevel="0" collapsed="false">
      <c r="A66" s="17" t="s">
        <v>412</v>
      </c>
      <c r="B66" s="30" t="n">
        <f aca="false">IFERROR(INDEX(Calendario!$B$4:$B$107,MATCH($A66,Calendario!$A$4:$A$107,0)),"")</f>
        <v>46461</v>
      </c>
      <c r="C66" s="30" t="n">
        <f aca="false">IFERROR(INDEX(Calendario!$C$4:$C$107,MATCH($A66,Calendario!$A$4:$A$107,0)),"")</f>
        <v>46467</v>
      </c>
      <c r="D66" s="17" t="str">
        <f aca="false">IFERROR(INDEX(Calendario!$D$4:$D$107,MATCH($A66,Calendario!$A$4:$A$107,0)),"")</f>
        <v>2027-03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31"/>
      <c r="U66" s="31"/>
      <c r="V66" s="31"/>
      <c r="W66" s="31"/>
      <c r="X66" s="26"/>
    </row>
    <row r="67" customFormat="false" ht="15" hidden="false" customHeight="false" outlineLevel="0" collapsed="false">
      <c r="A67" s="17" t="s">
        <v>413</v>
      </c>
      <c r="B67" s="30" t="n">
        <f aca="false">IFERROR(INDEX(Calendario!$B$4:$B$107,MATCH($A67,Calendario!$A$4:$A$107,0)),"")</f>
        <v>46468</v>
      </c>
      <c r="C67" s="30" t="n">
        <f aca="false">IFERROR(INDEX(Calendario!$C$4:$C$107,MATCH($A67,Calendario!$A$4:$A$107,0)),"")</f>
        <v>46474</v>
      </c>
      <c r="D67" s="17" t="str">
        <f aca="false">IFERROR(INDEX(Calendario!$D$4:$D$107,MATCH($A67,Calendario!$A$4:$A$107,0)),"")</f>
        <v>2027-03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31"/>
      <c r="U67" s="31"/>
      <c r="V67" s="31"/>
      <c r="W67" s="31"/>
      <c r="X67" s="26"/>
    </row>
    <row r="68" customFormat="false" ht="15" hidden="false" customHeight="false" outlineLevel="0" collapsed="false">
      <c r="A68" s="17" t="s">
        <v>414</v>
      </c>
      <c r="B68" s="30" t="n">
        <f aca="false">IFERROR(INDEX(Calendario!$B$4:$B$107,MATCH($A68,Calendario!$A$4:$A$107,0)),"")</f>
        <v>46475</v>
      </c>
      <c r="C68" s="30" t="n">
        <f aca="false">IFERROR(INDEX(Calendario!$C$4:$C$107,MATCH($A68,Calendario!$A$4:$A$107,0)),"")</f>
        <v>46481</v>
      </c>
      <c r="D68" s="17" t="str">
        <f aca="false">IFERROR(INDEX(Calendario!$D$4:$D$107,MATCH($A68,Calendario!$A$4:$A$107,0)),"")</f>
        <v>2027-03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31"/>
      <c r="U68" s="31"/>
      <c r="V68" s="31"/>
      <c r="W68" s="31"/>
      <c r="X68" s="26"/>
    </row>
    <row r="69" customFormat="false" ht="15" hidden="false" customHeight="false" outlineLevel="0" collapsed="false">
      <c r="A69" s="17" t="s">
        <v>415</v>
      </c>
      <c r="B69" s="30" t="n">
        <f aca="false">IFERROR(INDEX(Calendario!$B$4:$B$107,MATCH($A69,Calendario!$A$4:$A$107,0)),"")</f>
        <v>46482</v>
      </c>
      <c r="C69" s="30" t="n">
        <f aca="false">IFERROR(INDEX(Calendario!$C$4:$C$107,MATCH($A69,Calendario!$A$4:$A$107,0)),"")</f>
        <v>46488</v>
      </c>
      <c r="D69" s="17" t="str">
        <f aca="false">IFERROR(INDEX(Calendario!$D$4:$D$107,MATCH($A69,Calendario!$A$4:$A$107,0)),"")</f>
        <v>2027-04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31"/>
      <c r="U69" s="31"/>
      <c r="V69" s="31"/>
      <c r="W69" s="31"/>
      <c r="X69" s="26"/>
    </row>
    <row r="70" customFormat="false" ht="15" hidden="false" customHeight="false" outlineLevel="0" collapsed="false">
      <c r="A70" s="17" t="s">
        <v>417</v>
      </c>
      <c r="B70" s="30" t="n">
        <f aca="false">IFERROR(INDEX(Calendario!$B$4:$B$107,MATCH($A70,Calendario!$A$4:$A$107,0)),"")</f>
        <v>46489</v>
      </c>
      <c r="C70" s="30" t="n">
        <f aca="false">IFERROR(INDEX(Calendario!$C$4:$C$107,MATCH($A70,Calendario!$A$4:$A$107,0)),"")</f>
        <v>46495</v>
      </c>
      <c r="D70" s="17" t="str">
        <f aca="false">IFERROR(INDEX(Calendario!$D$4:$D$107,MATCH($A70,Calendario!$A$4:$A$107,0)),"")</f>
        <v>2027-04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31"/>
      <c r="U70" s="31"/>
      <c r="V70" s="31"/>
      <c r="W70" s="31"/>
      <c r="X70" s="26"/>
    </row>
    <row r="71" customFormat="false" ht="15" hidden="false" customHeight="false" outlineLevel="0" collapsed="false">
      <c r="A71" s="17" t="s">
        <v>418</v>
      </c>
      <c r="B71" s="30" t="n">
        <f aca="false">IFERROR(INDEX(Calendario!$B$4:$B$107,MATCH($A71,Calendario!$A$4:$A$107,0)),"")</f>
        <v>46496</v>
      </c>
      <c r="C71" s="30" t="n">
        <f aca="false">IFERROR(INDEX(Calendario!$C$4:$C$107,MATCH($A71,Calendario!$A$4:$A$107,0)),"")</f>
        <v>46502</v>
      </c>
      <c r="D71" s="17" t="str">
        <f aca="false">IFERROR(INDEX(Calendario!$D$4:$D$107,MATCH($A71,Calendario!$A$4:$A$107,0)),"")</f>
        <v>2027-04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31"/>
      <c r="U71" s="31"/>
      <c r="V71" s="31"/>
      <c r="W71" s="31"/>
      <c r="X71" s="26"/>
    </row>
    <row r="72" customFormat="false" ht="15" hidden="false" customHeight="false" outlineLevel="0" collapsed="false">
      <c r="A72" s="17" t="s">
        <v>419</v>
      </c>
      <c r="B72" s="30" t="n">
        <f aca="false">IFERROR(INDEX(Calendario!$B$4:$B$107,MATCH($A72,Calendario!$A$4:$A$107,0)),"")</f>
        <v>46503</v>
      </c>
      <c r="C72" s="30" t="n">
        <f aca="false">IFERROR(INDEX(Calendario!$C$4:$C$107,MATCH($A72,Calendario!$A$4:$A$107,0)),"")</f>
        <v>46509</v>
      </c>
      <c r="D72" s="17" t="str">
        <f aca="false">IFERROR(INDEX(Calendario!$D$4:$D$107,MATCH($A72,Calendario!$A$4:$A$107,0)),"")</f>
        <v>2027-04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31"/>
      <c r="U72" s="31"/>
      <c r="V72" s="31"/>
      <c r="W72" s="31"/>
      <c r="X72" s="26"/>
    </row>
    <row r="73" customFormat="false" ht="15" hidden="false" customHeight="false" outlineLevel="0" collapsed="false">
      <c r="A73" s="17" t="s">
        <v>420</v>
      </c>
      <c r="B73" s="30" t="n">
        <f aca="false">IFERROR(INDEX(Calendario!$B$4:$B$107,MATCH($A73,Calendario!$A$4:$A$107,0)),"")</f>
        <v>46510</v>
      </c>
      <c r="C73" s="30" t="n">
        <f aca="false">IFERROR(INDEX(Calendario!$C$4:$C$107,MATCH($A73,Calendario!$A$4:$A$107,0)),"")</f>
        <v>46516</v>
      </c>
      <c r="D73" s="17" t="str">
        <f aca="false">IFERROR(INDEX(Calendario!$D$4:$D$107,MATCH($A73,Calendario!$A$4:$A$107,0)),"")</f>
        <v>2027-05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31"/>
      <c r="U73" s="31"/>
      <c r="V73" s="31"/>
      <c r="W73" s="31"/>
      <c r="X73" s="26"/>
    </row>
    <row r="74" customFormat="false" ht="15" hidden="false" customHeight="false" outlineLevel="0" collapsed="false">
      <c r="A74" s="17" t="s">
        <v>422</v>
      </c>
      <c r="B74" s="30" t="n">
        <f aca="false">IFERROR(INDEX(Calendario!$B$4:$B$107,MATCH($A74,Calendario!$A$4:$A$107,0)),"")</f>
        <v>46517</v>
      </c>
      <c r="C74" s="30" t="n">
        <f aca="false">IFERROR(INDEX(Calendario!$C$4:$C$107,MATCH($A74,Calendario!$A$4:$A$107,0)),"")</f>
        <v>46523</v>
      </c>
      <c r="D74" s="17" t="str">
        <f aca="false">IFERROR(INDEX(Calendario!$D$4:$D$107,MATCH($A74,Calendario!$A$4:$A$107,0)),"")</f>
        <v>2027-05</v>
      </c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31"/>
      <c r="U74" s="31"/>
      <c r="V74" s="31"/>
      <c r="W74" s="31"/>
      <c r="X74" s="26"/>
    </row>
    <row r="75" customFormat="false" ht="15" hidden="false" customHeight="false" outlineLevel="0" collapsed="false">
      <c r="A75" s="17" t="s">
        <v>423</v>
      </c>
      <c r="B75" s="30" t="n">
        <f aca="false">IFERROR(INDEX(Calendario!$B$4:$B$107,MATCH($A75,Calendario!$A$4:$A$107,0)),"")</f>
        <v>46524</v>
      </c>
      <c r="C75" s="30" t="n">
        <f aca="false">IFERROR(INDEX(Calendario!$C$4:$C$107,MATCH($A75,Calendario!$A$4:$A$107,0)),"")</f>
        <v>46530</v>
      </c>
      <c r="D75" s="17" t="str">
        <f aca="false">IFERROR(INDEX(Calendario!$D$4:$D$107,MATCH($A75,Calendario!$A$4:$A$107,0)),"")</f>
        <v>2027-05</v>
      </c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31"/>
      <c r="U75" s="31"/>
      <c r="V75" s="31"/>
      <c r="W75" s="31"/>
      <c r="X75" s="26"/>
    </row>
    <row r="76" customFormat="false" ht="15" hidden="false" customHeight="false" outlineLevel="0" collapsed="false">
      <c r="A76" s="17" t="s">
        <v>424</v>
      </c>
      <c r="B76" s="30" t="n">
        <f aca="false">IFERROR(INDEX(Calendario!$B$4:$B$107,MATCH($A76,Calendario!$A$4:$A$107,0)),"")</f>
        <v>46531</v>
      </c>
      <c r="C76" s="30" t="n">
        <f aca="false">IFERROR(INDEX(Calendario!$C$4:$C$107,MATCH($A76,Calendario!$A$4:$A$107,0)),"")</f>
        <v>46537</v>
      </c>
      <c r="D76" s="17" t="str">
        <f aca="false">IFERROR(INDEX(Calendario!$D$4:$D$107,MATCH($A76,Calendario!$A$4:$A$107,0)),"")</f>
        <v>2027-05</v>
      </c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31"/>
      <c r="U76" s="31"/>
      <c r="V76" s="31"/>
      <c r="W76" s="31"/>
      <c r="X76" s="26"/>
    </row>
    <row r="77" customFormat="false" ht="15" hidden="false" customHeight="false" outlineLevel="0" collapsed="false">
      <c r="A77" s="17" t="s">
        <v>425</v>
      </c>
      <c r="B77" s="30" t="n">
        <f aca="false">IFERROR(INDEX(Calendario!$B$4:$B$107,MATCH($A77,Calendario!$A$4:$A$107,0)),"")</f>
        <v>46538</v>
      </c>
      <c r="C77" s="30" t="n">
        <f aca="false">IFERROR(INDEX(Calendario!$C$4:$C$107,MATCH($A77,Calendario!$A$4:$A$107,0)),"")</f>
        <v>46544</v>
      </c>
      <c r="D77" s="17" t="str">
        <f aca="false">IFERROR(INDEX(Calendario!$D$4:$D$107,MATCH($A77,Calendario!$A$4:$A$107,0)),"")</f>
        <v>2027-05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31"/>
      <c r="U77" s="31"/>
      <c r="V77" s="31"/>
      <c r="W77" s="31"/>
      <c r="X77" s="26"/>
    </row>
    <row r="78" customFormat="false" ht="15" hidden="false" customHeight="false" outlineLevel="0" collapsed="false">
      <c r="A78" s="17" t="s">
        <v>426</v>
      </c>
      <c r="B78" s="30" t="n">
        <f aca="false">IFERROR(INDEX(Calendario!$B$4:$B$107,MATCH($A78,Calendario!$A$4:$A$107,0)),"")</f>
        <v>46545</v>
      </c>
      <c r="C78" s="30" t="n">
        <f aca="false">IFERROR(INDEX(Calendario!$C$4:$C$107,MATCH($A78,Calendario!$A$4:$A$107,0)),"")</f>
        <v>46551</v>
      </c>
      <c r="D78" s="17" t="str">
        <f aca="false">IFERROR(INDEX(Calendario!$D$4:$D$107,MATCH($A78,Calendario!$A$4:$A$107,0)),"")</f>
        <v>2027-06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31"/>
      <c r="U78" s="31"/>
      <c r="V78" s="31"/>
      <c r="W78" s="31"/>
      <c r="X78" s="26"/>
    </row>
    <row r="79" customFormat="false" ht="15" hidden="false" customHeight="false" outlineLevel="0" collapsed="false">
      <c r="A79" s="17" t="s">
        <v>428</v>
      </c>
      <c r="B79" s="30" t="n">
        <f aca="false">IFERROR(INDEX(Calendario!$B$4:$B$107,MATCH($A79,Calendario!$A$4:$A$107,0)),"")</f>
        <v>46552</v>
      </c>
      <c r="C79" s="30" t="n">
        <f aca="false">IFERROR(INDEX(Calendario!$C$4:$C$107,MATCH($A79,Calendario!$A$4:$A$107,0)),"")</f>
        <v>46558</v>
      </c>
      <c r="D79" s="17" t="str">
        <f aca="false">IFERROR(INDEX(Calendario!$D$4:$D$107,MATCH($A79,Calendario!$A$4:$A$107,0)),"")</f>
        <v>2027-06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31"/>
      <c r="U79" s="31"/>
      <c r="V79" s="31"/>
      <c r="W79" s="31"/>
      <c r="X79" s="26"/>
    </row>
    <row r="80" customFormat="false" ht="15" hidden="false" customHeight="false" outlineLevel="0" collapsed="false">
      <c r="A80" s="17" t="s">
        <v>429</v>
      </c>
      <c r="B80" s="30" t="n">
        <f aca="false">IFERROR(INDEX(Calendario!$B$4:$B$107,MATCH($A80,Calendario!$A$4:$A$107,0)),"")</f>
        <v>46559</v>
      </c>
      <c r="C80" s="30" t="n">
        <f aca="false">IFERROR(INDEX(Calendario!$C$4:$C$107,MATCH($A80,Calendario!$A$4:$A$107,0)),"")</f>
        <v>46565</v>
      </c>
      <c r="D80" s="17" t="str">
        <f aca="false">IFERROR(INDEX(Calendario!$D$4:$D$107,MATCH($A80,Calendario!$A$4:$A$107,0)),"")</f>
        <v>2027-06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31"/>
      <c r="U80" s="31"/>
      <c r="V80" s="31"/>
      <c r="W80" s="31"/>
      <c r="X80" s="26"/>
    </row>
    <row r="81" customFormat="false" ht="15" hidden="false" customHeight="false" outlineLevel="0" collapsed="false">
      <c r="A81" s="17" t="s">
        <v>430</v>
      </c>
      <c r="B81" s="30" t="n">
        <f aca="false">IFERROR(INDEX(Calendario!$B$4:$B$107,MATCH($A81,Calendario!$A$4:$A$107,0)),"")</f>
        <v>46566</v>
      </c>
      <c r="C81" s="30" t="n">
        <f aca="false">IFERROR(INDEX(Calendario!$C$4:$C$107,MATCH($A81,Calendario!$A$4:$A$107,0)),"")</f>
        <v>46572</v>
      </c>
      <c r="D81" s="17" t="str">
        <f aca="false">IFERROR(INDEX(Calendario!$D$4:$D$107,MATCH($A81,Calendario!$A$4:$A$107,0)),"")</f>
        <v>2027-06</v>
      </c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31"/>
      <c r="U81" s="31"/>
      <c r="V81" s="31"/>
      <c r="W81" s="31"/>
      <c r="X81" s="26"/>
    </row>
    <row r="82" customFormat="false" ht="15" hidden="false" customHeight="false" outlineLevel="0" collapsed="false">
      <c r="A82" s="17" t="s">
        <v>431</v>
      </c>
      <c r="B82" s="30" t="n">
        <f aca="false">IFERROR(INDEX(Calendario!$B$4:$B$107,MATCH($A82,Calendario!$A$4:$A$107,0)),"")</f>
        <v>46573</v>
      </c>
      <c r="C82" s="30" t="n">
        <f aca="false">IFERROR(INDEX(Calendario!$C$4:$C$107,MATCH($A82,Calendario!$A$4:$A$107,0)),"")</f>
        <v>46579</v>
      </c>
      <c r="D82" s="17" t="str">
        <f aca="false">IFERROR(INDEX(Calendario!$D$4:$D$107,MATCH($A82,Calendario!$A$4:$A$107,0)),"")</f>
        <v>2027-07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31"/>
      <c r="U82" s="31"/>
      <c r="V82" s="31"/>
      <c r="W82" s="31"/>
      <c r="X82" s="26"/>
    </row>
    <row r="83" customFormat="false" ht="15" hidden="false" customHeight="false" outlineLevel="0" collapsed="false">
      <c r="A83" s="17" t="s">
        <v>433</v>
      </c>
      <c r="B83" s="30" t="n">
        <f aca="false">IFERROR(INDEX(Calendario!$B$4:$B$107,MATCH($A83,Calendario!$A$4:$A$107,0)),"")</f>
        <v>46580</v>
      </c>
      <c r="C83" s="30" t="n">
        <f aca="false">IFERROR(INDEX(Calendario!$C$4:$C$107,MATCH($A83,Calendario!$A$4:$A$107,0)),"")</f>
        <v>46586</v>
      </c>
      <c r="D83" s="17" t="str">
        <f aca="false">IFERROR(INDEX(Calendario!$D$4:$D$107,MATCH($A83,Calendario!$A$4:$A$107,0)),"")</f>
        <v>2027-07</v>
      </c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31"/>
      <c r="U83" s="31"/>
      <c r="V83" s="31"/>
      <c r="W83" s="31"/>
      <c r="X83" s="26"/>
    </row>
    <row r="84" customFormat="false" ht="15" hidden="false" customHeight="false" outlineLevel="0" collapsed="false">
      <c r="A84" s="17" t="s">
        <v>434</v>
      </c>
      <c r="B84" s="30" t="n">
        <f aca="false">IFERROR(INDEX(Calendario!$B$4:$B$107,MATCH($A84,Calendario!$A$4:$A$107,0)),"")</f>
        <v>46587</v>
      </c>
      <c r="C84" s="30" t="n">
        <f aca="false">IFERROR(INDEX(Calendario!$C$4:$C$107,MATCH($A84,Calendario!$A$4:$A$107,0)),"")</f>
        <v>46593</v>
      </c>
      <c r="D84" s="17" t="str">
        <f aca="false">IFERROR(INDEX(Calendario!$D$4:$D$107,MATCH($A84,Calendario!$A$4:$A$107,0)),"")</f>
        <v>2027-07</v>
      </c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31"/>
      <c r="U84" s="31"/>
      <c r="V84" s="31"/>
      <c r="W84" s="31"/>
      <c r="X84" s="26"/>
    </row>
    <row r="85" customFormat="false" ht="15" hidden="false" customHeight="false" outlineLevel="0" collapsed="false">
      <c r="A85" s="17" t="s">
        <v>435</v>
      </c>
      <c r="B85" s="30" t="n">
        <f aca="false">IFERROR(INDEX(Calendario!$B$4:$B$107,MATCH($A85,Calendario!$A$4:$A$107,0)),"")</f>
        <v>46594</v>
      </c>
      <c r="C85" s="30" t="n">
        <f aca="false">IFERROR(INDEX(Calendario!$C$4:$C$107,MATCH($A85,Calendario!$A$4:$A$107,0)),"")</f>
        <v>46600</v>
      </c>
      <c r="D85" s="17" t="str">
        <f aca="false">IFERROR(INDEX(Calendario!$D$4:$D$107,MATCH($A85,Calendario!$A$4:$A$107,0)),"")</f>
        <v>2027-07</v>
      </c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31"/>
      <c r="U85" s="31"/>
      <c r="V85" s="31"/>
      <c r="W85" s="31"/>
      <c r="X85" s="26"/>
    </row>
    <row r="86" customFormat="false" ht="15" hidden="false" customHeight="false" outlineLevel="0" collapsed="false">
      <c r="A86" s="17" t="s">
        <v>436</v>
      </c>
      <c r="B86" s="30" t="n">
        <f aca="false">IFERROR(INDEX(Calendario!$B$4:$B$107,MATCH($A86,Calendario!$A$4:$A$107,0)),"")</f>
        <v>46601</v>
      </c>
      <c r="C86" s="30" t="n">
        <f aca="false">IFERROR(INDEX(Calendario!$C$4:$C$107,MATCH($A86,Calendario!$A$4:$A$107,0)),"")</f>
        <v>46607</v>
      </c>
      <c r="D86" s="17" t="str">
        <f aca="false">IFERROR(INDEX(Calendario!$D$4:$D$107,MATCH($A86,Calendario!$A$4:$A$107,0)),"")</f>
        <v>2027-08</v>
      </c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31"/>
      <c r="U86" s="31"/>
      <c r="V86" s="31"/>
      <c r="W86" s="31"/>
      <c r="X86" s="26"/>
    </row>
    <row r="87" customFormat="false" ht="15" hidden="false" customHeight="false" outlineLevel="0" collapsed="false">
      <c r="A87" s="17" t="s">
        <v>438</v>
      </c>
      <c r="B87" s="30" t="n">
        <f aca="false">IFERROR(INDEX(Calendario!$B$4:$B$107,MATCH($A87,Calendario!$A$4:$A$107,0)),"")</f>
        <v>46608</v>
      </c>
      <c r="C87" s="30" t="n">
        <f aca="false">IFERROR(INDEX(Calendario!$C$4:$C$107,MATCH($A87,Calendario!$A$4:$A$107,0)),"")</f>
        <v>46614</v>
      </c>
      <c r="D87" s="17" t="str">
        <f aca="false">IFERROR(INDEX(Calendario!$D$4:$D$107,MATCH($A87,Calendario!$A$4:$A$107,0)),"")</f>
        <v>2027-08</v>
      </c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31"/>
      <c r="U87" s="31"/>
      <c r="V87" s="31"/>
      <c r="W87" s="31"/>
      <c r="X87" s="26"/>
    </row>
    <row r="88" customFormat="false" ht="15" hidden="false" customHeight="false" outlineLevel="0" collapsed="false">
      <c r="A88" s="17" t="s">
        <v>439</v>
      </c>
      <c r="B88" s="30" t="n">
        <f aca="false">IFERROR(INDEX(Calendario!$B$4:$B$107,MATCH($A88,Calendario!$A$4:$A$107,0)),"")</f>
        <v>46615</v>
      </c>
      <c r="C88" s="30" t="n">
        <f aca="false">IFERROR(INDEX(Calendario!$C$4:$C$107,MATCH($A88,Calendario!$A$4:$A$107,0)),"")</f>
        <v>46621</v>
      </c>
      <c r="D88" s="17" t="str">
        <f aca="false">IFERROR(INDEX(Calendario!$D$4:$D$107,MATCH($A88,Calendario!$A$4:$A$107,0)),"")</f>
        <v>2027-08</v>
      </c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31"/>
      <c r="U88" s="31"/>
      <c r="V88" s="31"/>
      <c r="W88" s="31"/>
      <c r="X88" s="26"/>
    </row>
    <row r="89" customFormat="false" ht="15" hidden="false" customHeight="false" outlineLevel="0" collapsed="false">
      <c r="A89" s="17" t="s">
        <v>440</v>
      </c>
      <c r="B89" s="30" t="n">
        <f aca="false">IFERROR(INDEX(Calendario!$B$4:$B$107,MATCH($A89,Calendario!$A$4:$A$107,0)),"")</f>
        <v>46622</v>
      </c>
      <c r="C89" s="30" t="n">
        <f aca="false">IFERROR(INDEX(Calendario!$C$4:$C$107,MATCH($A89,Calendario!$A$4:$A$107,0)),"")</f>
        <v>46628</v>
      </c>
      <c r="D89" s="17" t="str">
        <f aca="false">IFERROR(INDEX(Calendario!$D$4:$D$107,MATCH($A89,Calendario!$A$4:$A$107,0)),"")</f>
        <v>2027-08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31"/>
      <c r="U89" s="31"/>
      <c r="V89" s="31"/>
      <c r="W89" s="31"/>
      <c r="X89" s="26"/>
    </row>
    <row r="90" customFormat="false" ht="15" hidden="false" customHeight="false" outlineLevel="0" collapsed="false">
      <c r="A90" s="17" t="s">
        <v>441</v>
      </c>
      <c r="B90" s="30" t="n">
        <f aca="false">IFERROR(INDEX(Calendario!$B$4:$B$107,MATCH($A90,Calendario!$A$4:$A$107,0)),"")</f>
        <v>46629</v>
      </c>
      <c r="C90" s="30" t="n">
        <f aca="false">IFERROR(INDEX(Calendario!$C$4:$C$107,MATCH($A90,Calendario!$A$4:$A$107,0)),"")</f>
        <v>46635</v>
      </c>
      <c r="D90" s="17" t="str">
        <f aca="false">IFERROR(INDEX(Calendario!$D$4:$D$107,MATCH($A90,Calendario!$A$4:$A$107,0)),"")</f>
        <v>2027-08</v>
      </c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31"/>
      <c r="U90" s="31"/>
      <c r="V90" s="31"/>
      <c r="W90" s="31"/>
      <c r="X90" s="26"/>
    </row>
    <row r="91" customFormat="false" ht="15" hidden="false" customHeight="false" outlineLevel="0" collapsed="false">
      <c r="A91" s="17" t="s">
        <v>442</v>
      </c>
      <c r="B91" s="30" t="n">
        <f aca="false">IFERROR(INDEX(Calendario!$B$4:$B$107,MATCH($A91,Calendario!$A$4:$A$107,0)),"")</f>
        <v>46636</v>
      </c>
      <c r="C91" s="30" t="n">
        <f aca="false">IFERROR(INDEX(Calendario!$C$4:$C$107,MATCH($A91,Calendario!$A$4:$A$107,0)),"")</f>
        <v>46642</v>
      </c>
      <c r="D91" s="17" t="str">
        <f aca="false">IFERROR(INDEX(Calendario!$D$4:$D$107,MATCH($A91,Calendario!$A$4:$A$107,0)),"")</f>
        <v>2027-09</v>
      </c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31"/>
      <c r="U91" s="31"/>
      <c r="V91" s="31"/>
      <c r="W91" s="31"/>
      <c r="X91" s="26"/>
    </row>
    <row r="92" customFormat="false" ht="15" hidden="false" customHeight="false" outlineLevel="0" collapsed="false">
      <c r="A92" s="17" t="s">
        <v>444</v>
      </c>
      <c r="B92" s="30" t="n">
        <f aca="false">IFERROR(INDEX(Calendario!$B$4:$B$107,MATCH($A92,Calendario!$A$4:$A$107,0)),"")</f>
        <v>46643</v>
      </c>
      <c r="C92" s="30" t="n">
        <f aca="false">IFERROR(INDEX(Calendario!$C$4:$C$107,MATCH($A92,Calendario!$A$4:$A$107,0)),"")</f>
        <v>46649</v>
      </c>
      <c r="D92" s="17" t="str">
        <f aca="false">IFERROR(INDEX(Calendario!$D$4:$D$107,MATCH($A92,Calendario!$A$4:$A$107,0)),"")</f>
        <v>2027-09</v>
      </c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31"/>
      <c r="U92" s="31"/>
      <c r="V92" s="31"/>
      <c r="W92" s="31"/>
      <c r="X92" s="26"/>
    </row>
    <row r="93" customFormat="false" ht="15" hidden="false" customHeight="false" outlineLevel="0" collapsed="false">
      <c r="A93" s="17" t="s">
        <v>445</v>
      </c>
      <c r="B93" s="30" t="n">
        <f aca="false">IFERROR(INDEX(Calendario!$B$4:$B$107,MATCH($A93,Calendario!$A$4:$A$107,0)),"")</f>
        <v>46650</v>
      </c>
      <c r="C93" s="30" t="n">
        <f aca="false">IFERROR(INDEX(Calendario!$C$4:$C$107,MATCH($A93,Calendario!$A$4:$A$107,0)),"")</f>
        <v>46656</v>
      </c>
      <c r="D93" s="17" t="str">
        <f aca="false">IFERROR(INDEX(Calendario!$D$4:$D$107,MATCH($A93,Calendario!$A$4:$A$107,0)),"")</f>
        <v>2027-09</v>
      </c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31"/>
      <c r="U93" s="31"/>
      <c r="V93" s="31"/>
      <c r="W93" s="31"/>
      <c r="X93" s="26"/>
    </row>
    <row r="94" customFormat="false" ht="15" hidden="false" customHeight="false" outlineLevel="0" collapsed="false">
      <c r="A94" s="17" t="s">
        <v>446</v>
      </c>
      <c r="B94" s="30" t="n">
        <f aca="false">IFERROR(INDEX(Calendario!$B$4:$B$107,MATCH($A94,Calendario!$A$4:$A$107,0)),"")</f>
        <v>46657</v>
      </c>
      <c r="C94" s="30" t="n">
        <f aca="false">IFERROR(INDEX(Calendario!$C$4:$C$107,MATCH($A94,Calendario!$A$4:$A$107,0)),"")</f>
        <v>46663</v>
      </c>
      <c r="D94" s="17" t="str">
        <f aca="false">IFERROR(INDEX(Calendario!$D$4:$D$107,MATCH($A94,Calendario!$A$4:$A$107,0)),"")</f>
        <v>2027-09</v>
      </c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31"/>
      <c r="U94" s="31"/>
      <c r="V94" s="31"/>
      <c r="W94" s="31"/>
      <c r="X94" s="26"/>
    </row>
    <row r="95" customFormat="false" ht="15" hidden="false" customHeight="false" outlineLevel="0" collapsed="false">
      <c r="A95" s="17" t="s">
        <v>447</v>
      </c>
      <c r="B95" s="30" t="n">
        <f aca="false">IFERROR(INDEX(Calendario!$B$4:$B$107,MATCH($A95,Calendario!$A$4:$A$107,0)),"")</f>
        <v>46664</v>
      </c>
      <c r="C95" s="30" t="n">
        <f aca="false">IFERROR(INDEX(Calendario!$C$4:$C$107,MATCH($A95,Calendario!$A$4:$A$107,0)),"")</f>
        <v>46670</v>
      </c>
      <c r="D95" s="17" t="str">
        <f aca="false">IFERROR(INDEX(Calendario!$D$4:$D$107,MATCH($A95,Calendario!$A$4:$A$107,0)),"")</f>
        <v>2027-10</v>
      </c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31"/>
      <c r="U95" s="31"/>
      <c r="V95" s="31"/>
      <c r="W95" s="31"/>
      <c r="X95" s="26"/>
    </row>
    <row r="96" customFormat="false" ht="15" hidden="false" customHeight="false" outlineLevel="0" collapsed="false">
      <c r="A96" s="17" t="s">
        <v>449</v>
      </c>
      <c r="B96" s="30" t="n">
        <f aca="false">IFERROR(INDEX(Calendario!$B$4:$B$107,MATCH($A96,Calendario!$A$4:$A$107,0)),"")</f>
        <v>46671</v>
      </c>
      <c r="C96" s="30" t="n">
        <f aca="false">IFERROR(INDEX(Calendario!$C$4:$C$107,MATCH($A96,Calendario!$A$4:$A$107,0)),"")</f>
        <v>46677</v>
      </c>
      <c r="D96" s="17" t="str">
        <f aca="false">IFERROR(INDEX(Calendario!$D$4:$D$107,MATCH($A96,Calendario!$A$4:$A$107,0)),"")</f>
        <v>2027-10</v>
      </c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31"/>
      <c r="U96" s="31"/>
      <c r="V96" s="31"/>
      <c r="W96" s="31"/>
      <c r="X96" s="26"/>
    </row>
    <row r="97" customFormat="false" ht="15" hidden="false" customHeight="false" outlineLevel="0" collapsed="false">
      <c r="A97" s="17" t="s">
        <v>450</v>
      </c>
      <c r="B97" s="30" t="n">
        <f aca="false">IFERROR(INDEX(Calendario!$B$4:$B$107,MATCH($A97,Calendario!$A$4:$A$107,0)),"")</f>
        <v>46678</v>
      </c>
      <c r="C97" s="30" t="n">
        <f aca="false">IFERROR(INDEX(Calendario!$C$4:$C$107,MATCH($A97,Calendario!$A$4:$A$107,0)),"")</f>
        <v>46684</v>
      </c>
      <c r="D97" s="17" t="str">
        <f aca="false">IFERROR(INDEX(Calendario!$D$4:$D$107,MATCH($A97,Calendario!$A$4:$A$107,0)),"")</f>
        <v>2027-10</v>
      </c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31"/>
      <c r="U97" s="31"/>
      <c r="V97" s="31"/>
      <c r="W97" s="31"/>
      <c r="X97" s="26"/>
    </row>
    <row r="98" customFormat="false" ht="15" hidden="false" customHeight="false" outlineLevel="0" collapsed="false">
      <c r="A98" s="17" t="s">
        <v>451</v>
      </c>
      <c r="B98" s="30" t="n">
        <f aca="false">IFERROR(INDEX(Calendario!$B$4:$B$107,MATCH($A98,Calendario!$A$4:$A$107,0)),"")</f>
        <v>46685</v>
      </c>
      <c r="C98" s="30" t="n">
        <f aca="false">IFERROR(INDEX(Calendario!$C$4:$C$107,MATCH($A98,Calendario!$A$4:$A$107,0)),"")</f>
        <v>46691</v>
      </c>
      <c r="D98" s="17" t="str">
        <f aca="false">IFERROR(INDEX(Calendario!$D$4:$D$107,MATCH($A98,Calendario!$A$4:$A$107,0)),"")</f>
        <v>2027-10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31"/>
      <c r="U98" s="31"/>
      <c r="V98" s="31"/>
      <c r="W98" s="31"/>
      <c r="X98" s="26"/>
    </row>
    <row r="99" customFormat="false" ht="15" hidden="false" customHeight="false" outlineLevel="0" collapsed="false">
      <c r="A99" s="17" t="s">
        <v>452</v>
      </c>
      <c r="B99" s="30" t="n">
        <f aca="false">IFERROR(INDEX(Calendario!$B$4:$B$107,MATCH($A99,Calendario!$A$4:$A$107,0)),"")</f>
        <v>46692</v>
      </c>
      <c r="C99" s="30" t="n">
        <f aca="false">IFERROR(INDEX(Calendario!$C$4:$C$107,MATCH($A99,Calendario!$A$4:$A$107,0)),"")</f>
        <v>46698</v>
      </c>
      <c r="D99" s="17" t="str">
        <f aca="false">IFERROR(INDEX(Calendario!$D$4:$D$107,MATCH($A99,Calendario!$A$4:$A$107,0)),"")</f>
        <v>2027-11</v>
      </c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31"/>
      <c r="U99" s="31"/>
      <c r="V99" s="31"/>
      <c r="W99" s="31"/>
      <c r="X99" s="26"/>
    </row>
    <row r="100" customFormat="false" ht="15" hidden="false" customHeight="false" outlineLevel="0" collapsed="false">
      <c r="A100" s="17" t="s">
        <v>454</v>
      </c>
      <c r="B100" s="30" t="n">
        <f aca="false">IFERROR(INDEX(Calendario!$B$4:$B$107,MATCH($A100,Calendario!$A$4:$A$107,0)),"")</f>
        <v>46699</v>
      </c>
      <c r="C100" s="30" t="n">
        <f aca="false">IFERROR(INDEX(Calendario!$C$4:$C$107,MATCH($A100,Calendario!$A$4:$A$107,0)),"")</f>
        <v>46705</v>
      </c>
      <c r="D100" s="17" t="str">
        <f aca="false">IFERROR(INDEX(Calendario!$D$4:$D$107,MATCH($A100,Calendario!$A$4:$A$107,0)),"")</f>
        <v>2027-11</v>
      </c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31"/>
      <c r="U100" s="31"/>
      <c r="V100" s="31"/>
      <c r="W100" s="31"/>
      <c r="X100" s="26"/>
    </row>
    <row r="101" customFormat="false" ht="15" hidden="false" customHeight="false" outlineLevel="0" collapsed="false">
      <c r="A101" s="17" t="s">
        <v>455</v>
      </c>
      <c r="B101" s="30" t="n">
        <f aca="false">IFERROR(INDEX(Calendario!$B$4:$B$107,MATCH($A101,Calendario!$A$4:$A$107,0)),"")</f>
        <v>46706</v>
      </c>
      <c r="C101" s="30" t="n">
        <f aca="false">IFERROR(INDEX(Calendario!$C$4:$C$107,MATCH($A101,Calendario!$A$4:$A$107,0)),"")</f>
        <v>46712</v>
      </c>
      <c r="D101" s="17" t="str">
        <f aca="false">IFERROR(INDEX(Calendario!$D$4:$D$107,MATCH($A101,Calendario!$A$4:$A$107,0)),"")</f>
        <v>2027-11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31"/>
      <c r="U101" s="31"/>
      <c r="V101" s="31"/>
      <c r="W101" s="31"/>
      <c r="X101" s="26"/>
    </row>
    <row r="102" customFormat="false" ht="15" hidden="false" customHeight="false" outlineLevel="0" collapsed="false">
      <c r="A102" s="17" t="s">
        <v>456</v>
      </c>
      <c r="B102" s="30" t="n">
        <f aca="false">IFERROR(INDEX(Calendario!$B$4:$B$107,MATCH($A102,Calendario!$A$4:$A$107,0)),"")</f>
        <v>46713</v>
      </c>
      <c r="C102" s="30" t="n">
        <f aca="false">IFERROR(INDEX(Calendario!$C$4:$C$107,MATCH($A102,Calendario!$A$4:$A$107,0)),"")</f>
        <v>46719</v>
      </c>
      <c r="D102" s="17" t="str">
        <f aca="false">IFERROR(INDEX(Calendario!$D$4:$D$107,MATCH($A102,Calendario!$A$4:$A$107,0)),"")</f>
        <v>2027-11</v>
      </c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31"/>
      <c r="U102" s="31"/>
      <c r="V102" s="31"/>
      <c r="W102" s="31"/>
      <c r="X102" s="26"/>
    </row>
    <row r="103" customFormat="false" ht="15" hidden="false" customHeight="false" outlineLevel="0" collapsed="false">
      <c r="A103" s="17" t="s">
        <v>457</v>
      </c>
      <c r="B103" s="30" t="n">
        <f aca="false">IFERROR(INDEX(Calendario!$B$4:$B$107,MATCH($A103,Calendario!$A$4:$A$107,0)),"")</f>
        <v>46720</v>
      </c>
      <c r="C103" s="30" t="n">
        <f aca="false">IFERROR(INDEX(Calendario!$C$4:$C$107,MATCH($A103,Calendario!$A$4:$A$107,0)),"")</f>
        <v>46726</v>
      </c>
      <c r="D103" s="17" t="str">
        <f aca="false">IFERROR(INDEX(Calendario!$D$4:$D$107,MATCH($A103,Calendario!$A$4:$A$107,0)),"")</f>
        <v>2027-11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31"/>
      <c r="U103" s="31"/>
      <c r="V103" s="31"/>
      <c r="W103" s="31"/>
      <c r="X103" s="26"/>
    </row>
    <row r="104" customFormat="false" ht="15" hidden="false" customHeight="false" outlineLevel="0" collapsed="false">
      <c r="A104" s="17" t="s">
        <v>458</v>
      </c>
      <c r="B104" s="30" t="n">
        <f aca="false">IFERROR(INDEX(Calendario!$B$4:$B$107,MATCH($A104,Calendario!$A$4:$A$107,0)),"")</f>
        <v>46727</v>
      </c>
      <c r="C104" s="30" t="n">
        <f aca="false">IFERROR(INDEX(Calendario!$C$4:$C$107,MATCH($A104,Calendario!$A$4:$A$107,0)),"")</f>
        <v>46733</v>
      </c>
      <c r="D104" s="17" t="str">
        <f aca="false">IFERROR(INDEX(Calendario!$D$4:$D$107,MATCH($A104,Calendario!$A$4:$A$107,0)),"")</f>
        <v>2027-12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31"/>
      <c r="U104" s="31"/>
      <c r="V104" s="31"/>
      <c r="W104" s="31"/>
      <c r="X104" s="26"/>
    </row>
    <row r="105" customFormat="false" ht="15" hidden="false" customHeight="false" outlineLevel="0" collapsed="false">
      <c r="A105" s="17" t="s">
        <v>460</v>
      </c>
      <c r="B105" s="30" t="n">
        <f aca="false">IFERROR(INDEX(Calendario!$B$4:$B$107,MATCH($A105,Calendario!$A$4:$A$107,0)),"")</f>
        <v>46734</v>
      </c>
      <c r="C105" s="30" t="n">
        <f aca="false">IFERROR(INDEX(Calendario!$C$4:$C$107,MATCH($A105,Calendario!$A$4:$A$107,0)),"")</f>
        <v>46740</v>
      </c>
      <c r="D105" s="17" t="str">
        <f aca="false">IFERROR(INDEX(Calendario!$D$4:$D$107,MATCH($A105,Calendario!$A$4:$A$107,0)),"")</f>
        <v>2027-12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31"/>
      <c r="U105" s="31"/>
      <c r="V105" s="31"/>
      <c r="W105" s="31"/>
      <c r="X105" s="26"/>
    </row>
    <row r="106" customFormat="false" ht="15" hidden="false" customHeight="false" outlineLevel="0" collapsed="false">
      <c r="A106" s="17" t="s">
        <v>461</v>
      </c>
      <c r="B106" s="30" t="n">
        <f aca="false">IFERROR(INDEX(Calendario!$B$4:$B$107,MATCH($A106,Calendario!$A$4:$A$107,0)),"")</f>
        <v>46741</v>
      </c>
      <c r="C106" s="30" t="n">
        <f aca="false">IFERROR(INDEX(Calendario!$C$4:$C$107,MATCH($A106,Calendario!$A$4:$A$107,0)),"")</f>
        <v>46747</v>
      </c>
      <c r="D106" s="17" t="str">
        <f aca="false">IFERROR(INDEX(Calendario!$D$4:$D$107,MATCH($A106,Calendario!$A$4:$A$107,0)),"")</f>
        <v>2027-12</v>
      </c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31"/>
      <c r="U106" s="31"/>
      <c r="V106" s="31"/>
      <c r="W106" s="31"/>
      <c r="X106" s="26"/>
    </row>
    <row r="107" customFormat="false" ht="15" hidden="false" customHeight="false" outlineLevel="0" collapsed="false">
      <c r="A107" s="17" t="s">
        <v>462</v>
      </c>
      <c r="B107" s="30" t="n">
        <f aca="false">IFERROR(INDEX(Calendario!$B$4:$B$107,MATCH($A107,Calendario!$A$4:$A$107,0)),"")</f>
        <v>46748</v>
      </c>
      <c r="C107" s="30" t="n">
        <f aca="false">IFERROR(INDEX(Calendario!$C$4:$C$107,MATCH($A107,Calendario!$A$4:$A$107,0)),"")</f>
        <v>46754</v>
      </c>
      <c r="D107" s="17" t="str">
        <f aca="false">IFERROR(INDEX(Calendario!$D$4:$D$107,MATCH($A107,Calendario!$A$4:$A$107,0)),"")</f>
        <v>2027-12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31"/>
      <c r="U107" s="31"/>
      <c r="V107" s="31"/>
      <c r="W107" s="31"/>
      <c r="X107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467</v>
      </c>
    </row>
    <row r="2" customFormat="false" ht="15" hidden="false" customHeight="false" outlineLevel="0" collapsed="false">
      <c r="A2" s="2" t="s">
        <v>468</v>
      </c>
    </row>
    <row r="3" customFormat="false" ht="31.5" hidden="false" customHeight="true" outlineLevel="0" collapsed="false">
      <c r="A3" s="8" t="s">
        <v>79</v>
      </c>
      <c r="B3" s="8" t="s">
        <v>28</v>
      </c>
      <c r="C3" s="8" t="s">
        <v>36</v>
      </c>
      <c r="D3" s="8" t="s">
        <v>83</v>
      </c>
      <c r="E3" s="8" t="s">
        <v>85</v>
      </c>
      <c r="F3" s="8" t="s">
        <v>87</v>
      </c>
      <c r="G3" s="8" t="s">
        <v>89</v>
      </c>
      <c r="H3" s="8" t="s">
        <v>91</v>
      </c>
      <c r="I3" s="8" t="s">
        <v>93</v>
      </c>
      <c r="J3" s="8" t="s">
        <v>95</v>
      </c>
      <c r="K3" s="8" t="s">
        <v>97</v>
      </c>
      <c r="L3" s="8" t="s">
        <v>99</v>
      </c>
      <c r="M3" s="8" t="s">
        <v>101</v>
      </c>
      <c r="N3" s="8" t="s">
        <v>103</v>
      </c>
      <c r="O3" s="8" t="s">
        <v>76</v>
      </c>
    </row>
    <row r="4" customFormat="false" ht="15" hidden="false" customHeight="false" outlineLevel="0" collapsed="false">
      <c r="A4" s="32" t="n">
        <v>46287</v>
      </c>
      <c r="B4" s="17" t="str">
        <f aca="false">IF(A4="","",IFERROR(INDEX(Calendario!$A$4:$A$107,MATCH(A4,Calendario!$B$4:$B$107,1)),""))</f>
        <v>2026-S39</v>
      </c>
      <c r="C4" s="17" t="str">
        <f aca="false">IF(A4="","",YEAR(A4)&amp;"-"&amp;TEXT(MONTH(A4),"00"))</f>
        <v>2026-09</v>
      </c>
      <c r="D4" s="26" t="s">
        <v>469</v>
      </c>
      <c r="E4" s="26" t="s">
        <v>290</v>
      </c>
      <c r="F4" s="26" t="s">
        <v>281</v>
      </c>
      <c r="G4" s="26" t="s">
        <v>470</v>
      </c>
      <c r="H4" s="27" t="n">
        <v>1</v>
      </c>
      <c r="I4" s="29" t="n">
        <v>150</v>
      </c>
      <c r="J4" s="26" t="s">
        <v>291</v>
      </c>
      <c r="K4" s="26" t="s">
        <v>292</v>
      </c>
      <c r="L4" s="27" t="n">
        <v>1</v>
      </c>
      <c r="M4" s="26" t="s">
        <v>293</v>
      </c>
      <c r="N4" s="26" t="s">
        <v>294</v>
      </c>
      <c r="O4" s="26" t="s">
        <v>465</v>
      </c>
    </row>
    <row r="5" customFormat="false" ht="15" hidden="false" customHeight="false" outlineLevel="0" collapsed="false">
      <c r="A5" s="32" t="n">
        <v>46288</v>
      </c>
      <c r="B5" s="17" t="str">
        <f aca="false">IF(A5="","",IFERROR(INDEX(Calendario!$A$4:$A$107,MATCH(A5,Calendario!$B$4:$B$107,1)),""))</f>
        <v>2026-S39</v>
      </c>
      <c r="C5" s="17" t="str">
        <f aca="false">IF(A5="","",YEAR(A5)&amp;"-"&amp;TEXT(MONTH(A5),"00"))</f>
        <v>2026-09</v>
      </c>
      <c r="D5" s="26" t="s">
        <v>471</v>
      </c>
      <c r="E5" s="26" t="s">
        <v>300</v>
      </c>
      <c r="F5" s="26" t="s">
        <v>283</v>
      </c>
      <c r="G5" s="26" t="s">
        <v>472</v>
      </c>
      <c r="H5" s="27" t="n">
        <v>20</v>
      </c>
      <c r="I5" s="29" t="n">
        <v>3800</v>
      </c>
      <c r="J5" s="26" t="s">
        <v>301</v>
      </c>
      <c r="K5" s="26" t="s">
        <v>318</v>
      </c>
      <c r="L5" s="27" t="n">
        <v>6</v>
      </c>
      <c r="M5" s="26" t="s">
        <v>293</v>
      </c>
      <c r="N5" s="26" t="s">
        <v>304</v>
      </c>
      <c r="O5" s="26" t="s">
        <v>465</v>
      </c>
    </row>
    <row r="6" customFormat="false" ht="15" hidden="false" customHeight="false" outlineLevel="0" collapsed="false">
      <c r="A6" s="32" t="n">
        <v>46290</v>
      </c>
      <c r="B6" s="17" t="str">
        <f aca="false">IF(A6="","",IFERROR(INDEX(Calendario!$A$4:$A$107,MATCH(A6,Calendario!$B$4:$B$107,1)),""))</f>
        <v>2026-S39</v>
      </c>
      <c r="C6" s="17" t="str">
        <f aca="false">IF(A6="","",YEAR(A6)&amp;"-"&amp;TEXT(MONTH(A6),"00"))</f>
        <v>2026-09</v>
      </c>
      <c r="D6" s="26" t="s">
        <v>473</v>
      </c>
      <c r="E6" s="26" t="s">
        <v>300</v>
      </c>
      <c r="F6" s="26" t="s">
        <v>281</v>
      </c>
      <c r="G6" s="26" t="s">
        <v>474</v>
      </c>
      <c r="H6" s="27" t="n">
        <v>12</v>
      </c>
      <c r="I6" s="29" t="n">
        <v>2400</v>
      </c>
      <c r="J6" s="26" t="s">
        <v>291</v>
      </c>
      <c r="K6" s="26" t="s">
        <v>292</v>
      </c>
      <c r="L6" s="27" t="n">
        <v>1</v>
      </c>
      <c r="M6" s="26" t="s">
        <v>293</v>
      </c>
      <c r="N6" s="26" t="s">
        <v>320</v>
      </c>
      <c r="O6" s="26" t="s">
        <v>465</v>
      </c>
    </row>
    <row r="7" customFormat="false" ht="15" hidden="false" customHeight="false" outlineLevel="0" collapsed="false">
      <c r="A7" s="32" t="n">
        <v>46294</v>
      </c>
      <c r="B7" s="17" t="str">
        <f aca="false">IF(A7="","",IFERROR(INDEX(Calendario!$A$4:$A$107,MATCH(A7,Calendario!$B$4:$B$107,1)),""))</f>
        <v>2026-S40</v>
      </c>
      <c r="C7" s="17" t="str">
        <f aca="false">IF(A7="","",YEAR(A7)&amp;"-"&amp;TEXT(MONTH(A7),"00"))</f>
        <v>2026-09</v>
      </c>
      <c r="D7" s="26" t="s">
        <v>475</v>
      </c>
      <c r="E7" s="26" t="s">
        <v>290</v>
      </c>
      <c r="F7" s="26" t="s">
        <v>283</v>
      </c>
      <c r="G7" s="26" t="s">
        <v>476</v>
      </c>
      <c r="H7" s="27" t="n">
        <v>1</v>
      </c>
      <c r="I7" s="29" t="n">
        <v>150</v>
      </c>
      <c r="J7" s="26" t="s">
        <v>291</v>
      </c>
      <c r="K7" s="26" t="s">
        <v>302</v>
      </c>
      <c r="L7" s="27" t="n">
        <v>1</v>
      </c>
      <c r="M7" s="26" t="s">
        <v>293</v>
      </c>
      <c r="N7" s="26" t="s">
        <v>313</v>
      </c>
      <c r="O7" s="26" t="s">
        <v>465</v>
      </c>
    </row>
    <row r="8" customFormat="false" ht="15" hidden="false" customHeight="false" outlineLevel="0" collapsed="false">
      <c r="A8" s="32" t="n">
        <v>46295</v>
      </c>
      <c r="B8" s="17" t="str">
        <f aca="false">IF(A8="","",IFERROR(INDEX(Calendario!$A$4:$A$107,MATCH(A8,Calendario!$B$4:$B$107,1)),""))</f>
        <v>2026-S40</v>
      </c>
      <c r="C8" s="17" t="str">
        <f aca="false">IF(A8="","",YEAR(A8)&amp;"-"&amp;TEXT(MONTH(A8),"00"))</f>
        <v>2026-09</v>
      </c>
      <c r="D8" s="26" t="s">
        <v>477</v>
      </c>
      <c r="E8" s="26" t="s">
        <v>300</v>
      </c>
      <c r="F8" s="26" t="s">
        <v>281</v>
      </c>
      <c r="G8" s="26" t="s">
        <v>472</v>
      </c>
      <c r="H8" s="27" t="n">
        <v>20</v>
      </c>
      <c r="I8" s="29" t="n">
        <v>3800</v>
      </c>
      <c r="J8" s="26" t="s">
        <v>301</v>
      </c>
      <c r="K8" s="26" t="s">
        <v>323</v>
      </c>
      <c r="L8" s="27" t="n">
        <v>4</v>
      </c>
      <c r="M8" s="26" t="s">
        <v>303</v>
      </c>
      <c r="N8" s="26" t="s">
        <v>294</v>
      </c>
      <c r="O8" s="26" t="s">
        <v>465</v>
      </c>
    </row>
    <row r="9" customFormat="false" ht="15" hidden="false" customHeight="false" outlineLevel="0" collapsed="false">
      <c r="A9" s="32" t="n">
        <v>46296</v>
      </c>
      <c r="B9" s="17" t="str">
        <f aca="false">IF(A9="","",IFERROR(INDEX(Calendario!$A$4:$A$107,MATCH(A9,Calendario!$B$4:$B$107,1)),""))</f>
        <v>2026-S40</v>
      </c>
      <c r="C9" s="17" t="str">
        <f aca="false">IF(A9="","",YEAR(A9)&amp;"-"&amp;TEXT(MONTH(A9),"00"))</f>
        <v>2026-10</v>
      </c>
      <c r="D9" s="26" t="s">
        <v>478</v>
      </c>
      <c r="E9" s="26" t="s">
        <v>300</v>
      </c>
      <c r="F9" s="26" t="s">
        <v>283</v>
      </c>
      <c r="G9" s="26" t="s">
        <v>479</v>
      </c>
      <c r="H9" s="27" t="n">
        <v>16</v>
      </c>
      <c r="I9" s="29" t="n">
        <v>3000</v>
      </c>
      <c r="J9" s="26" t="s">
        <v>301</v>
      </c>
      <c r="K9" s="26" t="s">
        <v>318</v>
      </c>
      <c r="L9" s="27" t="n">
        <v>3</v>
      </c>
      <c r="M9" s="26" t="s">
        <v>293</v>
      </c>
      <c r="N9" s="26" t="s">
        <v>320</v>
      </c>
      <c r="O9" s="26" t="s">
        <v>465</v>
      </c>
    </row>
    <row r="10" customFormat="false" ht="15" hidden="false" customHeight="false" outlineLevel="0" collapsed="false">
      <c r="A10" s="32" t="n">
        <v>46297</v>
      </c>
      <c r="B10" s="17" t="str">
        <f aca="false">IF(A10="","",IFERROR(INDEX(Calendario!$A$4:$A$107,MATCH(A10,Calendario!$B$4:$B$107,1)),""))</f>
        <v>2026-S40</v>
      </c>
      <c r="C10" s="17" t="str">
        <f aca="false">IF(A10="","",YEAR(A10)&amp;"-"&amp;TEXT(MONTH(A10),"00"))</f>
        <v>2026-10</v>
      </c>
      <c r="D10" s="26" t="s">
        <v>480</v>
      </c>
      <c r="E10" s="26" t="s">
        <v>290</v>
      </c>
      <c r="F10" s="26" t="s">
        <v>281</v>
      </c>
      <c r="G10" s="26" t="s">
        <v>476</v>
      </c>
      <c r="H10" s="27" t="n">
        <v>1</v>
      </c>
      <c r="I10" s="29" t="n">
        <v>150</v>
      </c>
      <c r="J10" s="26" t="s">
        <v>291</v>
      </c>
      <c r="K10" s="26" t="s">
        <v>292</v>
      </c>
      <c r="L10" s="27" t="n">
        <v>1</v>
      </c>
      <c r="M10" s="26" t="s">
        <v>293</v>
      </c>
      <c r="N10" s="26" t="s">
        <v>304</v>
      </c>
      <c r="O10" s="26" t="s">
        <v>465</v>
      </c>
    </row>
    <row r="11" customFormat="false" ht="15" hidden="false" customHeight="false" outlineLevel="0" collapsed="false">
      <c r="A11" s="32"/>
      <c r="B11" s="17" t="str">
        <f aca="false">IF(A11="","",IFERROR(INDEX(Calendario!$A$4:$A$107,MATCH(A11,Calendario!$B$4:$B$107,1)),""))</f>
        <v/>
      </c>
      <c r="C11" s="17" t="str">
        <f aca="false">IF(A11="","",YEAR(A11)&amp;"-"&amp;TEXT(MONTH(A11),"00"))</f>
        <v/>
      </c>
      <c r="D11" s="26"/>
      <c r="E11" s="26"/>
      <c r="F11" s="26"/>
      <c r="G11" s="26"/>
      <c r="H11" s="27"/>
      <c r="I11" s="29"/>
      <c r="J11" s="26"/>
      <c r="K11" s="26"/>
      <c r="L11" s="27"/>
      <c r="M11" s="26"/>
      <c r="N11" s="26"/>
      <c r="O11" s="26"/>
    </row>
    <row r="12" customFormat="false" ht="15" hidden="false" customHeight="false" outlineLevel="0" collapsed="false">
      <c r="A12" s="32"/>
      <c r="B12" s="17" t="str">
        <f aca="false">IF(A12="","",IFERROR(INDEX(Calendario!$A$4:$A$107,MATCH(A12,Calendario!$B$4:$B$107,1)),""))</f>
        <v/>
      </c>
      <c r="C12" s="17" t="str">
        <f aca="false">IF(A12="","",YEAR(A12)&amp;"-"&amp;TEXT(MONTH(A12),"00"))</f>
        <v/>
      </c>
      <c r="D12" s="26"/>
      <c r="E12" s="26"/>
      <c r="F12" s="26"/>
      <c r="G12" s="26"/>
      <c r="H12" s="27"/>
      <c r="I12" s="29"/>
      <c r="J12" s="26"/>
      <c r="K12" s="26"/>
      <c r="L12" s="27"/>
      <c r="M12" s="26"/>
      <c r="N12" s="26"/>
      <c r="O12" s="26"/>
    </row>
    <row r="13" customFormat="false" ht="15" hidden="false" customHeight="false" outlineLevel="0" collapsed="false">
      <c r="A13" s="32"/>
      <c r="B13" s="17" t="str">
        <f aca="false">IF(A13="","",IFERROR(INDEX(Calendario!$A$4:$A$107,MATCH(A13,Calendario!$B$4:$B$107,1)),""))</f>
        <v/>
      </c>
      <c r="C13" s="17" t="str">
        <f aca="false">IF(A13="","",YEAR(A13)&amp;"-"&amp;TEXT(MONTH(A13),"00"))</f>
        <v/>
      </c>
      <c r="D13" s="26"/>
      <c r="E13" s="26"/>
      <c r="F13" s="26"/>
      <c r="G13" s="26"/>
      <c r="H13" s="27"/>
      <c r="I13" s="29"/>
      <c r="J13" s="26"/>
      <c r="K13" s="26"/>
      <c r="L13" s="27"/>
      <c r="M13" s="26"/>
      <c r="N13" s="26"/>
      <c r="O13" s="26"/>
    </row>
    <row r="14" customFormat="false" ht="15" hidden="false" customHeight="false" outlineLevel="0" collapsed="false">
      <c r="A14" s="32"/>
      <c r="B14" s="17" t="str">
        <f aca="false">IF(A14="","",IFERROR(INDEX(Calendario!$A$4:$A$107,MATCH(A14,Calendario!$B$4:$B$107,1)),""))</f>
        <v/>
      </c>
      <c r="C14" s="17" t="str">
        <f aca="false">IF(A14="","",YEAR(A14)&amp;"-"&amp;TEXT(MONTH(A14),"00"))</f>
        <v/>
      </c>
      <c r="D14" s="26"/>
      <c r="E14" s="26"/>
      <c r="F14" s="26"/>
      <c r="G14" s="26"/>
      <c r="H14" s="27"/>
      <c r="I14" s="29"/>
      <c r="J14" s="26"/>
      <c r="K14" s="26"/>
      <c r="L14" s="27"/>
      <c r="M14" s="26"/>
      <c r="N14" s="26"/>
      <c r="O14" s="26"/>
    </row>
    <row r="15" customFormat="false" ht="15" hidden="false" customHeight="false" outlineLevel="0" collapsed="false">
      <c r="A15" s="32"/>
      <c r="B15" s="17" t="str">
        <f aca="false">IF(A15="","",IFERROR(INDEX(Calendario!$A$4:$A$107,MATCH(A15,Calendario!$B$4:$B$107,1)),""))</f>
        <v/>
      </c>
      <c r="C15" s="17" t="str">
        <f aca="false">IF(A15="","",YEAR(A15)&amp;"-"&amp;TEXT(MONTH(A15),"00"))</f>
        <v/>
      </c>
      <c r="D15" s="26"/>
      <c r="E15" s="26"/>
      <c r="F15" s="26"/>
      <c r="G15" s="26"/>
      <c r="H15" s="27"/>
      <c r="I15" s="29"/>
      <c r="J15" s="26"/>
      <c r="K15" s="26"/>
      <c r="L15" s="27"/>
      <c r="M15" s="26"/>
      <c r="N15" s="26"/>
      <c r="O15" s="26"/>
    </row>
    <row r="16" customFormat="false" ht="15" hidden="false" customHeight="false" outlineLevel="0" collapsed="false">
      <c r="A16" s="32"/>
      <c r="B16" s="17" t="str">
        <f aca="false">IF(A16="","",IFERROR(INDEX(Calendario!$A$4:$A$107,MATCH(A16,Calendario!$B$4:$B$107,1)),""))</f>
        <v/>
      </c>
      <c r="C16" s="17" t="str">
        <f aca="false">IF(A16="","",YEAR(A16)&amp;"-"&amp;TEXT(MONTH(A16),"00"))</f>
        <v/>
      </c>
      <c r="D16" s="26"/>
      <c r="E16" s="26"/>
      <c r="F16" s="26"/>
      <c r="G16" s="26"/>
      <c r="H16" s="27"/>
      <c r="I16" s="29"/>
      <c r="J16" s="26"/>
      <c r="K16" s="26"/>
      <c r="L16" s="27"/>
      <c r="M16" s="26"/>
      <c r="N16" s="26"/>
      <c r="O16" s="26"/>
    </row>
    <row r="17" customFormat="false" ht="15" hidden="false" customHeight="false" outlineLevel="0" collapsed="false">
      <c r="A17" s="32"/>
      <c r="B17" s="17" t="str">
        <f aca="false">IF(A17="","",IFERROR(INDEX(Calendario!$A$4:$A$107,MATCH(A17,Calendario!$B$4:$B$107,1)),""))</f>
        <v/>
      </c>
      <c r="C17" s="17" t="str">
        <f aca="false">IF(A17="","",YEAR(A17)&amp;"-"&amp;TEXT(MONTH(A17),"00"))</f>
        <v/>
      </c>
      <c r="D17" s="26"/>
      <c r="E17" s="26"/>
      <c r="F17" s="26"/>
      <c r="G17" s="26"/>
      <c r="H17" s="27"/>
      <c r="I17" s="29"/>
      <c r="J17" s="26"/>
      <c r="K17" s="26"/>
      <c r="L17" s="27"/>
      <c r="M17" s="26"/>
      <c r="N17" s="26"/>
      <c r="O17" s="26"/>
    </row>
    <row r="18" customFormat="false" ht="15" hidden="false" customHeight="false" outlineLevel="0" collapsed="false">
      <c r="A18" s="32"/>
      <c r="B18" s="17" t="str">
        <f aca="false">IF(A18="","",IFERROR(INDEX(Calendario!$A$4:$A$107,MATCH(A18,Calendario!$B$4:$B$107,1)),""))</f>
        <v/>
      </c>
      <c r="C18" s="17" t="str">
        <f aca="false">IF(A18="","",YEAR(A18)&amp;"-"&amp;TEXT(MONTH(A18),"00"))</f>
        <v/>
      </c>
      <c r="D18" s="26"/>
      <c r="E18" s="26"/>
      <c r="F18" s="26"/>
      <c r="G18" s="26"/>
      <c r="H18" s="27"/>
      <c r="I18" s="29"/>
      <c r="J18" s="26"/>
      <c r="K18" s="26"/>
      <c r="L18" s="27"/>
      <c r="M18" s="26"/>
      <c r="N18" s="26"/>
      <c r="O18" s="26"/>
    </row>
    <row r="19" customFormat="false" ht="15" hidden="false" customHeight="false" outlineLevel="0" collapsed="false">
      <c r="A19" s="32"/>
      <c r="B19" s="17" t="str">
        <f aca="false">IF(A19="","",IFERROR(INDEX(Calendario!$A$4:$A$107,MATCH(A19,Calendario!$B$4:$B$107,1)),""))</f>
        <v/>
      </c>
      <c r="C19" s="17" t="str">
        <f aca="false">IF(A19="","",YEAR(A19)&amp;"-"&amp;TEXT(MONTH(A19),"00"))</f>
        <v/>
      </c>
      <c r="D19" s="26"/>
      <c r="E19" s="26"/>
      <c r="F19" s="26"/>
      <c r="G19" s="26"/>
      <c r="H19" s="27"/>
      <c r="I19" s="29"/>
      <c r="J19" s="26"/>
      <c r="K19" s="26"/>
      <c r="L19" s="27"/>
      <c r="M19" s="26"/>
      <c r="N19" s="26"/>
      <c r="O19" s="26"/>
    </row>
    <row r="20" customFormat="false" ht="15" hidden="false" customHeight="false" outlineLevel="0" collapsed="false">
      <c r="A20" s="32"/>
      <c r="B20" s="17" t="str">
        <f aca="false">IF(A20="","",IFERROR(INDEX(Calendario!$A$4:$A$107,MATCH(A20,Calendario!$B$4:$B$107,1)),""))</f>
        <v/>
      </c>
      <c r="C20" s="17" t="str">
        <f aca="false">IF(A20="","",YEAR(A20)&amp;"-"&amp;TEXT(MONTH(A20),"00"))</f>
        <v/>
      </c>
      <c r="D20" s="26"/>
      <c r="E20" s="26"/>
      <c r="F20" s="26"/>
      <c r="G20" s="26"/>
      <c r="H20" s="27"/>
      <c r="I20" s="29"/>
      <c r="J20" s="26"/>
      <c r="K20" s="26"/>
      <c r="L20" s="27"/>
      <c r="M20" s="26"/>
      <c r="N20" s="26"/>
      <c r="O20" s="26"/>
    </row>
    <row r="21" customFormat="false" ht="15" hidden="false" customHeight="false" outlineLevel="0" collapsed="false">
      <c r="A21" s="32"/>
      <c r="B21" s="17" t="str">
        <f aca="false">IF(A21="","",IFERROR(INDEX(Calendario!$A$4:$A$107,MATCH(A21,Calendario!$B$4:$B$107,1)),""))</f>
        <v/>
      </c>
      <c r="C21" s="17" t="str">
        <f aca="false">IF(A21="","",YEAR(A21)&amp;"-"&amp;TEXT(MONTH(A21),"00"))</f>
        <v/>
      </c>
      <c r="D21" s="26"/>
      <c r="E21" s="26"/>
      <c r="F21" s="26"/>
      <c r="G21" s="26"/>
      <c r="H21" s="27"/>
      <c r="I21" s="29"/>
      <c r="J21" s="26"/>
      <c r="K21" s="26"/>
      <c r="L21" s="27"/>
      <c r="M21" s="26"/>
      <c r="N21" s="26"/>
      <c r="O21" s="26"/>
    </row>
    <row r="22" customFormat="false" ht="15" hidden="false" customHeight="false" outlineLevel="0" collapsed="false">
      <c r="A22" s="32"/>
      <c r="B22" s="17" t="str">
        <f aca="false">IF(A22="","",IFERROR(INDEX(Calendario!$A$4:$A$107,MATCH(A22,Calendario!$B$4:$B$107,1)),""))</f>
        <v/>
      </c>
      <c r="C22" s="17" t="str">
        <f aca="false">IF(A22="","",YEAR(A22)&amp;"-"&amp;TEXT(MONTH(A22),"00"))</f>
        <v/>
      </c>
      <c r="D22" s="26"/>
      <c r="E22" s="26"/>
      <c r="F22" s="26"/>
      <c r="G22" s="26"/>
      <c r="H22" s="27"/>
      <c r="I22" s="29"/>
      <c r="J22" s="26"/>
      <c r="K22" s="26"/>
      <c r="L22" s="27"/>
      <c r="M22" s="26"/>
      <c r="N22" s="26"/>
      <c r="O22" s="26"/>
    </row>
    <row r="23" customFormat="false" ht="15" hidden="false" customHeight="false" outlineLevel="0" collapsed="false">
      <c r="A23" s="32"/>
      <c r="B23" s="17" t="str">
        <f aca="false">IF(A23="","",IFERROR(INDEX(Calendario!$A$4:$A$107,MATCH(A23,Calendario!$B$4:$B$107,1)),""))</f>
        <v/>
      </c>
      <c r="C23" s="17" t="str">
        <f aca="false">IF(A23="","",YEAR(A23)&amp;"-"&amp;TEXT(MONTH(A23),"00"))</f>
        <v/>
      </c>
      <c r="D23" s="26"/>
      <c r="E23" s="26"/>
      <c r="F23" s="26"/>
      <c r="G23" s="26"/>
      <c r="H23" s="27"/>
      <c r="I23" s="29"/>
      <c r="J23" s="26"/>
      <c r="K23" s="26"/>
      <c r="L23" s="27"/>
      <c r="M23" s="26"/>
      <c r="N23" s="26"/>
      <c r="O23" s="26"/>
    </row>
    <row r="24" customFormat="false" ht="15" hidden="false" customHeight="false" outlineLevel="0" collapsed="false">
      <c r="A24" s="32"/>
      <c r="B24" s="17" t="str">
        <f aca="false">IF(A24="","",IFERROR(INDEX(Calendario!$A$4:$A$107,MATCH(A24,Calendario!$B$4:$B$107,1)),""))</f>
        <v/>
      </c>
      <c r="C24" s="17" t="str">
        <f aca="false">IF(A24="","",YEAR(A24)&amp;"-"&amp;TEXT(MONTH(A24),"00"))</f>
        <v/>
      </c>
      <c r="D24" s="26"/>
      <c r="E24" s="26"/>
      <c r="F24" s="26"/>
      <c r="G24" s="26"/>
      <c r="H24" s="27"/>
      <c r="I24" s="29"/>
      <c r="J24" s="26"/>
      <c r="K24" s="26"/>
      <c r="L24" s="27"/>
      <c r="M24" s="26"/>
      <c r="N24" s="26"/>
      <c r="O24" s="26"/>
    </row>
    <row r="25" customFormat="false" ht="15" hidden="false" customHeight="false" outlineLevel="0" collapsed="false">
      <c r="A25" s="32"/>
      <c r="B25" s="17" t="str">
        <f aca="false">IF(A25="","",IFERROR(INDEX(Calendario!$A$4:$A$107,MATCH(A25,Calendario!$B$4:$B$107,1)),""))</f>
        <v/>
      </c>
      <c r="C25" s="17" t="str">
        <f aca="false">IF(A25="","",YEAR(A25)&amp;"-"&amp;TEXT(MONTH(A25),"00"))</f>
        <v/>
      </c>
      <c r="D25" s="26"/>
      <c r="E25" s="26"/>
      <c r="F25" s="26"/>
      <c r="G25" s="26"/>
      <c r="H25" s="27"/>
      <c r="I25" s="29"/>
      <c r="J25" s="26"/>
      <c r="K25" s="26"/>
      <c r="L25" s="27"/>
      <c r="M25" s="26"/>
      <c r="N25" s="26"/>
      <c r="O25" s="26"/>
    </row>
    <row r="26" customFormat="false" ht="15" hidden="false" customHeight="false" outlineLevel="0" collapsed="false">
      <c r="A26" s="32"/>
      <c r="B26" s="17" t="str">
        <f aca="false">IF(A26="","",IFERROR(INDEX(Calendario!$A$4:$A$107,MATCH(A26,Calendario!$B$4:$B$107,1)),""))</f>
        <v/>
      </c>
      <c r="C26" s="17" t="str">
        <f aca="false">IF(A26="","",YEAR(A26)&amp;"-"&amp;TEXT(MONTH(A26),"00"))</f>
        <v/>
      </c>
      <c r="D26" s="26"/>
      <c r="E26" s="26"/>
      <c r="F26" s="26"/>
      <c r="G26" s="26"/>
      <c r="H26" s="27"/>
      <c r="I26" s="29"/>
      <c r="J26" s="26"/>
      <c r="K26" s="26"/>
      <c r="L26" s="27"/>
      <c r="M26" s="26"/>
      <c r="N26" s="26"/>
      <c r="O26" s="26"/>
    </row>
    <row r="27" customFormat="false" ht="15" hidden="false" customHeight="false" outlineLevel="0" collapsed="false">
      <c r="A27" s="32"/>
      <c r="B27" s="17" t="str">
        <f aca="false">IF(A27="","",IFERROR(INDEX(Calendario!$A$4:$A$107,MATCH(A27,Calendario!$B$4:$B$107,1)),""))</f>
        <v/>
      </c>
      <c r="C27" s="17" t="str">
        <f aca="false">IF(A27="","",YEAR(A27)&amp;"-"&amp;TEXT(MONTH(A27),"00"))</f>
        <v/>
      </c>
      <c r="D27" s="26"/>
      <c r="E27" s="26"/>
      <c r="F27" s="26"/>
      <c r="G27" s="26"/>
      <c r="H27" s="27"/>
      <c r="I27" s="29"/>
      <c r="J27" s="26"/>
      <c r="K27" s="26"/>
      <c r="L27" s="27"/>
      <c r="M27" s="26"/>
      <c r="N27" s="26"/>
      <c r="O27" s="26"/>
    </row>
    <row r="28" customFormat="false" ht="15" hidden="false" customHeight="false" outlineLevel="0" collapsed="false">
      <c r="A28" s="32"/>
      <c r="B28" s="17" t="str">
        <f aca="false">IF(A28="","",IFERROR(INDEX(Calendario!$A$4:$A$107,MATCH(A28,Calendario!$B$4:$B$107,1)),""))</f>
        <v/>
      </c>
      <c r="C28" s="17" t="str">
        <f aca="false">IF(A28="","",YEAR(A28)&amp;"-"&amp;TEXT(MONTH(A28),"00"))</f>
        <v/>
      </c>
      <c r="D28" s="26"/>
      <c r="E28" s="26"/>
      <c r="F28" s="26"/>
      <c r="G28" s="26"/>
      <c r="H28" s="27"/>
      <c r="I28" s="29"/>
      <c r="J28" s="26"/>
      <c r="K28" s="26"/>
      <c r="L28" s="27"/>
      <c r="M28" s="26"/>
      <c r="N28" s="26"/>
      <c r="O28" s="26"/>
    </row>
    <row r="29" customFormat="false" ht="15" hidden="false" customHeight="false" outlineLevel="0" collapsed="false">
      <c r="A29" s="32"/>
      <c r="B29" s="17" t="str">
        <f aca="false">IF(A29="","",IFERROR(INDEX(Calendario!$A$4:$A$107,MATCH(A29,Calendario!$B$4:$B$107,1)),""))</f>
        <v/>
      </c>
      <c r="C29" s="17" t="str">
        <f aca="false">IF(A29="","",YEAR(A29)&amp;"-"&amp;TEXT(MONTH(A29),"00"))</f>
        <v/>
      </c>
      <c r="D29" s="26"/>
      <c r="E29" s="26"/>
      <c r="F29" s="26"/>
      <c r="G29" s="26"/>
      <c r="H29" s="27"/>
      <c r="I29" s="29"/>
      <c r="J29" s="26"/>
      <c r="K29" s="26"/>
      <c r="L29" s="27"/>
      <c r="M29" s="26"/>
      <c r="N29" s="26"/>
      <c r="O29" s="26"/>
    </row>
    <row r="30" customFormat="false" ht="15" hidden="false" customHeight="false" outlineLevel="0" collapsed="false">
      <c r="A30" s="32"/>
      <c r="B30" s="17" t="str">
        <f aca="false">IF(A30="","",IFERROR(INDEX(Calendario!$A$4:$A$107,MATCH(A30,Calendario!$B$4:$B$107,1)),""))</f>
        <v/>
      </c>
      <c r="C30" s="17" t="str">
        <f aca="false">IF(A30="","",YEAR(A30)&amp;"-"&amp;TEXT(MONTH(A30),"00"))</f>
        <v/>
      </c>
      <c r="D30" s="26"/>
      <c r="E30" s="26"/>
      <c r="F30" s="26"/>
      <c r="G30" s="26"/>
      <c r="H30" s="27"/>
      <c r="I30" s="29"/>
      <c r="J30" s="26"/>
      <c r="K30" s="26"/>
      <c r="L30" s="27"/>
      <c r="M30" s="26"/>
      <c r="N30" s="26"/>
      <c r="O30" s="26"/>
    </row>
    <row r="31" customFormat="false" ht="15" hidden="false" customHeight="false" outlineLevel="0" collapsed="false">
      <c r="A31" s="32"/>
      <c r="B31" s="17" t="str">
        <f aca="false">IF(A31="","",IFERROR(INDEX(Calendario!$A$4:$A$107,MATCH(A31,Calendario!$B$4:$B$107,1)),""))</f>
        <v/>
      </c>
      <c r="C31" s="17" t="str">
        <f aca="false">IF(A31="","",YEAR(A31)&amp;"-"&amp;TEXT(MONTH(A31),"00"))</f>
        <v/>
      </c>
      <c r="D31" s="26"/>
      <c r="E31" s="26"/>
      <c r="F31" s="26"/>
      <c r="G31" s="26"/>
      <c r="H31" s="27"/>
      <c r="I31" s="29"/>
      <c r="J31" s="26"/>
      <c r="K31" s="26"/>
      <c r="L31" s="27"/>
      <c r="M31" s="26"/>
      <c r="N31" s="26"/>
      <c r="O31" s="26"/>
    </row>
    <row r="32" customFormat="false" ht="15" hidden="false" customHeight="false" outlineLevel="0" collapsed="false">
      <c r="A32" s="32"/>
      <c r="B32" s="17" t="str">
        <f aca="false">IF(A32="","",IFERROR(INDEX(Calendario!$A$4:$A$107,MATCH(A32,Calendario!$B$4:$B$107,1)),""))</f>
        <v/>
      </c>
      <c r="C32" s="17" t="str">
        <f aca="false">IF(A32="","",YEAR(A32)&amp;"-"&amp;TEXT(MONTH(A32),"00"))</f>
        <v/>
      </c>
      <c r="D32" s="26"/>
      <c r="E32" s="26"/>
      <c r="F32" s="26"/>
      <c r="G32" s="26"/>
      <c r="H32" s="27"/>
      <c r="I32" s="29"/>
      <c r="J32" s="26"/>
      <c r="K32" s="26"/>
      <c r="L32" s="27"/>
      <c r="M32" s="26"/>
      <c r="N32" s="26"/>
      <c r="O32" s="26"/>
    </row>
    <row r="33" customFormat="false" ht="15" hidden="false" customHeight="false" outlineLevel="0" collapsed="false">
      <c r="A33" s="32"/>
      <c r="B33" s="17" t="str">
        <f aca="false">IF(A33="","",IFERROR(INDEX(Calendario!$A$4:$A$107,MATCH(A33,Calendario!$B$4:$B$107,1)),""))</f>
        <v/>
      </c>
      <c r="C33" s="17" t="str">
        <f aca="false">IF(A33="","",YEAR(A33)&amp;"-"&amp;TEXT(MONTH(A33),"00"))</f>
        <v/>
      </c>
      <c r="D33" s="26"/>
      <c r="E33" s="26"/>
      <c r="F33" s="26"/>
      <c r="G33" s="26"/>
      <c r="H33" s="27"/>
      <c r="I33" s="29"/>
      <c r="J33" s="26"/>
      <c r="K33" s="26"/>
      <c r="L33" s="27"/>
      <c r="M33" s="26"/>
      <c r="N33" s="26"/>
      <c r="O33" s="26"/>
    </row>
    <row r="34" customFormat="false" ht="15" hidden="false" customHeight="false" outlineLevel="0" collapsed="false">
      <c r="A34" s="32"/>
      <c r="B34" s="17" t="str">
        <f aca="false">IF(A34="","",IFERROR(INDEX(Calendario!$A$4:$A$107,MATCH(A34,Calendario!$B$4:$B$107,1)),""))</f>
        <v/>
      </c>
      <c r="C34" s="17" t="str">
        <f aca="false">IF(A34="","",YEAR(A34)&amp;"-"&amp;TEXT(MONTH(A34),"00"))</f>
        <v/>
      </c>
      <c r="D34" s="26"/>
      <c r="E34" s="26"/>
      <c r="F34" s="26"/>
      <c r="G34" s="26"/>
      <c r="H34" s="27"/>
      <c r="I34" s="29"/>
      <c r="J34" s="26"/>
      <c r="K34" s="26"/>
      <c r="L34" s="27"/>
      <c r="M34" s="26"/>
      <c r="N34" s="26"/>
      <c r="O34" s="26"/>
    </row>
    <row r="35" customFormat="false" ht="15" hidden="false" customHeight="false" outlineLevel="0" collapsed="false">
      <c r="A35" s="32"/>
      <c r="B35" s="17" t="str">
        <f aca="false">IF(A35="","",IFERROR(INDEX(Calendario!$A$4:$A$107,MATCH(A35,Calendario!$B$4:$B$107,1)),""))</f>
        <v/>
      </c>
      <c r="C35" s="17" t="str">
        <f aca="false">IF(A35="","",YEAR(A35)&amp;"-"&amp;TEXT(MONTH(A35),"00"))</f>
        <v/>
      </c>
      <c r="D35" s="26"/>
      <c r="E35" s="26"/>
      <c r="F35" s="26"/>
      <c r="G35" s="26"/>
      <c r="H35" s="27"/>
      <c r="I35" s="29"/>
      <c r="J35" s="26"/>
      <c r="K35" s="26"/>
      <c r="L35" s="27"/>
      <c r="M35" s="26"/>
      <c r="N35" s="26"/>
      <c r="O35" s="26"/>
    </row>
    <row r="36" customFormat="false" ht="15" hidden="false" customHeight="false" outlineLevel="0" collapsed="false">
      <c r="A36" s="32"/>
      <c r="B36" s="17" t="str">
        <f aca="false">IF(A36="","",IFERROR(INDEX(Calendario!$A$4:$A$107,MATCH(A36,Calendario!$B$4:$B$107,1)),""))</f>
        <v/>
      </c>
      <c r="C36" s="17" t="str">
        <f aca="false">IF(A36="","",YEAR(A36)&amp;"-"&amp;TEXT(MONTH(A36),"00"))</f>
        <v/>
      </c>
      <c r="D36" s="26"/>
      <c r="E36" s="26"/>
      <c r="F36" s="26"/>
      <c r="G36" s="26"/>
      <c r="H36" s="27"/>
      <c r="I36" s="29"/>
      <c r="J36" s="26"/>
      <c r="K36" s="26"/>
      <c r="L36" s="27"/>
      <c r="M36" s="26"/>
      <c r="N36" s="26"/>
      <c r="O36" s="26"/>
    </row>
    <row r="37" customFormat="false" ht="15" hidden="false" customHeight="false" outlineLevel="0" collapsed="false">
      <c r="A37" s="32"/>
      <c r="B37" s="17" t="str">
        <f aca="false">IF(A37="","",IFERROR(INDEX(Calendario!$A$4:$A$107,MATCH(A37,Calendario!$B$4:$B$107,1)),""))</f>
        <v/>
      </c>
      <c r="C37" s="17" t="str">
        <f aca="false">IF(A37="","",YEAR(A37)&amp;"-"&amp;TEXT(MONTH(A37),"00"))</f>
        <v/>
      </c>
      <c r="D37" s="26"/>
      <c r="E37" s="26"/>
      <c r="F37" s="26"/>
      <c r="G37" s="26"/>
      <c r="H37" s="27"/>
      <c r="I37" s="29"/>
      <c r="J37" s="26"/>
      <c r="K37" s="26"/>
      <c r="L37" s="27"/>
      <c r="M37" s="26"/>
      <c r="N37" s="26"/>
      <c r="O37" s="26"/>
    </row>
    <row r="38" customFormat="false" ht="15" hidden="false" customHeight="false" outlineLevel="0" collapsed="false">
      <c r="A38" s="32"/>
      <c r="B38" s="17" t="str">
        <f aca="false">IF(A38="","",IFERROR(INDEX(Calendario!$A$4:$A$107,MATCH(A38,Calendario!$B$4:$B$107,1)),""))</f>
        <v/>
      </c>
      <c r="C38" s="17" t="str">
        <f aca="false">IF(A38="","",YEAR(A38)&amp;"-"&amp;TEXT(MONTH(A38),"00"))</f>
        <v/>
      </c>
      <c r="D38" s="26"/>
      <c r="E38" s="26"/>
      <c r="F38" s="26"/>
      <c r="G38" s="26"/>
      <c r="H38" s="27"/>
      <c r="I38" s="29"/>
      <c r="J38" s="26"/>
      <c r="K38" s="26"/>
      <c r="L38" s="27"/>
      <c r="M38" s="26"/>
      <c r="N38" s="26"/>
      <c r="O38" s="26"/>
    </row>
    <row r="39" customFormat="false" ht="15" hidden="false" customHeight="false" outlineLevel="0" collapsed="false">
      <c r="A39" s="32"/>
      <c r="B39" s="17" t="str">
        <f aca="false">IF(A39="","",IFERROR(INDEX(Calendario!$A$4:$A$107,MATCH(A39,Calendario!$B$4:$B$107,1)),""))</f>
        <v/>
      </c>
      <c r="C39" s="17" t="str">
        <f aca="false">IF(A39="","",YEAR(A39)&amp;"-"&amp;TEXT(MONTH(A39),"00"))</f>
        <v/>
      </c>
      <c r="D39" s="26"/>
      <c r="E39" s="26"/>
      <c r="F39" s="26"/>
      <c r="G39" s="26"/>
      <c r="H39" s="27"/>
      <c r="I39" s="29"/>
      <c r="J39" s="26"/>
      <c r="K39" s="26"/>
      <c r="L39" s="27"/>
      <c r="M39" s="26"/>
      <c r="N39" s="26"/>
      <c r="O39" s="26"/>
    </row>
    <row r="40" customFormat="false" ht="15" hidden="false" customHeight="false" outlineLevel="0" collapsed="false">
      <c r="A40" s="32"/>
      <c r="B40" s="17" t="str">
        <f aca="false">IF(A40="","",IFERROR(INDEX(Calendario!$A$4:$A$107,MATCH(A40,Calendario!$B$4:$B$107,1)),""))</f>
        <v/>
      </c>
      <c r="C40" s="17" t="str">
        <f aca="false">IF(A40="","",YEAR(A40)&amp;"-"&amp;TEXT(MONTH(A40),"00"))</f>
        <v/>
      </c>
      <c r="D40" s="26"/>
      <c r="E40" s="26"/>
      <c r="F40" s="26"/>
      <c r="G40" s="26"/>
      <c r="H40" s="27"/>
      <c r="I40" s="29"/>
      <c r="J40" s="26"/>
      <c r="K40" s="26"/>
      <c r="L40" s="27"/>
      <c r="M40" s="26"/>
      <c r="N40" s="26"/>
      <c r="O40" s="26"/>
    </row>
    <row r="41" customFormat="false" ht="15" hidden="false" customHeight="false" outlineLevel="0" collapsed="false">
      <c r="A41" s="32"/>
      <c r="B41" s="17" t="str">
        <f aca="false">IF(A41="","",IFERROR(INDEX(Calendario!$A$4:$A$107,MATCH(A41,Calendario!$B$4:$B$107,1)),""))</f>
        <v/>
      </c>
      <c r="C41" s="17" t="str">
        <f aca="false">IF(A41="","",YEAR(A41)&amp;"-"&amp;TEXT(MONTH(A41),"00"))</f>
        <v/>
      </c>
      <c r="D41" s="26"/>
      <c r="E41" s="26"/>
      <c r="F41" s="26"/>
      <c r="G41" s="26"/>
      <c r="H41" s="27"/>
      <c r="I41" s="29"/>
      <c r="J41" s="26"/>
      <c r="K41" s="26"/>
      <c r="L41" s="27"/>
      <c r="M41" s="26"/>
      <c r="N41" s="26"/>
      <c r="O41" s="26"/>
    </row>
    <row r="42" customFormat="false" ht="15" hidden="false" customHeight="false" outlineLevel="0" collapsed="false">
      <c r="A42" s="32"/>
      <c r="B42" s="17" t="str">
        <f aca="false">IF(A42="","",IFERROR(INDEX(Calendario!$A$4:$A$107,MATCH(A42,Calendario!$B$4:$B$107,1)),""))</f>
        <v/>
      </c>
      <c r="C42" s="17" t="str">
        <f aca="false">IF(A42="","",YEAR(A42)&amp;"-"&amp;TEXT(MONTH(A42),"00"))</f>
        <v/>
      </c>
      <c r="D42" s="26"/>
      <c r="E42" s="26"/>
      <c r="F42" s="26"/>
      <c r="G42" s="26"/>
      <c r="H42" s="27"/>
      <c r="I42" s="29"/>
      <c r="J42" s="26"/>
      <c r="K42" s="26"/>
      <c r="L42" s="27"/>
      <c r="M42" s="26"/>
      <c r="N42" s="26"/>
      <c r="O42" s="26"/>
    </row>
    <row r="43" customFormat="false" ht="15" hidden="false" customHeight="false" outlineLevel="0" collapsed="false">
      <c r="A43" s="32"/>
      <c r="B43" s="17" t="str">
        <f aca="false">IF(A43="","",IFERROR(INDEX(Calendario!$A$4:$A$107,MATCH(A43,Calendario!$B$4:$B$107,1)),""))</f>
        <v/>
      </c>
      <c r="C43" s="17" t="str">
        <f aca="false">IF(A43="","",YEAR(A43)&amp;"-"&amp;TEXT(MONTH(A43),"00"))</f>
        <v/>
      </c>
      <c r="D43" s="26"/>
      <c r="E43" s="26"/>
      <c r="F43" s="26"/>
      <c r="G43" s="26"/>
      <c r="H43" s="27"/>
      <c r="I43" s="29"/>
      <c r="J43" s="26"/>
      <c r="K43" s="26"/>
      <c r="L43" s="27"/>
      <c r="M43" s="26"/>
      <c r="N43" s="26"/>
      <c r="O43" s="26"/>
    </row>
    <row r="44" customFormat="false" ht="15" hidden="false" customHeight="false" outlineLevel="0" collapsed="false">
      <c r="A44" s="32"/>
      <c r="B44" s="17" t="str">
        <f aca="false">IF(A44="","",IFERROR(INDEX(Calendario!$A$4:$A$107,MATCH(A44,Calendario!$B$4:$B$107,1)),""))</f>
        <v/>
      </c>
      <c r="C44" s="17" t="str">
        <f aca="false">IF(A44="","",YEAR(A44)&amp;"-"&amp;TEXT(MONTH(A44),"00"))</f>
        <v/>
      </c>
      <c r="D44" s="26"/>
      <c r="E44" s="26"/>
      <c r="F44" s="26"/>
      <c r="G44" s="26"/>
      <c r="H44" s="27"/>
      <c r="I44" s="29"/>
      <c r="J44" s="26"/>
      <c r="K44" s="26"/>
      <c r="L44" s="27"/>
      <c r="M44" s="26"/>
      <c r="N44" s="26"/>
      <c r="O44" s="26"/>
    </row>
    <row r="45" customFormat="false" ht="15" hidden="false" customHeight="false" outlineLevel="0" collapsed="false">
      <c r="A45" s="32"/>
      <c r="B45" s="17" t="str">
        <f aca="false">IF(A45="","",IFERROR(INDEX(Calendario!$A$4:$A$107,MATCH(A45,Calendario!$B$4:$B$107,1)),""))</f>
        <v/>
      </c>
      <c r="C45" s="17" t="str">
        <f aca="false">IF(A45="","",YEAR(A45)&amp;"-"&amp;TEXT(MONTH(A45),"00"))</f>
        <v/>
      </c>
      <c r="D45" s="26"/>
      <c r="E45" s="26"/>
      <c r="F45" s="26"/>
      <c r="G45" s="26"/>
      <c r="H45" s="27"/>
      <c r="I45" s="29"/>
      <c r="J45" s="26"/>
      <c r="K45" s="26"/>
      <c r="L45" s="27"/>
      <c r="M45" s="26"/>
      <c r="N45" s="26"/>
      <c r="O45" s="26"/>
    </row>
    <row r="46" customFormat="false" ht="15" hidden="false" customHeight="false" outlineLevel="0" collapsed="false">
      <c r="A46" s="32"/>
      <c r="B46" s="17" t="str">
        <f aca="false">IF(A46="","",IFERROR(INDEX(Calendario!$A$4:$A$107,MATCH(A46,Calendario!$B$4:$B$107,1)),""))</f>
        <v/>
      </c>
      <c r="C46" s="17" t="str">
        <f aca="false">IF(A46="","",YEAR(A46)&amp;"-"&amp;TEXT(MONTH(A46),"00"))</f>
        <v/>
      </c>
      <c r="D46" s="26"/>
      <c r="E46" s="26"/>
      <c r="F46" s="26"/>
      <c r="G46" s="26"/>
      <c r="H46" s="27"/>
      <c r="I46" s="29"/>
      <c r="J46" s="26"/>
      <c r="K46" s="26"/>
      <c r="L46" s="27"/>
      <c r="M46" s="26"/>
      <c r="N46" s="26"/>
      <c r="O46" s="26"/>
    </row>
    <row r="47" customFormat="false" ht="15" hidden="false" customHeight="false" outlineLevel="0" collapsed="false">
      <c r="A47" s="32"/>
      <c r="B47" s="17" t="str">
        <f aca="false">IF(A47="","",IFERROR(INDEX(Calendario!$A$4:$A$107,MATCH(A47,Calendario!$B$4:$B$107,1)),""))</f>
        <v/>
      </c>
      <c r="C47" s="17" t="str">
        <f aca="false">IF(A47="","",YEAR(A47)&amp;"-"&amp;TEXT(MONTH(A47),"00"))</f>
        <v/>
      </c>
      <c r="D47" s="26"/>
      <c r="E47" s="26"/>
      <c r="F47" s="26"/>
      <c r="G47" s="26"/>
      <c r="H47" s="27"/>
      <c r="I47" s="29"/>
      <c r="J47" s="26"/>
      <c r="K47" s="26"/>
      <c r="L47" s="27"/>
      <c r="M47" s="26"/>
      <c r="N47" s="26"/>
      <c r="O47" s="26"/>
    </row>
    <row r="48" customFormat="false" ht="15" hidden="false" customHeight="false" outlineLevel="0" collapsed="false">
      <c r="A48" s="32"/>
      <c r="B48" s="17" t="str">
        <f aca="false">IF(A48="","",IFERROR(INDEX(Calendario!$A$4:$A$107,MATCH(A48,Calendario!$B$4:$B$107,1)),""))</f>
        <v/>
      </c>
      <c r="C48" s="17" t="str">
        <f aca="false">IF(A48="","",YEAR(A48)&amp;"-"&amp;TEXT(MONTH(A48),"00"))</f>
        <v/>
      </c>
      <c r="D48" s="26"/>
      <c r="E48" s="26"/>
      <c r="F48" s="26"/>
      <c r="G48" s="26"/>
      <c r="H48" s="27"/>
      <c r="I48" s="29"/>
      <c r="J48" s="26"/>
      <c r="K48" s="26"/>
      <c r="L48" s="27"/>
      <c r="M48" s="26"/>
      <c r="N48" s="26"/>
      <c r="O48" s="26"/>
    </row>
    <row r="49" customFormat="false" ht="15" hidden="false" customHeight="false" outlineLevel="0" collapsed="false">
      <c r="A49" s="32"/>
      <c r="B49" s="17" t="str">
        <f aca="false">IF(A49="","",IFERROR(INDEX(Calendario!$A$4:$A$107,MATCH(A49,Calendario!$B$4:$B$107,1)),""))</f>
        <v/>
      </c>
      <c r="C49" s="17" t="str">
        <f aca="false">IF(A49="","",YEAR(A49)&amp;"-"&amp;TEXT(MONTH(A49),"00"))</f>
        <v/>
      </c>
      <c r="D49" s="26"/>
      <c r="E49" s="26"/>
      <c r="F49" s="26"/>
      <c r="G49" s="26"/>
      <c r="H49" s="27"/>
      <c r="I49" s="29"/>
      <c r="J49" s="26"/>
      <c r="K49" s="26"/>
      <c r="L49" s="27"/>
      <c r="M49" s="26"/>
      <c r="N49" s="26"/>
      <c r="O49" s="26"/>
    </row>
    <row r="50" customFormat="false" ht="15" hidden="false" customHeight="false" outlineLevel="0" collapsed="false">
      <c r="A50" s="32"/>
      <c r="B50" s="17" t="str">
        <f aca="false">IF(A50="","",IFERROR(INDEX(Calendario!$A$4:$A$107,MATCH(A50,Calendario!$B$4:$B$107,1)),""))</f>
        <v/>
      </c>
      <c r="C50" s="17" t="str">
        <f aca="false">IF(A50="","",YEAR(A50)&amp;"-"&amp;TEXT(MONTH(A50),"00"))</f>
        <v/>
      </c>
      <c r="D50" s="26"/>
      <c r="E50" s="26"/>
      <c r="F50" s="26"/>
      <c r="G50" s="26"/>
      <c r="H50" s="27"/>
      <c r="I50" s="29"/>
      <c r="J50" s="26"/>
      <c r="K50" s="26"/>
      <c r="L50" s="27"/>
      <c r="M50" s="26"/>
      <c r="N50" s="26"/>
      <c r="O50" s="26"/>
    </row>
    <row r="51" customFormat="false" ht="15" hidden="false" customHeight="false" outlineLevel="0" collapsed="false">
      <c r="A51" s="32"/>
      <c r="B51" s="17" t="str">
        <f aca="false">IF(A51="","",IFERROR(INDEX(Calendario!$A$4:$A$107,MATCH(A51,Calendario!$B$4:$B$107,1)),""))</f>
        <v/>
      </c>
      <c r="C51" s="17" t="str">
        <f aca="false">IF(A51="","",YEAR(A51)&amp;"-"&amp;TEXT(MONTH(A51),"00"))</f>
        <v/>
      </c>
      <c r="D51" s="26"/>
      <c r="E51" s="26"/>
      <c r="F51" s="26"/>
      <c r="G51" s="26"/>
      <c r="H51" s="27"/>
      <c r="I51" s="29"/>
      <c r="J51" s="26"/>
      <c r="K51" s="26"/>
      <c r="L51" s="27"/>
      <c r="M51" s="26"/>
      <c r="N51" s="26"/>
      <c r="O51" s="26"/>
    </row>
    <row r="52" customFormat="false" ht="15" hidden="false" customHeight="false" outlineLevel="0" collapsed="false">
      <c r="A52" s="32"/>
      <c r="B52" s="17" t="str">
        <f aca="false">IF(A52="","",IFERROR(INDEX(Calendario!$A$4:$A$107,MATCH(A52,Calendario!$B$4:$B$107,1)),""))</f>
        <v/>
      </c>
      <c r="C52" s="17" t="str">
        <f aca="false">IF(A52="","",YEAR(A52)&amp;"-"&amp;TEXT(MONTH(A52),"00"))</f>
        <v/>
      </c>
      <c r="D52" s="26"/>
      <c r="E52" s="26"/>
      <c r="F52" s="26"/>
      <c r="G52" s="26"/>
      <c r="H52" s="27"/>
      <c r="I52" s="29"/>
      <c r="J52" s="26"/>
      <c r="K52" s="26"/>
      <c r="L52" s="27"/>
      <c r="M52" s="26"/>
      <c r="N52" s="26"/>
      <c r="O52" s="26"/>
    </row>
    <row r="53" customFormat="false" ht="15" hidden="false" customHeight="false" outlineLevel="0" collapsed="false">
      <c r="A53" s="32"/>
      <c r="B53" s="17" t="str">
        <f aca="false">IF(A53="","",IFERROR(INDEX(Calendario!$A$4:$A$107,MATCH(A53,Calendario!$B$4:$B$107,1)),""))</f>
        <v/>
      </c>
      <c r="C53" s="17" t="str">
        <f aca="false">IF(A53="","",YEAR(A53)&amp;"-"&amp;TEXT(MONTH(A53),"00"))</f>
        <v/>
      </c>
      <c r="D53" s="26"/>
      <c r="E53" s="26"/>
      <c r="F53" s="26"/>
      <c r="G53" s="26"/>
      <c r="H53" s="27"/>
      <c r="I53" s="29"/>
      <c r="J53" s="26"/>
      <c r="K53" s="26"/>
      <c r="L53" s="27"/>
      <c r="M53" s="26"/>
      <c r="N53" s="26"/>
      <c r="O53" s="26"/>
    </row>
    <row r="54" customFormat="false" ht="15" hidden="false" customHeight="false" outlineLevel="0" collapsed="false">
      <c r="A54" s="32"/>
      <c r="B54" s="17" t="str">
        <f aca="false">IF(A54="","",IFERROR(INDEX(Calendario!$A$4:$A$107,MATCH(A54,Calendario!$B$4:$B$107,1)),""))</f>
        <v/>
      </c>
      <c r="C54" s="17" t="str">
        <f aca="false">IF(A54="","",YEAR(A54)&amp;"-"&amp;TEXT(MONTH(A54),"00"))</f>
        <v/>
      </c>
      <c r="D54" s="26"/>
      <c r="E54" s="26"/>
      <c r="F54" s="26"/>
      <c r="G54" s="26"/>
      <c r="H54" s="27"/>
      <c r="I54" s="29"/>
      <c r="J54" s="26"/>
      <c r="K54" s="26"/>
      <c r="L54" s="27"/>
      <c r="M54" s="26"/>
      <c r="N54" s="26"/>
      <c r="O54" s="26"/>
    </row>
    <row r="55" customFormat="false" ht="15" hidden="false" customHeight="false" outlineLevel="0" collapsed="false">
      <c r="A55" s="32"/>
      <c r="B55" s="17" t="str">
        <f aca="false">IF(A55="","",IFERROR(INDEX(Calendario!$A$4:$A$107,MATCH(A55,Calendario!$B$4:$B$107,1)),""))</f>
        <v/>
      </c>
      <c r="C55" s="17" t="str">
        <f aca="false">IF(A55="","",YEAR(A55)&amp;"-"&amp;TEXT(MONTH(A55),"00"))</f>
        <v/>
      </c>
      <c r="D55" s="26"/>
      <c r="E55" s="26"/>
      <c r="F55" s="26"/>
      <c r="G55" s="26"/>
      <c r="H55" s="27"/>
      <c r="I55" s="29"/>
      <c r="J55" s="26"/>
      <c r="K55" s="26"/>
      <c r="L55" s="27"/>
      <c r="M55" s="26"/>
      <c r="N55" s="26"/>
      <c r="O55" s="26"/>
    </row>
    <row r="56" customFormat="false" ht="15" hidden="false" customHeight="false" outlineLevel="0" collapsed="false">
      <c r="A56" s="32"/>
      <c r="B56" s="17" t="str">
        <f aca="false">IF(A56="","",IFERROR(INDEX(Calendario!$A$4:$A$107,MATCH(A56,Calendario!$B$4:$B$107,1)),""))</f>
        <v/>
      </c>
      <c r="C56" s="17" t="str">
        <f aca="false">IF(A56="","",YEAR(A56)&amp;"-"&amp;TEXT(MONTH(A56),"00"))</f>
        <v/>
      </c>
      <c r="D56" s="26"/>
      <c r="E56" s="26"/>
      <c r="F56" s="26"/>
      <c r="G56" s="26"/>
      <c r="H56" s="27"/>
      <c r="I56" s="29"/>
      <c r="J56" s="26"/>
      <c r="K56" s="26"/>
      <c r="L56" s="27"/>
      <c r="M56" s="26"/>
      <c r="N56" s="26"/>
      <c r="O56" s="26"/>
    </row>
    <row r="57" customFormat="false" ht="15" hidden="false" customHeight="false" outlineLevel="0" collapsed="false">
      <c r="A57" s="32"/>
      <c r="B57" s="17" t="str">
        <f aca="false">IF(A57="","",IFERROR(INDEX(Calendario!$A$4:$A$107,MATCH(A57,Calendario!$B$4:$B$107,1)),""))</f>
        <v/>
      </c>
      <c r="C57" s="17" t="str">
        <f aca="false">IF(A57="","",YEAR(A57)&amp;"-"&amp;TEXT(MONTH(A57),"00"))</f>
        <v/>
      </c>
      <c r="D57" s="26"/>
      <c r="E57" s="26"/>
      <c r="F57" s="26"/>
      <c r="G57" s="26"/>
      <c r="H57" s="27"/>
      <c r="I57" s="29"/>
      <c r="J57" s="26"/>
      <c r="K57" s="26"/>
      <c r="L57" s="27"/>
      <c r="M57" s="26"/>
      <c r="N57" s="26"/>
      <c r="O57" s="26"/>
    </row>
    <row r="58" customFormat="false" ht="15" hidden="false" customHeight="false" outlineLevel="0" collapsed="false">
      <c r="A58" s="32"/>
      <c r="B58" s="17" t="str">
        <f aca="false">IF(A58="","",IFERROR(INDEX(Calendario!$A$4:$A$107,MATCH(A58,Calendario!$B$4:$B$107,1)),""))</f>
        <v/>
      </c>
      <c r="C58" s="17" t="str">
        <f aca="false">IF(A58="","",YEAR(A58)&amp;"-"&amp;TEXT(MONTH(A58),"00"))</f>
        <v/>
      </c>
      <c r="D58" s="26"/>
      <c r="E58" s="26"/>
      <c r="F58" s="26"/>
      <c r="G58" s="26"/>
      <c r="H58" s="27"/>
      <c r="I58" s="29"/>
      <c r="J58" s="26"/>
      <c r="K58" s="26"/>
      <c r="L58" s="27"/>
      <c r="M58" s="26"/>
      <c r="N58" s="26"/>
      <c r="O58" s="26"/>
    </row>
    <row r="59" customFormat="false" ht="15" hidden="false" customHeight="false" outlineLevel="0" collapsed="false">
      <c r="A59" s="32"/>
      <c r="B59" s="17" t="str">
        <f aca="false">IF(A59="","",IFERROR(INDEX(Calendario!$A$4:$A$107,MATCH(A59,Calendario!$B$4:$B$107,1)),""))</f>
        <v/>
      </c>
      <c r="C59" s="17" t="str">
        <f aca="false">IF(A59="","",YEAR(A59)&amp;"-"&amp;TEXT(MONTH(A59),"00"))</f>
        <v/>
      </c>
      <c r="D59" s="26"/>
      <c r="E59" s="26"/>
      <c r="F59" s="26"/>
      <c r="G59" s="26"/>
      <c r="H59" s="27"/>
      <c r="I59" s="29"/>
      <c r="J59" s="26"/>
      <c r="K59" s="26"/>
      <c r="L59" s="27"/>
      <c r="M59" s="26"/>
      <c r="N59" s="26"/>
      <c r="O59" s="26"/>
    </row>
    <row r="60" customFormat="false" ht="15" hidden="false" customHeight="false" outlineLevel="0" collapsed="false">
      <c r="A60" s="32"/>
      <c r="B60" s="17" t="str">
        <f aca="false">IF(A60="","",IFERROR(INDEX(Calendario!$A$4:$A$107,MATCH(A60,Calendario!$B$4:$B$107,1)),""))</f>
        <v/>
      </c>
      <c r="C60" s="17" t="str">
        <f aca="false">IF(A60="","",YEAR(A60)&amp;"-"&amp;TEXT(MONTH(A60),"00"))</f>
        <v/>
      </c>
      <c r="D60" s="26"/>
      <c r="E60" s="26"/>
      <c r="F60" s="26"/>
      <c r="G60" s="26"/>
      <c r="H60" s="27"/>
      <c r="I60" s="29"/>
      <c r="J60" s="26"/>
      <c r="K60" s="26"/>
      <c r="L60" s="27"/>
      <c r="M60" s="26"/>
      <c r="N60" s="26"/>
      <c r="O60" s="26"/>
    </row>
    <row r="61" customFormat="false" ht="15" hidden="false" customHeight="false" outlineLevel="0" collapsed="false">
      <c r="A61" s="32"/>
      <c r="B61" s="17" t="str">
        <f aca="false">IF(A61="","",IFERROR(INDEX(Calendario!$A$4:$A$107,MATCH(A61,Calendario!$B$4:$B$107,1)),""))</f>
        <v/>
      </c>
      <c r="C61" s="17" t="str">
        <f aca="false">IF(A61="","",YEAR(A61)&amp;"-"&amp;TEXT(MONTH(A61),"00"))</f>
        <v/>
      </c>
      <c r="D61" s="26"/>
      <c r="E61" s="26"/>
      <c r="F61" s="26"/>
      <c r="G61" s="26"/>
      <c r="H61" s="27"/>
      <c r="I61" s="29"/>
      <c r="J61" s="26"/>
      <c r="K61" s="26"/>
      <c r="L61" s="27"/>
      <c r="M61" s="26"/>
      <c r="N61" s="26"/>
      <c r="O61" s="26"/>
    </row>
    <row r="62" customFormat="false" ht="15" hidden="false" customHeight="false" outlineLevel="0" collapsed="false">
      <c r="A62" s="32"/>
      <c r="B62" s="17" t="str">
        <f aca="false">IF(A62="","",IFERROR(INDEX(Calendario!$A$4:$A$107,MATCH(A62,Calendario!$B$4:$B$107,1)),""))</f>
        <v/>
      </c>
      <c r="C62" s="17" t="str">
        <f aca="false">IF(A62="","",YEAR(A62)&amp;"-"&amp;TEXT(MONTH(A62),"00"))</f>
        <v/>
      </c>
      <c r="D62" s="26"/>
      <c r="E62" s="26"/>
      <c r="F62" s="26"/>
      <c r="G62" s="26"/>
      <c r="H62" s="27"/>
      <c r="I62" s="29"/>
      <c r="J62" s="26"/>
      <c r="K62" s="26"/>
      <c r="L62" s="27"/>
      <c r="M62" s="26"/>
      <c r="N62" s="26"/>
      <c r="O62" s="26"/>
    </row>
    <row r="63" customFormat="false" ht="15" hidden="false" customHeight="false" outlineLevel="0" collapsed="false">
      <c r="A63" s="32"/>
      <c r="B63" s="17" t="str">
        <f aca="false">IF(A63="","",IFERROR(INDEX(Calendario!$A$4:$A$107,MATCH(A63,Calendario!$B$4:$B$107,1)),""))</f>
        <v/>
      </c>
      <c r="C63" s="17" t="str">
        <f aca="false">IF(A63="","",YEAR(A63)&amp;"-"&amp;TEXT(MONTH(A63),"00"))</f>
        <v/>
      </c>
      <c r="D63" s="26"/>
      <c r="E63" s="26"/>
      <c r="F63" s="26"/>
      <c r="G63" s="26"/>
      <c r="H63" s="27"/>
      <c r="I63" s="29"/>
      <c r="J63" s="26"/>
      <c r="K63" s="26"/>
      <c r="L63" s="27"/>
      <c r="M63" s="26"/>
      <c r="N63" s="26"/>
      <c r="O63" s="26"/>
    </row>
    <row r="64" customFormat="false" ht="15" hidden="false" customHeight="false" outlineLevel="0" collapsed="false">
      <c r="A64" s="32"/>
      <c r="B64" s="17" t="str">
        <f aca="false">IF(A64="","",IFERROR(INDEX(Calendario!$A$4:$A$107,MATCH(A64,Calendario!$B$4:$B$107,1)),""))</f>
        <v/>
      </c>
      <c r="C64" s="17" t="str">
        <f aca="false">IF(A64="","",YEAR(A64)&amp;"-"&amp;TEXT(MONTH(A64),"00"))</f>
        <v/>
      </c>
      <c r="D64" s="26"/>
      <c r="E64" s="26"/>
      <c r="F64" s="26"/>
      <c r="G64" s="26"/>
      <c r="H64" s="27"/>
      <c r="I64" s="29"/>
      <c r="J64" s="26"/>
      <c r="K64" s="26"/>
      <c r="L64" s="27"/>
      <c r="M64" s="26"/>
      <c r="N64" s="26"/>
      <c r="O64" s="26"/>
    </row>
    <row r="65" customFormat="false" ht="15" hidden="false" customHeight="false" outlineLevel="0" collapsed="false">
      <c r="A65" s="32"/>
      <c r="B65" s="17" t="str">
        <f aca="false">IF(A65="","",IFERROR(INDEX(Calendario!$A$4:$A$107,MATCH(A65,Calendario!$B$4:$B$107,1)),""))</f>
        <v/>
      </c>
      <c r="C65" s="17" t="str">
        <f aca="false">IF(A65="","",YEAR(A65)&amp;"-"&amp;TEXT(MONTH(A65),"00"))</f>
        <v/>
      </c>
      <c r="D65" s="26"/>
      <c r="E65" s="26"/>
      <c r="F65" s="26"/>
      <c r="G65" s="26"/>
      <c r="H65" s="27"/>
      <c r="I65" s="29"/>
      <c r="J65" s="26"/>
      <c r="K65" s="26"/>
      <c r="L65" s="27"/>
      <c r="M65" s="26"/>
      <c r="N65" s="26"/>
      <c r="O65" s="26"/>
    </row>
    <row r="66" customFormat="false" ht="15" hidden="false" customHeight="false" outlineLevel="0" collapsed="false">
      <c r="A66" s="32"/>
      <c r="B66" s="17" t="str">
        <f aca="false">IF(A66="","",IFERROR(INDEX(Calendario!$A$4:$A$107,MATCH(A66,Calendario!$B$4:$B$107,1)),""))</f>
        <v/>
      </c>
      <c r="C66" s="17" t="str">
        <f aca="false">IF(A66="","",YEAR(A66)&amp;"-"&amp;TEXT(MONTH(A66),"00"))</f>
        <v/>
      </c>
      <c r="D66" s="26"/>
      <c r="E66" s="26"/>
      <c r="F66" s="26"/>
      <c r="G66" s="26"/>
      <c r="H66" s="27"/>
      <c r="I66" s="29"/>
      <c r="J66" s="26"/>
      <c r="K66" s="26"/>
      <c r="L66" s="27"/>
      <c r="M66" s="26"/>
      <c r="N66" s="26"/>
      <c r="O66" s="26"/>
    </row>
    <row r="67" customFormat="false" ht="15" hidden="false" customHeight="false" outlineLevel="0" collapsed="false">
      <c r="A67" s="32"/>
      <c r="B67" s="17" t="str">
        <f aca="false">IF(A67="","",IFERROR(INDEX(Calendario!$A$4:$A$107,MATCH(A67,Calendario!$B$4:$B$107,1)),""))</f>
        <v/>
      </c>
      <c r="C67" s="17" t="str">
        <f aca="false">IF(A67="","",YEAR(A67)&amp;"-"&amp;TEXT(MONTH(A67),"00"))</f>
        <v/>
      </c>
      <c r="D67" s="26"/>
      <c r="E67" s="26"/>
      <c r="F67" s="26"/>
      <c r="G67" s="26"/>
      <c r="H67" s="27"/>
      <c r="I67" s="29"/>
      <c r="J67" s="26"/>
      <c r="K67" s="26"/>
      <c r="L67" s="27"/>
      <c r="M67" s="26"/>
      <c r="N67" s="26"/>
      <c r="O67" s="26"/>
    </row>
    <row r="68" customFormat="false" ht="15" hidden="false" customHeight="false" outlineLevel="0" collapsed="false">
      <c r="A68" s="32"/>
      <c r="B68" s="17" t="str">
        <f aca="false">IF(A68="","",IFERROR(INDEX(Calendario!$A$4:$A$107,MATCH(A68,Calendario!$B$4:$B$107,1)),""))</f>
        <v/>
      </c>
      <c r="C68" s="17" t="str">
        <f aca="false">IF(A68="","",YEAR(A68)&amp;"-"&amp;TEXT(MONTH(A68),"00"))</f>
        <v/>
      </c>
      <c r="D68" s="26"/>
      <c r="E68" s="26"/>
      <c r="F68" s="26"/>
      <c r="G68" s="26"/>
      <c r="H68" s="27"/>
      <c r="I68" s="29"/>
      <c r="J68" s="26"/>
      <c r="K68" s="26"/>
      <c r="L68" s="27"/>
      <c r="M68" s="26"/>
      <c r="N68" s="26"/>
      <c r="O68" s="26"/>
    </row>
    <row r="69" customFormat="false" ht="15" hidden="false" customHeight="false" outlineLevel="0" collapsed="false">
      <c r="A69" s="32"/>
      <c r="B69" s="17" t="str">
        <f aca="false">IF(A69="","",IFERROR(INDEX(Calendario!$A$4:$A$107,MATCH(A69,Calendario!$B$4:$B$107,1)),""))</f>
        <v/>
      </c>
      <c r="C69" s="17" t="str">
        <f aca="false">IF(A69="","",YEAR(A69)&amp;"-"&amp;TEXT(MONTH(A69),"00"))</f>
        <v/>
      </c>
      <c r="D69" s="26"/>
      <c r="E69" s="26"/>
      <c r="F69" s="26"/>
      <c r="G69" s="26"/>
      <c r="H69" s="27"/>
      <c r="I69" s="29"/>
      <c r="J69" s="26"/>
      <c r="K69" s="26"/>
      <c r="L69" s="27"/>
      <c r="M69" s="26"/>
      <c r="N69" s="26"/>
      <c r="O69" s="26"/>
    </row>
    <row r="70" customFormat="false" ht="15" hidden="false" customHeight="false" outlineLevel="0" collapsed="false">
      <c r="A70" s="32"/>
      <c r="B70" s="17" t="str">
        <f aca="false">IF(A70="","",IFERROR(INDEX(Calendario!$A$4:$A$107,MATCH(A70,Calendario!$B$4:$B$107,1)),""))</f>
        <v/>
      </c>
      <c r="C70" s="17" t="str">
        <f aca="false">IF(A70="","",YEAR(A70)&amp;"-"&amp;TEXT(MONTH(A70),"00"))</f>
        <v/>
      </c>
      <c r="D70" s="26"/>
      <c r="E70" s="26"/>
      <c r="F70" s="26"/>
      <c r="G70" s="26"/>
      <c r="H70" s="27"/>
      <c r="I70" s="29"/>
      <c r="J70" s="26"/>
      <c r="K70" s="26"/>
      <c r="L70" s="27"/>
      <c r="M70" s="26"/>
      <c r="N70" s="26"/>
      <c r="O70" s="26"/>
    </row>
    <row r="71" customFormat="false" ht="15" hidden="false" customHeight="false" outlineLevel="0" collapsed="false">
      <c r="A71" s="32"/>
      <c r="B71" s="17" t="str">
        <f aca="false">IF(A71="","",IFERROR(INDEX(Calendario!$A$4:$A$107,MATCH(A71,Calendario!$B$4:$B$107,1)),""))</f>
        <v/>
      </c>
      <c r="C71" s="17" t="str">
        <f aca="false">IF(A71="","",YEAR(A71)&amp;"-"&amp;TEXT(MONTH(A71),"00"))</f>
        <v/>
      </c>
      <c r="D71" s="26"/>
      <c r="E71" s="26"/>
      <c r="F71" s="26"/>
      <c r="G71" s="26"/>
      <c r="H71" s="27"/>
      <c r="I71" s="29"/>
      <c r="J71" s="26"/>
      <c r="K71" s="26"/>
      <c r="L71" s="27"/>
      <c r="M71" s="26"/>
      <c r="N71" s="26"/>
      <c r="O71" s="26"/>
    </row>
    <row r="72" customFormat="false" ht="15" hidden="false" customHeight="false" outlineLevel="0" collapsed="false">
      <c r="A72" s="32"/>
      <c r="B72" s="17" t="str">
        <f aca="false">IF(A72="","",IFERROR(INDEX(Calendario!$A$4:$A$107,MATCH(A72,Calendario!$B$4:$B$107,1)),""))</f>
        <v/>
      </c>
      <c r="C72" s="17" t="str">
        <f aca="false">IF(A72="","",YEAR(A72)&amp;"-"&amp;TEXT(MONTH(A72),"00"))</f>
        <v/>
      </c>
      <c r="D72" s="26"/>
      <c r="E72" s="26"/>
      <c r="F72" s="26"/>
      <c r="G72" s="26"/>
      <c r="H72" s="27"/>
      <c r="I72" s="29"/>
      <c r="J72" s="26"/>
      <c r="K72" s="26"/>
      <c r="L72" s="27"/>
      <c r="M72" s="26"/>
      <c r="N72" s="26"/>
      <c r="O72" s="26"/>
    </row>
    <row r="73" customFormat="false" ht="15" hidden="false" customHeight="false" outlineLevel="0" collapsed="false">
      <c r="A73" s="32"/>
      <c r="B73" s="17" t="str">
        <f aca="false">IF(A73="","",IFERROR(INDEX(Calendario!$A$4:$A$107,MATCH(A73,Calendario!$B$4:$B$107,1)),""))</f>
        <v/>
      </c>
      <c r="C73" s="17" t="str">
        <f aca="false">IF(A73="","",YEAR(A73)&amp;"-"&amp;TEXT(MONTH(A73),"00"))</f>
        <v/>
      </c>
      <c r="D73" s="26"/>
      <c r="E73" s="26"/>
      <c r="F73" s="26"/>
      <c r="G73" s="26"/>
      <c r="H73" s="27"/>
      <c r="I73" s="29"/>
      <c r="J73" s="26"/>
      <c r="K73" s="26"/>
      <c r="L73" s="27"/>
      <c r="M73" s="26"/>
      <c r="N73" s="26"/>
      <c r="O73" s="26"/>
    </row>
    <row r="74" customFormat="false" ht="15" hidden="false" customHeight="false" outlineLevel="0" collapsed="false">
      <c r="A74" s="32"/>
      <c r="B74" s="17" t="str">
        <f aca="false">IF(A74="","",IFERROR(INDEX(Calendario!$A$4:$A$107,MATCH(A74,Calendario!$B$4:$B$107,1)),""))</f>
        <v/>
      </c>
      <c r="C74" s="17" t="str">
        <f aca="false">IF(A74="","",YEAR(A74)&amp;"-"&amp;TEXT(MONTH(A74),"00"))</f>
        <v/>
      </c>
      <c r="D74" s="26"/>
      <c r="E74" s="26"/>
      <c r="F74" s="26"/>
      <c r="G74" s="26"/>
      <c r="H74" s="27"/>
      <c r="I74" s="29"/>
      <c r="J74" s="26"/>
      <c r="K74" s="26"/>
      <c r="L74" s="27"/>
      <c r="M74" s="26"/>
      <c r="N74" s="26"/>
      <c r="O74" s="26"/>
    </row>
    <row r="75" customFormat="false" ht="15" hidden="false" customHeight="false" outlineLevel="0" collapsed="false">
      <c r="A75" s="32"/>
      <c r="B75" s="17" t="str">
        <f aca="false">IF(A75="","",IFERROR(INDEX(Calendario!$A$4:$A$107,MATCH(A75,Calendario!$B$4:$B$107,1)),""))</f>
        <v/>
      </c>
      <c r="C75" s="17" t="str">
        <f aca="false">IF(A75="","",YEAR(A75)&amp;"-"&amp;TEXT(MONTH(A75),"00"))</f>
        <v/>
      </c>
      <c r="D75" s="26"/>
      <c r="E75" s="26"/>
      <c r="F75" s="26"/>
      <c r="G75" s="26"/>
      <c r="H75" s="27"/>
      <c r="I75" s="29"/>
      <c r="J75" s="26"/>
      <c r="K75" s="26"/>
      <c r="L75" s="27"/>
      <c r="M75" s="26"/>
      <c r="N75" s="26"/>
      <c r="O75" s="26"/>
    </row>
    <row r="76" customFormat="false" ht="15" hidden="false" customHeight="false" outlineLevel="0" collapsed="false">
      <c r="A76" s="32"/>
      <c r="B76" s="17" t="str">
        <f aca="false">IF(A76="","",IFERROR(INDEX(Calendario!$A$4:$A$107,MATCH(A76,Calendario!$B$4:$B$107,1)),""))</f>
        <v/>
      </c>
      <c r="C76" s="17" t="str">
        <f aca="false">IF(A76="","",YEAR(A76)&amp;"-"&amp;TEXT(MONTH(A76),"00"))</f>
        <v/>
      </c>
      <c r="D76" s="26"/>
      <c r="E76" s="26"/>
      <c r="F76" s="26"/>
      <c r="G76" s="26"/>
      <c r="H76" s="27"/>
      <c r="I76" s="29"/>
      <c r="J76" s="26"/>
      <c r="K76" s="26"/>
      <c r="L76" s="27"/>
      <c r="M76" s="26"/>
      <c r="N76" s="26"/>
      <c r="O76" s="26"/>
    </row>
    <row r="77" customFormat="false" ht="15" hidden="false" customHeight="false" outlineLevel="0" collapsed="false">
      <c r="A77" s="32"/>
      <c r="B77" s="17" t="str">
        <f aca="false">IF(A77="","",IFERROR(INDEX(Calendario!$A$4:$A$107,MATCH(A77,Calendario!$B$4:$B$107,1)),""))</f>
        <v/>
      </c>
      <c r="C77" s="17" t="str">
        <f aca="false">IF(A77="","",YEAR(A77)&amp;"-"&amp;TEXT(MONTH(A77),"00"))</f>
        <v/>
      </c>
      <c r="D77" s="26"/>
      <c r="E77" s="26"/>
      <c r="F77" s="26"/>
      <c r="G77" s="26"/>
      <c r="H77" s="27"/>
      <c r="I77" s="29"/>
      <c r="J77" s="26"/>
      <c r="K77" s="26"/>
      <c r="L77" s="27"/>
      <c r="M77" s="26"/>
      <c r="N77" s="26"/>
      <c r="O77" s="26"/>
    </row>
    <row r="78" customFormat="false" ht="15" hidden="false" customHeight="false" outlineLevel="0" collapsed="false">
      <c r="A78" s="32"/>
      <c r="B78" s="17" t="str">
        <f aca="false">IF(A78="","",IFERROR(INDEX(Calendario!$A$4:$A$107,MATCH(A78,Calendario!$B$4:$B$107,1)),""))</f>
        <v/>
      </c>
      <c r="C78" s="17" t="str">
        <f aca="false">IF(A78="","",YEAR(A78)&amp;"-"&amp;TEXT(MONTH(A78),"00"))</f>
        <v/>
      </c>
      <c r="D78" s="26"/>
      <c r="E78" s="26"/>
      <c r="F78" s="26"/>
      <c r="G78" s="26"/>
      <c r="H78" s="27"/>
      <c r="I78" s="29"/>
      <c r="J78" s="26"/>
      <c r="K78" s="26"/>
      <c r="L78" s="27"/>
      <c r="M78" s="26"/>
      <c r="N78" s="26"/>
      <c r="O78" s="26"/>
    </row>
    <row r="79" customFormat="false" ht="15" hidden="false" customHeight="false" outlineLevel="0" collapsed="false">
      <c r="A79" s="32"/>
      <c r="B79" s="17" t="str">
        <f aca="false">IF(A79="","",IFERROR(INDEX(Calendario!$A$4:$A$107,MATCH(A79,Calendario!$B$4:$B$107,1)),""))</f>
        <v/>
      </c>
      <c r="C79" s="17" t="str">
        <f aca="false">IF(A79="","",YEAR(A79)&amp;"-"&amp;TEXT(MONTH(A79),"00"))</f>
        <v/>
      </c>
      <c r="D79" s="26"/>
      <c r="E79" s="26"/>
      <c r="F79" s="26"/>
      <c r="G79" s="26"/>
      <c r="H79" s="27"/>
      <c r="I79" s="29"/>
      <c r="J79" s="26"/>
      <c r="K79" s="26"/>
      <c r="L79" s="27"/>
      <c r="M79" s="26"/>
      <c r="N79" s="26"/>
      <c r="O79" s="26"/>
    </row>
    <row r="80" customFormat="false" ht="15" hidden="false" customHeight="false" outlineLevel="0" collapsed="false">
      <c r="A80" s="32"/>
      <c r="B80" s="17" t="str">
        <f aca="false">IF(A80="","",IFERROR(INDEX(Calendario!$A$4:$A$107,MATCH(A80,Calendario!$B$4:$B$107,1)),""))</f>
        <v/>
      </c>
      <c r="C80" s="17" t="str">
        <f aca="false">IF(A80="","",YEAR(A80)&amp;"-"&amp;TEXT(MONTH(A80),"00"))</f>
        <v/>
      </c>
      <c r="D80" s="26"/>
      <c r="E80" s="26"/>
      <c r="F80" s="26"/>
      <c r="G80" s="26"/>
      <c r="H80" s="27"/>
      <c r="I80" s="29"/>
      <c r="J80" s="26"/>
      <c r="K80" s="26"/>
      <c r="L80" s="27"/>
      <c r="M80" s="26"/>
      <c r="N80" s="26"/>
      <c r="O80" s="26"/>
    </row>
    <row r="81" customFormat="false" ht="15" hidden="false" customHeight="false" outlineLevel="0" collapsed="false">
      <c r="A81" s="32"/>
      <c r="B81" s="17" t="str">
        <f aca="false">IF(A81="","",IFERROR(INDEX(Calendario!$A$4:$A$107,MATCH(A81,Calendario!$B$4:$B$107,1)),""))</f>
        <v/>
      </c>
      <c r="C81" s="17" t="str">
        <f aca="false">IF(A81="","",YEAR(A81)&amp;"-"&amp;TEXT(MONTH(A81),"00"))</f>
        <v/>
      </c>
      <c r="D81" s="26"/>
      <c r="E81" s="26"/>
      <c r="F81" s="26"/>
      <c r="G81" s="26"/>
      <c r="H81" s="27"/>
      <c r="I81" s="29"/>
      <c r="J81" s="26"/>
      <c r="K81" s="26"/>
      <c r="L81" s="27"/>
      <c r="M81" s="26"/>
      <c r="N81" s="26"/>
      <c r="O81" s="26"/>
    </row>
    <row r="82" customFormat="false" ht="15" hidden="false" customHeight="false" outlineLevel="0" collapsed="false">
      <c r="A82" s="32"/>
      <c r="B82" s="17" t="str">
        <f aca="false">IF(A82="","",IFERROR(INDEX(Calendario!$A$4:$A$107,MATCH(A82,Calendario!$B$4:$B$107,1)),""))</f>
        <v/>
      </c>
      <c r="C82" s="17" t="str">
        <f aca="false">IF(A82="","",YEAR(A82)&amp;"-"&amp;TEXT(MONTH(A82),"00"))</f>
        <v/>
      </c>
      <c r="D82" s="26"/>
      <c r="E82" s="26"/>
      <c r="F82" s="26"/>
      <c r="G82" s="26"/>
      <c r="H82" s="27"/>
      <c r="I82" s="29"/>
      <c r="J82" s="26"/>
      <c r="K82" s="26"/>
      <c r="L82" s="27"/>
      <c r="M82" s="26"/>
      <c r="N82" s="26"/>
      <c r="O82" s="26"/>
    </row>
    <row r="83" customFormat="false" ht="15" hidden="false" customHeight="false" outlineLevel="0" collapsed="false">
      <c r="A83" s="32"/>
      <c r="B83" s="17" t="str">
        <f aca="false">IF(A83="","",IFERROR(INDEX(Calendario!$A$4:$A$107,MATCH(A83,Calendario!$B$4:$B$107,1)),""))</f>
        <v/>
      </c>
      <c r="C83" s="17" t="str">
        <f aca="false">IF(A83="","",YEAR(A83)&amp;"-"&amp;TEXT(MONTH(A83),"00"))</f>
        <v/>
      </c>
      <c r="D83" s="26"/>
      <c r="E83" s="26"/>
      <c r="F83" s="26"/>
      <c r="G83" s="26"/>
      <c r="H83" s="27"/>
      <c r="I83" s="29"/>
      <c r="J83" s="26"/>
      <c r="K83" s="26"/>
      <c r="L83" s="27"/>
      <c r="M83" s="26"/>
      <c r="N83" s="26"/>
      <c r="O83" s="26"/>
    </row>
    <row r="84" customFormat="false" ht="15" hidden="false" customHeight="false" outlineLevel="0" collapsed="false">
      <c r="A84" s="32"/>
      <c r="B84" s="17" t="str">
        <f aca="false">IF(A84="","",IFERROR(INDEX(Calendario!$A$4:$A$107,MATCH(A84,Calendario!$B$4:$B$107,1)),""))</f>
        <v/>
      </c>
      <c r="C84" s="17" t="str">
        <f aca="false">IF(A84="","",YEAR(A84)&amp;"-"&amp;TEXT(MONTH(A84),"00"))</f>
        <v/>
      </c>
      <c r="D84" s="26"/>
      <c r="E84" s="26"/>
      <c r="F84" s="26"/>
      <c r="G84" s="26"/>
      <c r="H84" s="27"/>
      <c r="I84" s="29"/>
      <c r="J84" s="26"/>
      <c r="K84" s="26"/>
      <c r="L84" s="27"/>
      <c r="M84" s="26"/>
      <c r="N84" s="26"/>
      <c r="O84" s="26"/>
    </row>
    <row r="85" customFormat="false" ht="15" hidden="false" customHeight="false" outlineLevel="0" collapsed="false">
      <c r="A85" s="32"/>
      <c r="B85" s="17" t="str">
        <f aca="false">IF(A85="","",IFERROR(INDEX(Calendario!$A$4:$A$107,MATCH(A85,Calendario!$B$4:$B$107,1)),""))</f>
        <v/>
      </c>
      <c r="C85" s="17" t="str">
        <f aca="false">IF(A85="","",YEAR(A85)&amp;"-"&amp;TEXT(MONTH(A85),"00"))</f>
        <v/>
      </c>
      <c r="D85" s="26"/>
      <c r="E85" s="26"/>
      <c r="F85" s="26"/>
      <c r="G85" s="26"/>
      <c r="H85" s="27"/>
      <c r="I85" s="29"/>
      <c r="J85" s="26"/>
      <c r="K85" s="26"/>
      <c r="L85" s="27"/>
      <c r="M85" s="26"/>
      <c r="N85" s="26"/>
      <c r="O85" s="26"/>
    </row>
    <row r="86" customFormat="false" ht="15" hidden="false" customHeight="false" outlineLevel="0" collapsed="false">
      <c r="A86" s="32"/>
      <c r="B86" s="17" t="str">
        <f aca="false">IF(A86="","",IFERROR(INDEX(Calendario!$A$4:$A$107,MATCH(A86,Calendario!$B$4:$B$107,1)),""))</f>
        <v/>
      </c>
      <c r="C86" s="17" t="str">
        <f aca="false">IF(A86="","",YEAR(A86)&amp;"-"&amp;TEXT(MONTH(A86),"00"))</f>
        <v/>
      </c>
      <c r="D86" s="26"/>
      <c r="E86" s="26"/>
      <c r="F86" s="26"/>
      <c r="G86" s="26"/>
      <c r="H86" s="27"/>
      <c r="I86" s="29"/>
      <c r="J86" s="26"/>
      <c r="K86" s="26"/>
      <c r="L86" s="27"/>
      <c r="M86" s="26"/>
      <c r="N86" s="26"/>
      <c r="O86" s="26"/>
    </row>
    <row r="87" customFormat="false" ht="15" hidden="false" customHeight="false" outlineLevel="0" collapsed="false">
      <c r="A87" s="32"/>
      <c r="B87" s="17" t="str">
        <f aca="false">IF(A87="","",IFERROR(INDEX(Calendario!$A$4:$A$107,MATCH(A87,Calendario!$B$4:$B$107,1)),""))</f>
        <v/>
      </c>
      <c r="C87" s="17" t="str">
        <f aca="false">IF(A87="","",YEAR(A87)&amp;"-"&amp;TEXT(MONTH(A87),"00"))</f>
        <v/>
      </c>
      <c r="D87" s="26"/>
      <c r="E87" s="26"/>
      <c r="F87" s="26"/>
      <c r="G87" s="26"/>
      <c r="H87" s="27"/>
      <c r="I87" s="29"/>
      <c r="J87" s="26"/>
      <c r="K87" s="26"/>
      <c r="L87" s="27"/>
      <c r="M87" s="26"/>
      <c r="N87" s="26"/>
      <c r="O87" s="26"/>
    </row>
    <row r="88" customFormat="false" ht="15" hidden="false" customHeight="false" outlineLevel="0" collapsed="false">
      <c r="A88" s="32"/>
      <c r="B88" s="17" t="str">
        <f aca="false">IF(A88="","",IFERROR(INDEX(Calendario!$A$4:$A$107,MATCH(A88,Calendario!$B$4:$B$107,1)),""))</f>
        <v/>
      </c>
      <c r="C88" s="17" t="str">
        <f aca="false">IF(A88="","",YEAR(A88)&amp;"-"&amp;TEXT(MONTH(A88),"00"))</f>
        <v/>
      </c>
      <c r="D88" s="26"/>
      <c r="E88" s="26"/>
      <c r="F88" s="26"/>
      <c r="G88" s="26"/>
      <c r="H88" s="27"/>
      <c r="I88" s="29"/>
      <c r="J88" s="26"/>
      <c r="K88" s="26"/>
      <c r="L88" s="27"/>
      <c r="M88" s="26"/>
      <c r="N88" s="26"/>
      <c r="O88" s="26"/>
    </row>
    <row r="89" customFormat="false" ht="15" hidden="false" customHeight="false" outlineLevel="0" collapsed="false">
      <c r="A89" s="32"/>
      <c r="B89" s="17" t="str">
        <f aca="false">IF(A89="","",IFERROR(INDEX(Calendario!$A$4:$A$107,MATCH(A89,Calendario!$B$4:$B$107,1)),""))</f>
        <v/>
      </c>
      <c r="C89" s="17" t="str">
        <f aca="false">IF(A89="","",YEAR(A89)&amp;"-"&amp;TEXT(MONTH(A89),"00"))</f>
        <v/>
      </c>
      <c r="D89" s="26"/>
      <c r="E89" s="26"/>
      <c r="F89" s="26"/>
      <c r="G89" s="26"/>
      <c r="H89" s="27"/>
      <c r="I89" s="29"/>
      <c r="J89" s="26"/>
      <c r="K89" s="26"/>
      <c r="L89" s="27"/>
      <c r="M89" s="26"/>
      <c r="N89" s="26"/>
      <c r="O89" s="26"/>
    </row>
    <row r="90" customFormat="false" ht="15" hidden="false" customHeight="false" outlineLevel="0" collapsed="false">
      <c r="A90" s="32"/>
      <c r="B90" s="17" t="str">
        <f aca="false">IF(A90="","",IFERROR(INDEX(Calendario!$A$4:$A$107,MATCH(A90,Calendario!$B$4:$B$107,1)),""))</f>
        <v/>
      </c>
      <c r="C90" s="17" t="str">
        <f aca="false">IF(A90="","",YEAR(A90)&amp;"-"&amp;TEXT(MONTH(A90),"00"))</f>
        <v/>
      </c>
      <c r="D90" s="26"/>
      <c r="E90" s="26"/>
      <c r="F90" s="26"/>
      <c r="G90" s="26"/>
      <c r="H90" s="27"/>
      <c r="I90" s="29"/>
      <c r="J90" s="26"/>
      <c r="K90" s="26"/>
      <c r="L90" s="27"/>
      <c r="M90" s="26"/>
      <c r="N90" s="26"/>
      <c r="O90" s="26"/>
    </row>
    <row r="91" customFormat="false" ht="15" hidden="false" customHeight="false" outlineLevel="0" collapsed="false">
      <c r="A91" s="32"/>
      <c r="B91" s="17" t="str">
        <f aca="false">IF(A91="","",IFERROR(INDEX(Calendario!$A$4:$A$107,MATCH(A91,Calendario!$B$4:$B$107,1)),""))</f>
        <v/>
      </c>
      <c r="C91" s="17" t="str">
        <f aca="false">IF(A91="","",YEAR(A91)&amp;"-"&amp;TEXT(MONTH(A91),"00"))</f>
        <v/>
      </c>
      <c r="D91" s="26"/>
      <c r="E91" s="26"/>
      <c r="F91" s="26"/>
      <c r="G91" s="26"/>
      <c r="H91" s="27"/>
      <c r="I91" s="29"/>
      <c r="J91" s="26"/>
      <c r="K91" s="26"/>
      <c r="L91" s="27"/>
      <c r="M91" s="26"/>
      <c r="N91" s="26"/>
      <c r="O91" s="26"/>
    </row>
    <row r="92" customFormat="false" ht="15" hidden="false" customHeight="false" outlineLevel="0" collapsed="false">
      <c r="A92" s="32"/>
      <c r="B92" s="17" t="str">
        <f aca="false">IF(A92="","",IFERROR(INDEX(Calendario!$A$4:$A$107,MATCH(A92,Calendario!$B$4:$B$107,1)),""))</f>
        <v/>
      </c>
      <c r="C92" s="17" t="str">
        <f aca="false">IF(A92="","",YEAR(A92)&amp;"-"&amp;TEXT(MONTH(A92),"00"))</f>
        <v/>
      </c>
      <c r="D92" s="26"/>
      <c r="E92" s="26"/>
      <c r="F92" s="26"/>
      <c r="G92" s="26"/>
      <c r="H92" s="27"/>
      <c r="I92" s="29"/>
      <c r="J92" s="26"/>
      <c r="K92" s="26"/>
      <c r="L92" s="27"/>
      <c r="M92" s="26"/>
      <c r="N92" s="26"/>
      <c r="O92" s="26"/>
    </row>
    <row r="93" customFormat="false" ht="15" hidden="false" customHeight="false" outlineLevel="0" collapsed="false">
      <c r="A93" s="32"/>
      <c r="B93" s="17" t="str">
        <f aca="false">IF(A93="","",IFERROR(INDEX(Calendario!$A$4:$A$107,MATCH(A93,Calendario!$B$4:$B$107,1)),""))</f>
        <v/>
      </c>
      <c r="C93" s="17" t="str">
        <f aca="false">IF(A93="","",YEAR(A93)&amp;"-"&amp;TEXT(MONTH(A93),"00"))</f>
        <v/>
      </c>
      <c r="D93" s="26"/>
      <c r="E93" s="26"/>
      <c r="F93" s="26"/>
      <c r="G93" s="26"/>
      <c r="H93" s="27"/>
      <c r="I93" s="29"/>
      <c r="J93" s="26"/>
      <c r="K93" s="26"/>
      <c r="L93" s="27"/>
      <c r="M93" s="26"/>
      <c r="N93" s="26"/>
      <c r="O93" s="26"/>
    </row>
    <row r="94" customFormat="false" ht="15" hidden="false" customHeight="false" outlineLevel="0" collapsed="false">
      <c r="A94" s="32"/>
      <c r="B94" s="17" t="str">
        <f aca="false">IF(A94="","",IFERROR(INDEX(Calendario!$A$4:$A$107,MATCH(A94,Calendario!$B$4:$B$107,1)),""))</f>
        <v/>
      </c>
      <c r="C94" s="17" t="str">
        <f aca="false">IF(A94="","",YEAR(A94)&amp;"-"&amp;TEXT(MONTH(A94),"00"))</f>
        <v/>
      </c>
      <c r="D94" s="26"/>
      <c r="E94" s="26"/>
      <c r="F94" s="26"/>
      <c r="G94" s="26"/>
      <c r="H94" s="27"/>
      <c r="I94" s="29"/>
      <c r="J94" s="26"/>
      <c r="K94" s="26"/>
      <c r="L94" s="27"/>
      <c r="M94" s="26"/>
      <c r="N94" s="26"/>
      <c r="O94" s="26"/>
    </row>
    <row r="95" customFormat="false" ht="15" hidden="false" customHeight="false" outlineLevel="0" collapsed="false">
      <c r="A95" s="32"/>
      <c r="B95" s="17" t="str">
        <f aca="false">IF(A95="","",IFERROR(INDEX(Calendario!$A$4:$A$107,MATCH(A95,Calendario!$B$4:$B$107,1)),""))</f>
        <v/>
      </c>
      <c r="C95" s="17" t="str">
        <f aca="false">IF(A95="","",YEAR(A95)&amp;"-"&amp;TEXT(MONTH(A95),"00"))</f>
        <v/>
      </c>
      <c r="D95" s="26"/>
      <c r="E95" s="26"/>
      <c r="F95" s="26"/>
      <c r="G95" s="26"/>
      <c r="H95" s="27"/>
      <c r="I95" s="29"/>
      <c r="J95" s="26"/>
      <c r="K95" s="26"/>
      <c r="L95" s="27"/>
      <c r="M95" s="26"/>
      <c r="N95" s="26"/>
      <c r="O95" s="26"/>
    </row>
    <row r="96" customFormat="false" ht="15" hidden="false" customHeight="false" outlineLevel="0" collapsed="false">
      <c r="A96" s="32"/>
      <c r="B96" s="17" t="str">
        <f aca="false">IF(A96="","",IFERROR(INDEX(Calendario!$A$4:$A$107,MATCH(A96,Calendario!$B$4:$B$107,1)),""))</f>
        <v/>
      </c>
      <c r="C96" s="17" t="str">
        <f aca="false">IF(A96="","",YEAR(A96)&amp;"-"&amp;TEXT(MONTH(A96),"00"))</f>
        <v/>
      </c>
      <c r="D96" s="26"/>
      <c r="E96" s="26"/>
      <c r="F96" s="26"/>
      <c r="G96" s="26"/>
      <c r="H96" s="27"/>
      <c r="I96" s="29"/>
      <c r="J96" s="26"/>
      <c r="K96" s="26"/>
      <c r="L96" s="27"/>
      <c r="M96" s="26"/>
      <c r="N96" s="26"/>
      <c r="O96" s="26"/>
    </row>
    <row r="97" customFormat="false" ht="15" hidden="false" customHeight="false" outlineLevel="0" collapsed="false">
      <c r="A97" s="32"/>
      <c r="B97" s="17" t="str">
        <f aca="false">IF(A97="","",IFERROR(INDEX(Calendario!$A$4:$A$107,MATCH(A97,Calendario!$B$4:$B$107,1)),""))</f>
        <v/>
      </c>
      <c r="C97" s="17" t="str">
        <f aca="false">IF(A97="","",YEAR(A97)&amp;"-"&amp;TEXT(MONTH(A97),"00"))</f>
        <v/>
      </c>
      <c r="D97" s="26"/>
      <c r="E97" s="26"/>
      <c r="F97" s="26"/>
      <c r="G97" s="26"/>
      <c r="H97" s="27"/>
      <c r="I97" s="29"/>
      <c r="J97" s="26"/>
      <c r="K97" s="26"/>
      <c r="L97" s="27"/>
      <c r="M97" s="26"/>
      <c r="N97" s="26"/>
      <c r="O97" s="26"/>
    </row>
    <row r="98" customFormat="false" ht="15" hidden="false" customHeight="false" outlineLevel="0" collapsed="false">
      <c r="A98" s="32"/>
      <c r="B98" s="17" t="str">
        <f aca="false">IF(A98="","",IFERROR(INDEX(Calendario!$A$4:$A$107,MATCH(A98,Calendario!$B$4:$B$107,1)),""))</f>
        <v/>
      </c>
      <c r="C98" s="17" t="str">
        <f aca="false">IF(A98="","",YEAR(A98)&amp;"-"&amp;TEXT(MONTH(A98),"00"))</f>
        <v/>
      </c>
      <c r="D98" s="26"/>
      <c r="E98" s="26"/>
      <c r="F98" s="26"/>
      <c r="G98" s="26"/>
      <c r="H98" s="27"/>
      <c r="I98" s="29"/>
      <c r="J98" s="26"/>
      <c r="K98" s="26"/>
      <c r="L98" s="27"/>
      <c r="M98" s="26"/>
      <c r="N98" s="26"/>
      <c r="O98" s="26"/>
    </row>
    <row r="99" customFormat="false" ht="15" hidden="false" customHeight="false" outlineLevel="0" collapsed="false">
      <c r="A99" s="32"/>
      <c r="B99" s="17" t="str">
        <f aca="false">IF(A99="","",IFERROR(INDEX(Calendario!$A$4:$A$107,MATCH(A99,Calendario!$B$4:$B$107,1)),""))</f>
        <v/>
      </c>
      <c r="C99" s="17" t="str">
        <f aca="false">IF(A99="","",YEAR(A99)&amp;"-"&amp;TEXT(MONTH(A99),"00"))</f>
        <v/>
      </c>
      <c r="D99" s="26"/>
      <c r="E99" s="26"/>
      <c r="F99" s="26"/>
      <c r="G99" s="26"/>
      <c r="H99" s="27"/>
      <c r="I99" s="29"/>
      <c r="J99" s="26"/>
      <c r="K99" s="26"/>
      <c r="L99" s="27"/>
      <c r="M99" s="26"/>
      <c r="N99" s="26"/>
      <c r="O99" s="26"/>
    </row>
    <row r="100" customFormat="false" ht="15" hidden="false" customHeight="false" outlineLevel="0" collapsed="false">
      <c r="A100" s="32"/>
      <c r="B100" s="17" t="str">
        <f aca="false">IF(A100="","",IFERROR(INDEX(Calendario!$A$4:$A$107,MATCH(A100,Calendario!$B$4:$B$107,1)),""))</f>
        <v/>
      </c>
      <c r="C100" s="17" t="str">
        <f aca="false">IF(A100="","",YEAR(A100)&amp;"-"&amp;TEXT(MONTH(A100),"00"))</f>
        <v/>
      </c>
      <c r="D100" s="26"/>
      <c r="E100" s="26"/>
      <c r="F100" s="26"/>
      <c r="G100" s="26"/>
      <c r="H100" s="27"/>
      <c r="I100" s="29"/>
      <c r="J100" s="26"/>
      <c r="K100" s="26"/>
      <c r="L100" s="27"/>
      <c r="M100" s="26"/>
      <c r="N100" s="26"/>
      <c r="O100" s="26"/>
    </row>
    <row r="101" customFormat="false" ht="15" hidden="false" customHeight="false" outlineLevel="0" collapsed="false">
      <c r="A101" s="32"/>
      <c r="B101" s="17" t="str">
        <f aca="false">IF(A101="","",IFERROR(INDEX(Calendario!$A$4:$A$107,MATCH(A101,Calendario!$B$4:$B$107,1)),""))</f>
        <v/>
      </c>
      <c r="C101" s="17" t="str">
        <f aca="false">IF(A101="","",YEAR(A101)&amp;"-"&amp;TEXT(MONTH(A101),"00"))</f>
        <v/>
      </c>
      <c r="D101" s="26"/>
      <c r="E101" s="26"/>
      <c r="F101" s="26"/>
      <c r="G101" s="26"/>
      <c r="H101" s="27"/>
      <c r="I101" s="29"/>
      <c r="J101" s="26"/>
      <c r="K101" s="26"/>
      <c r="L101" s="27"/>
      <c r="M101" s="26"/>
      <c r="N101" s="26"/>
      <c r="O101" s="26"/>
    </row>
    <row r="102" customFormat="false" ht="15" hidden="false" customHeight="false" outlineLevel="0" collapsed="false">
      <c r="A102" s="32"/>
      <c r="B102" s="17" t="str">
        <f aca="false">IF(A102="","",IFERROR(INDEX(Calendario!$A$4:$A$107,MATCH(A102,Calendario!$B$4:$B$107,1)),""))</f>
        <v/>
      </c>
      <c r="C102" s="17" t="str">
        <f aca="false">IF(A102="","",YEAR(A102)&amp;"-"&amp;TEXT(MONTH(A102),"00"))</f>
        <v/>
      </c>
      <c r="D102" s="26"/>
      <c r="E102" s="26"/>
      <c r="F102" s="26"/>
      <c r="G102" s="26"/>
      <c r="H102" s="27"/>
      <c r="I102" s="29"/>
      <c r="J102" s="26"/>
      <c r="K102" s="26"/>
      <c r="L102" s="27"/>
      <c r="M102" s="26"/>
      <c r="N102" s="26"/>
      <c r="O102" s="26"/>
    </row>
    <row r="103" customFormat="false" ht="15" hidden="false" customHeight="false" outlineLevel="0" collapsed="false">
      <c r="A103" s="32"/>
      <c r="B103" s="17" t="str">
        <f aca="false">IF(A103="","",IFERROR(INDEX(Calendario!$A$4:$A$107,MATCH(A103,Calendario!$B$4:$B$107,1)),""))</f>
        <v/>
      </c>
      <c r="C103" s="17" t="str">
        <f aca="false">IF(A103="","",YEAR(A103)&amp;"-"&amp;TEXT(MONTH(A103),"00"))</f>
        <v/>
      </c>
      <c r="D103" s="26"/>
      <c r="E103" s="26"/>
      <c r="F103" s="26"/>
      <c r="G103" s="26"/>
      <c r="H103" s="27"/>
      <c r="I103" s="29"/>
      <c r="J103" s="26"/>
      <c r="K103" s="26"/>
      <c r="L103" s="27"/>
      <c r="M103" s="26"/>
      <c r="N103" s="26"/>
      <c r="O103" s="26"/>
    </row>
    <row r="104" customFormat="false" ht="15" hidden="false" customHeight="false" outlineLevel="0" collapsed="false">
      <c r="A104" s="32"/>
      <c r="B104" s="17" t="str">
        <f aca="false">IF(A104="","",IFERROR(INDEX(Calendario!$A$4:$A$107,MATCH(A104,Calendario!$B$4:$B$107,1)),""))</f>
        <v/>
      </c>
      <c r="C104" s="17" t="str">
        <f aca="false">IF(A104="","",YEAR(A104)&amp;"-"&amp;TEXT(MONTH(A104),"00"))</f>
        <v/>
      </c>
      <c r="D104" s="26"/>
      <c r="E104" s="26"/>
      <c r="F104" s="26"/>
      <c r="G104" s="26"/>
      <c r="H104" s="27"/>
      <c r="I104" s="29"/>
      <c r="J104" s="26"/>
      <c r="K104" s="26"/>
      <c r="L104" s="27"/>
      <c r="M104" s="26"/>
      <c r="N104" s="26"/>
      <c r="O104" s="26"/>
    </row>
    <row r="105" customFormat="false" ht="15" hidden="false" customHeight="false" outlineLevel="0" collapsed="false">
      <c r="A105" s="32"/>
      <c r="B105" s="17" t="str">
        <f aca="false">IF(A105="","",IFERROR(INDEX(Calendario!$A$4:$A$107,MATCH(A105,Calendario!$B$4:$B$107,1)),""))</f>
        <v/>
      </c>
      <c r="C105" s="17" t="str">
        <f aca="false">IF(A105="","",YEAR(A105)&amp;"-"&amp;TEXT(MONTH(A105),"00"))</f>
        <v/>
      </c>
      <c r="D105" s="26"/>
      <c r="E105" s="26"/>
      <c r="F105" s="26"/>
      <c r="G105" s="26"/>
      <c r="H105" s="27"/>
      <c r="I105" s="29"/>
      <c r="J105" s="26"/>
      <c r="K105" s="26"/>
      <c r="L105" s="27"/>
      <c r="M105" s="26"/>
      <c r="N105" s="26"/>
      <c r="O105" s="26"/>
    </row>
    <row r="106" customFormat="false" ht="15" hidden="false" customHeight="false" outlineLevel="0" collapsed="false">
      <c r="A106" s="32"/>
      <c r="B106" s="17" t="str">
        <f aca="false">IF(A106="","",IFERROR(INDEX(Calendario!$A$4:$A$107,MATCH(A106,Calendario!$B$4:$B$107,1)),""))</f>
        <v/>
      </c>
      <c r="C106" s="17" t="str">
        <f aca="false">IF(A106="","",YEAR(A106)&amp;"-"&amp;TEXT(MONTH(A106),"00"))</f>
        <v/>
      </c>
      <c r="D106" s="26"/>
      <c r="E106" s="26"/>
      <c r="F106" s="26"/>
      <c r="G106" s="26"/>
      <c r="H106" s="27"/>
      <c r="I106" s="29"/>
      <c r="J106" s="26"/>
      <c r="K106" s="26"/>
      <c r="L106" s="27"/>
      <c r="M106" s="26"/>
      <c r="N106" s="26"/>
      <c r="O106" s="26"/>
    </row>
    <row r="107" customFormat="false" ht="15" hidden="false" customHeight="false" outlineLevel="0" collapsed="false">
      <c r="A107" s="32"/>
      <c r="B107" s="17" t="str">
        <f aca="false">IF(A107="","",IFERROR(INDEX(Calendario!$A$4:$A$107,MATCH(A107,Calendario!$B$4:$B$107,1)),""))</f>
        <v/>
      </c>
      <c r="C107" s="17" t="str">
        <f aca="false">IF(A107="","",YEAR(A107)&amp;"-"&amp;TEXT(MONTH(A107),"00"))</f>
        <v/>
      </c>
      <c r="D107" s="26"/>
      <c r="E107" s="26"/>
      <c r="F107" s="26"/>
      <c r="G107" s="26"/>
      <c r="H107" s="27"/>
      <c r="I107" s="29"/>
      <c r="J107" s="26"/>
      <c r="K107" s="26"/>
      <c r="L107" s="27"/>
      <c r="M107" s="26"/>
      <c r="N107" s="26"/>
      <c r="O107" s="26"/>
    </row>
    <row r="108" customFormat="false" ht="15" hidden="false" customHeight="false" outlineLevel="0" collapsed="false">
      <c r="A108" s="32"/>
      <c r="B108" s="17" t="str">
        <f aca="false">IF(A108="","",IFERROR(INDEX(Calendario!$A$4:$A$107,MATCH(A108,Calendario!$B$4:$B$107,1)),""))</f>
        <v/>
      </c>
      <c r="C108" s="17" t="str">
        <f aca="false">IF(A108="","",YEAR(A108)&amp;"-"&amp;TEXT(MONTH(A108),"00"))</f>
        <v/>
      </c>
      <c r="D108" s="26"/>
      <c r="E108" s="26"/>
      <c r="F108" s="26"/>
      <c r="G108" s="26"/>
      <c r="H108" s="27"/>
      <c r="I108" s="29"/>
      <c r="J108" s="26"/>
      <c r="K108" s="26"/>
      <c r="L108" s="27"/>
      <c r="M108" s="26"/>
      <c r="N108" s="26"/>
      <c r="O108" s="26"/>
    </row>
    <row r="109" customFormat="false" ht="15" hidden="false" customHeight="false" outlineLevel="0" collapsed="false">
      <c r="A109" s="32"/>
      <c r="B109" s="17" t="str">
        <f aca="false">IF(A109="","",IFERROR(INDEX(Calendario!$A$4:$A$107,MATCH(A109,Calendario!$B$4:$B$107,1)),""))</f>
        <v/>
      </c>
      <c r="C109" s="17" t="str">
        <f aca="false">IF(A109="","",YEAR(A109)&amp;"-"&amp;TEXT(MONTH(A109),"00"))</f>
        <v/>
      </c>
      <c r="D109" s="26"/>
      <c r="E109" s="26"/>
      <c r="F109" s="26"/>
      <c r="G109" s="26"/>
      <c r="H109" s="27"/>
      <c r="I109" s="29"/>
      <c r="J109" s="26"/>
      <c r="K109" s="26"/>
      <c r="L109" s="27"/>
      <c r="M109" s="26"/>
      <c r="N109" s="26"/>
      <c r="O109" s="26"/>
    </row>
    <row r="110" customFormat="false" ht="15" hidden="false" customHeight="false" outlineLevel="0" collapsed="false">
      <c r="A110" s="32"/>
      <c r="B110" s="17" t="str">
        <f aca="false">IF(A110="","",IFERROR(INDEX(Calendario!$A$4:$A$107,MATCH(A110,Calendario!$B$4:$B$107,1)),""))</f>
        <v/>
      </c>
      <c r="C110" s="17" t="str">
        <f aca="false">IF(A110="","",YEAR(A110)&amp;"-"&amp;TEXT(MONTH(A110),"00"))</f>
        <v/>
      </c>
      <c r="D110" s="26"/>
      <c r="E110" s="26"/>
      <c r="F110" s="26"/>
      <c r="G110" s="26"/>
      <c r="H110" s="27"/>
      <c r="I110" s="29"/>
      <c r="J110" s="26"/>
      <c r="K110" s="26"/>
      <c r="L110" s="27"/>
      <c r="M110" s="26"/>
      <c r="N110" s="26"/>
      <c r="O110" s="26"/>
    </row>
    <row r="111" customFormat="false" ht="15" hidden="false" customHeight="false" outlineLevel="0" collapsed="false">
      <c r="A111" s="32"/>
      <c r="B111" s="17" t="str">
        <f aca="false">IF(A111="","",IFERROR(INDEX(Calendario!$A$4:$A$107,MATCH(A111,Calendario!$B$4:$B$107,1)),""))</f>
        <v/>
      </c>
      <c r="C111" s="17" t="str">
        <f aca="false">IF(A111="","",YEAR(A111)&amp;"-"&amp;TEXT(MONTH(A111),"00"))</f>
        <v/>
      </c>
      <c r="D111" s="26"/>
      <c r="E111" s="26"/>
      <c r="F111" s="26"/>
      <c r="G111" s="26"/>
      <c r="H111" s="27"/>
      <c r="I111" s="29"/>
      <c r="J111" s="26"/>
      <c r="K111" s="26"/>
      <c r="L111" s="27"/>
      <c r="M111" s="26"/>
      <c r="N111" s="26"/>
      <c r="O111" s="26"/>
    </row>
    <row r="112" customFormat="false" ht="15" hidden="false" customHeight="false" outlineLevel="0" collapsed="false">
      <c r="A112" s="32"/>
      <c r="B112" s="17" t="str">
        <f aca="false">IF(A112="","",IFERROR(INDEX(Calendario!$A$4:$A$107,MATCH(A112,Calendario!$B$4:$B$107,1)),""))</f>
        <v/>
      </c>
      <c r="C112" s="17" t="str">
        <f aca="false">IF(A112="","",YEAR(A112)&amp;"-"&amp;TEXT(MONTH(A112),"00"))</f>
        <v/>
      </c>
      <c r="D112" s="26"/>
      <c r="E112" s="26"/>
      <c r="F112" s="26"/>
      <c r="G112" s="26"/>
      <c r="H112" s="27"/>
      <c r="I112" s="29"/>
      <c r="J112" s="26"/>
      <c r="K112" s="26"/>
      <c r="L112" s="27"/>
      <c r="M112" s="26"/>
      <c r="N112" s="26"/>
      <c r="O112" s="26"/>
    </row>
    <row r="113" customFormat="false" ht="15" hidden="false" customHeight="false" outlineLevel="0" collapsed="false">
      <c r="A113" s="32"/>
      <c r="B113" s="17" t="str">
        <f aca="false">IF(A113="","",IFERROR(INDEX(Calendario!$A$4:$A$107,MATCH(A113,Calendario!$B$4:$B$107,1)),""))</f>
        <v/>
      </c>
      <c r="C113" s="17" t="str">
        <f aca="false">IF(A113="","",YEAR(A113)&amp;"-"&amp;TEXT(MONTH(A113),"00"))</f>
        <v/>
      </c>
      <c r="D113" s="26"/>
      <c r="E113" s="26"/>
      <c r="F113" s="26"/>
      <c r="G113" s="26"/>
      <c r="H113" s="27"/>
      <c r="I113" s="29"/>
      <c r="J113" s="26"/>
      <c r="K113" s="26"/>
      <c r="L113" s="27"/>
      <c r="M113" s="26"/>
      <c r="N113" s="26"/>
      <c r="O113" s="26"/>
    </row>
    <row r="114" customFormat="false" ht="15" hidden="false" customHeight="false" outlineLevel="0" collapsed="false">
      <c r="A114" s="32"/>
      <c r="B114" s="17" t="str">
        <f aca="false">IF(A114="","",IFERROR(INDEX(Calendario!$A$4:$A$107,MATCH(A114,Calendario!$B$4:$B$107,1)),""))</f>
        <v/>
      </c>
      <c r="C114" s="17" t="str">
        <f aca="false">IF(A114="","",YEAR(A114)&amp;"-"&amp;TEXT(MONTH(A114),"00"))</f>
        <v/>
      </c>
      <c r="D114" s="26"/>
      <c r="E114" s="26"/>
      <c r="F114" s="26"/>
      <c r="G114" s="26"/>
      <c r="H114" s="27"/>
      <c r="I114" s="29"/>
      <c r="J114" s="26"/>
      <c r="K114" s="26"/>
      <c r="L114" s="27"/>
      <c r="M114" s="26"/>
      <c r="N114" s="26"/>
      <c r="O114" s="26"/>
    </row>
    <row r="115" customFormat="false" ht="15" hidden="false" customHeight="false" outlineLevel="0" collapsed="false">
      <c r="A115" s="32"/>
      <c r="B115" s="17" t="str">
        <f aca="false">IF(A115="","",IFERROR(INDEX(Calendario!$A$4:$A$107,MATCH(A115,Calendario!$B$4:$B$107,1)),""))</f>
        <v/>
      </c>
      <c r="C115" s="17" t="str">
        <f aca="false">IF(A115="","",YEAR(A115)&amp;"-"&amp;TEXT(MONTH(A115),"00"))</f>
        <v/>
      </c>
      <c r="D115" s="26"/>
      <c r="E115" s="26"/>
      <c r="F115" s="26"/>
      <c r="G115" s="26"/>
      <c r="H115" s="27"/>
      <c r="I115" s="29"/>
      <c r="J115" s="26"/>
      <c r="K115" s="26"/>
      <c r="L115" s="27"/>
      <c r="M115" s="26"/>
      <c r="N115" s="26"/>
      <c r="O115" s="26"/>
    </row>
    <row r="116" customFormat="false" ht="15" hidden="false" customHeight="false" outlineLevel="0" collapsed="false">
      <c r="A116" s="32"/>
      <c r="B116" s="17" t="str">
        <f aca="false">IF(A116="","",IFERROR(INDEX(Calendario!$A$4:$A$107,MATCH(A116,Calendario!$B$4:$B$107,1)),""))</f>
        <v/>
      </c>
      <c r="C116" s="17" t="str">
        <f aca="false">IF(A116="","",YEAR(A116)&amp;"-"&amp;TEXT(MONTH(A116),"00"))</f>
        <v/>
      </c>
      <c r="D116" s="26"/>
      <c r="E116" s="26"/>
      <c r="F116" s="26"/>
      <c r="G116" s="26"/>
      <c r="H116" s="27"/>
      <c r="I116" s="29"/>
      <c r="J116" s="26"/>
      <c r="K116" s="26"/>
      <c r="L116" s="27"/>
      <c r="M116" s="26"/>
      <c r="N116" s="26"/>
      <c r="O116" s="26"/>
    </row>
    <row r="117" customFormat="false" ht="15" hidden="false" customHeight="false" outlineLevel="0" collapsed="false">
      <c r="A117" s="32"/>
      <c r="B117" s="17" t="str">
        <f aca="false">IF(A117="","",IFERROR(INDEX(Calendario!$A$4:$A$107,MATCH(A117,Calendario!$B$4:$B$107,1)),""))</f>
        <v/>
      </c>
      <c r="C117" s="17" t="str">
        <f aca="false">IF(A117="","",YEAR(A117)&amp;"-"&amp;TEXT(MONTH(A117),"00"))</f>
        <v/>
      </c>
      <c r="D117" s="26"/>
      <c r="E117" s="26"/>
      <c r="F117" s="26"/>
      <c r="G117" s="26"/>
      <c r="H117" s="27"/>
      <c r="I117" s="29"/>
      <c r="J117" s="26"/>
      <c r="K117" s="26"/>
      <c r="L117" s="27"/>
      <c r="M117" s="26"/>
      <c r="N117" s="26"/>
      <c r="O117" s="26"/>
    </row>
    <row r="118" customFormat="false" ht="15" hidden="false" customHeight="false" outlineLevel="0" collapsed="false">
      <c r="A118" s="32"/>
      <c r="B118" s="17" t="str">
        <f aca="false">IF(A118="","",IFERROR(INDEX(Calendario!$A$4:$A$107,MATCH(A118,Calendario!$B$4:$B$107,1)),""))</f>
        <v/>
      </c>
      <c r="C118" s="17" t="str">
        <f aca="false">IF(A118="","",YEAR(A118)&amp;"-"&amp;TEXT(MONTH(A118),"00"))</f>
        <v/>
      </c>
      <c r="D118" s="26"/>
      <c r="E118" s="26"/>
      <c r="F118" s="26"/>
      <c r="G118" s="26"/>
      <c r="H118" s="27"/>
      <c r="I118" s="29"/>
      <c r="J118" s="26"/>
      <c r="K118" s="26"/>
      <c r="L118" s="27"/>
      <c r="M118" s="26"/>
      <c r="N118" s="26"/>
      <c r="O118" s="26"/>
    </row>
    <row r="119" customFormat="false" ht="15" hidden="false" customHeight="false" outlineLevel="0" collapsed="false">
      <c r="A119" s="32"/>
      <c r="B119" s="17" t="str">
        <f aca="false">IF(A119="","",IFERROR(INDEX(Calendario!$A$4:$A$107,MATCH(A119,Calendario!$B$4:$B$107,1)),""))</f>
        <v/>
      </c>
      <c r="C119" s="17" t="str">
        <f aca="false">IF(A119="","",YEAR(A119)&amp;"-"&amp;TEXT(MONTH(A119),"00"))</f>
        <v/>
      </c>
      <c r="D119" s="26"/>
      <c r="E119" s="26"/>
      <c r="F119" s="26"/>
      <c r="G119" s="26"/>
      <c r="H119" s="27"/>
      <c r="I119" s="29"/>
      <c r="J119" s="26"/>
      <c r="K119" s="26"/>
      <c r="L119" s="27"/>
      <c r="M119" s="26"/>
      <c r="N119" s="26"/>
      <c r="O119" s="26"/>
    </row>
    <row r="120" customFormat="false" ht="15" hidden="false" customHeight="false" outlineLevel="0" collapsed="false">
      <c r="A120" s="32"/>
      <c r="B120" s="17" t="str">
        <f aca="false">IF(A120="","",IFERROR(INDEX(Calendario!$A$4:$A$107,MATCH(A120,Calendario!$B$4:$B$107,1)),""))</f>
        <v/>
      </c>
      <c r="C120" s="17" t="str">
        <f aca="false">IF(A120="","",YEAR(A120)&amp;"-"&amp;TEXT(MONTH(A120),"00"))</f>
        <v/>
      </c>
      <c r="D120" s="26"/>
      <c r="E120" s="26"/>
      <c r="F120" s="26"/>
      <c r="G120" s="26"/>
      <c r="H120" s="27"/>
      <c r="I120" s="29"/>
      <c r="J120" s="26"/>
      <c r="K120" s="26"/>
      <c r="L120" s="27"/>
      <c r="M120" s="26"/>
      <c r="N120" s="26"/>
      <c r="O120" s="26"/>
    </row>
    <row r="121" customFormat="false" ht="15" hidden="false" customHeight="false" outlineLevel="0" collapsed="false">
      <c r="A121" s="32"/>
      <c r="B121" s="17" t="str">
        <f aca="false">IF(A121="","",IFERROR(INDEX(Calendario!$A$4:$A$107,MATCH(A121,Calendario!$B$4:$B$107,1)),""))</f>
        <v/>
      </c>
      <c r="C121" s="17" t="str">
        <f aca="false">IF(A121="","",YEAR(A121)&amp;"-"&amp;TEXT(MONTH(A121),"00"))</f>
        <v/>
      </c>
      <c r="D121" s="26"/>
      <c r="E121" s="26"/>
      <c r="F121" s="26"/>
      <c r="G121" s="26"/>
      <c r="H121" s="27"/>
      <c r="I121" s="29"/>
      <c r="J121" s="26"/>
      <c r="K121" s="26"/>
      <c r="L121" s="27"/>
      <c r="M121" s="26"/>
      <c r="N121" s="26"/>
      <c r="O121" s="26"/>
    </row>
    <row r="122" customFormat="false" ht="15" hidden="false" customHeight="false" outlineLevel="0" collapsed="false">
      <c r="A122" s="32"/>
      <c r="B122" s="17" t="str">
        <f aca="false">IF(A122="","",IFERROR(INDEX(Calendario!$A$4:$A$107,MATCH(A122,Calendario!$B$4:$B$107,1)),""))</f>
        <v/>
      </c>
      <c r="C122" s="17" t="str">
        <f aca="false">IF(A122="","",YEAR(A122)&amp;"-"&amp;TEXT(MONTH(A122),"00"))</f>
        <v/>
      </c>
      <c r="D122" s="26"/>
      <c r="E122" s="26"/>
      <c r="F122" s="26"/>
      <c r="G122" s="26"/>
      <c r="H122" s="27"/>
      <c r="I122" s="29"/>
      <c r="J122" s="26"/>
      <c r="K122" s="26"/>
      <c r="L122" s="27"/>
      <c r="M122" s="26"/>
      <c r="N122" s="26"/>
      <c r="O122" s="26"/>
    </row>
    <row r="123" customFormat="false" ht="15" hidden="false" customHeight="false" outlineLevel="0" collapsed="false">
      <c r="A123" s="32"/>
      <c r="B123" s="17" t="str">
        <f aca="false">IF(A123="","",IFERROR(INDEX(Calendario!$A$4:$A$107,MATCH(A123,Calendario!$B$4:$B$107,1)),""))</f>
        <v/>
      </c>
      <c r="C123" s="17" t="str">
        <f aca="false">IF(A123="","",YEAR(A123)&amp;"-"&amp;TEXT(MONTH(A123),"00"))</f>
        <v/>
      </c>
      <c r="D123" s="26"/>
      <c r="E123" s="26"/>
      <c r="F123" s="26"/>
      <c r="G123" s="26"/>
      <c r="H123" s="27"/>
      <c r="I123" s="29"/>
      <c r="J123" s="26"/>
      <c r="K123" s="26"/>
      <c r="L123" s="27"/>
      <c r="M123" s="26"/>
      <c r="N123" s="26"/>
      <c r="O123" s="26"/>
    </row>
    <row r="124" customFormat="false" ht="15" hidden="false" customHeight="false" outlineLevel="0" collapsed="false">
      <c r="A124" s="32"/>
      <c r="B124" s="17" t="str">
        <f aca="false">IF(A124="","",IFERROR(INDEX(Calendario!$A$4:$A$107,MATCH(A124,Calendario!$B$4:$B$107,1)),""))</f>
        <v/>
      </c>
      <c r="C124" s="17" t="str">
        <f aca="false">IF(A124="","",YEAR(A124)&amp;"-"&amp;TEXT(MONTH(A124),"00"))</f>
        <v/>
      </c>
      <c r="D124" s="26"/>
      <c r="E124" s="26"/>
      <c r="F124" s="26"/>
      <c r="G124" s="26"/>
      <c r="H124" s="27"/>
      <c r="I124" s="29"/>
      <c r="J124" s="26"/>
      <c r="K124" s="26"/>
      <c r="L124" s="27"/>
      <c r="M124" s="26"/>
      <c r="N124" s="26"/>
      <c r="O124" s="26"/>
    </row>
    <row r="125" customFormat="false" ht="15" hidden="false" customHeight="false" outlineLevel="0" collapsed="false">
      <c r="A125" s="32"/>
      <c r="B125" s="17" t="str">
        <f aca="false">IF(A125="","",IFERROR(INDEX(Calendario!$A$4:$A$107,MATCH(A125,Calendario!$B$4:$B$107,1)),""))</f>
        <v/>
      </c>
      <c r="C125" s="17" t="str">
        <f aca="false">IF(A125="","",YEAR(A125)&amp;"-"&amp;TEXT(MONTH(A125),"00"))</f>
        <v/>
      </c>
      <c r="D125" s="26"/>
      <c r="E125" s="26"/>
      <c r="F125" s="26"/>
      <c r="G125" s="26"/>
      <c r="H125" s="27"/>
      <c r="I125" s="29"/>
      <c r="J125" s="26"/>
      <c r="K125" s="26"/>
      <c r="L125" s="27"/>
      <c r="M125" s="26"/>
      <c r="N125" s="26"/>
      <c r="O125" s="26"/>
    </row>
    <row r="126" customFormat="false" ht="15" hidden="false" customHeight="false" outlineLevel="0" collapsed="false">
      <c r="A126" s="32"/>
      <c r="B126" s="17" t="str">
        <f aca="false">IF(A126="","",IFERROR(INDEX(Calendario!$A$4:$A$107,MATCH(A126,Calendario!$B$4:$B$107,1)),""))</f>
        <v/>
      </c>
      <c r="C126" s="17" t="str">
        <f aca="false">IF(A126="","",YEAR(A126)&amp;"-"&amp;TEXT(MONTH(A126),"00"))</f>
        <v/>
      </c>
      <c r="D126" s="26"/>
      <c r="E126" s="26"/>
      <c r="F126" s="26"/>
      <c r="G126" s="26"/>
      <c r="H126" s="27"/>
      <c r="I126" s="29"/>
      <c r="J126" s="26"/>
      <c r="K126" s="26"/>
      <c r="L126" s="27"/>
      <c r="M126" s="26"/>
      <c r="N126" s="26"/>
      <c r="O126" s="26"/>
    </row>
    <row r="127" customFormat="false" ht="15" hidden="false" customHeight="false" outlineLevel="0" collapsed="false">
      <c r="A127" s="32"/>
      <c r="B127" s="17" t="str">
        <f aca="false">IF(A127="","",IFERROR(INDEX(Calendario!$A$4:$A$107,MATCH(A127,Calendario!$B$4:$B$107,1)),""))</f>
        <v/>
      </c>
      <c r="C127" s="17" t="str">
        <f aca="false">IF(A127="","",YEAR(A127)&amp;"-"&amp;TEXT(MONTH(A127),"00"))</f>
        <v/>
      </c>
      <c r="D127" s="26"/>
      <c r="E127" s="26"/>
      <c r="F127" s="26"/>
      <c r="G127" s="26"/>
      <c r="H127" s="27"/>
      <c r="I127" s="29"/>
      <c r="J127" s="26"/>
      <c r="K127" s="26"/>
      <c r="L127" s="27"/>
      <c r="M127" s="26"/>
      <c r="N127" s="26"/>
      <c r="O127" s="26"/>
    </row>
    <row r="128" customFormat="false" ht="15" hidden="false" customHeight="false" outlineLevel="0" collapsed="false">
      <c r="A128" s="32"/>
      <c r="B128" s="17" t="str">
        <f aca="false">IF(A128="","",IFERROR(INDEX(Calendario!$A$4:$A$107,MATCH(A128,Calendario!$B$4:$B$107,1)),""))</f>
        <v/>
      </c>
      <c r="C128" s="17" t="str">
        <f aca="false">IF(A128="","",YEAR(A128)&amp;"-"&amp;TEXT(MONTH(A128),"00"))</f>
        <v/>
      </c>
      <c r="D128" s="26"/>
      <c r="E128" s="26"/>
      <c r="F128" s="26"/>
      <c r="G128" s="26"/>
      <c r="H128" s="27"/>
      <c r="I128" s="29"/>
      <c r="J128" s="26"/>
      <c r="K128" s="26"/>
      <c r="L128" s="27"/>
      <c r="M128" s="26"/>
      <c r="N128" s="26"/>
      <c r="O128" s="26"/>
    </row>
    <row r="129" customFormat="false" ht="15" hidden="false" customHeight="false" outlineLevel="0" collapsed="false">
      <c r="A129" s="32"/>
      <c r="B129" s="17" t="str">
        <f aca="false">IF(A129="","",IFERROR(INDEX(Calendario!$A$4:$A$107,MATCH(A129,Calendario!$B$4:$B$107,1)),""))</f>
        <v/>
      </c>
      <c r="C129" s="17" t="str">
        <f aca="false">IF(A129="","",YEAR(A129)&amp;"-"&amp;TEXT(MONTH(A129),"00"))</f>
        <v/>
      </c>
      <c r="D129" s="26"/>
      <c r="E129" s="26"/>
      <c r="F129" s="26"/>
      <c r="G129" s="26"/>
      <c r="H129" s="27"/>
      <c r="I129" s="29"/>
      <c r="J129" s="26"/>
      <c r="K129" s="26"/>
      <c r="L129" s="27"/>
      <c r="M129" s="26"/>
      <c r="N129" s="26"/>
      <c r="O129" s="26"/>
    </row>
    <row r="130" customFormat="false" ht="15" hidden="false" customHeight="false" outlineLevel="0" collapsed="false">
      <c r="A130" s="32"/>
      <c r="B130" s="17" t="str">
        <f aca="false">IF(A130="","",IFERROR(INDEX(Calendario!$A$4:$A$107,MATCH(A130,Calendario!$B$4:$B$107,1)),""))</f>
        <v/>
      </c>
      <c r="C130" s="17" t="str">
        <f aca="false">IF(A130="","",YEAR(A130)&amp;"-"&amp;TEXT(MONTH(A130),"00"))</f>
        <v/>
      </c>
      <c r="D130" s="26"/>
      <c r="E130" s="26"/>
      <c r="F130" s="26"/>
      <c r="G130" s="26"/>
      <c r="H130" s="27"/>
      <c r="I130" s="29"/>
      <c r="J130" s="26"/>
      <c r="K130" s="26"/>
      <c r="L130" s="27"/>
      <c r="M130" s="26"/>
      <c r="N130" s="26"/>
      <c r="O130" s="26"/>
    </row>
    <row r="131" customFormat="false" ht="15" hidden="false" customHeight="false" outlineLevel="0" collapsed="false">
      <c r="A131" s="32"/>
      <c r="B131" s="17" t="str">
        <f aca="false">IF(A131="","",IFERROR(INDEX(Calendario!$A$4:$A$107,MATCH(A131,Calendario!$B$4:$B$107,1)),""))</f>
        <v/>
      </c>
      <c r="C131" s="17" t="str">
        <f aca="false">IF(A131="","",YEAR(A131)&amp;"-"&amp;TEXT(MONTH(A131),"00"))</f>
        <v/>
      </c>
      <c r="D131" s="26"/>
      <c r="E131" s="26"/>
      <c r="F131" s="26"/>
      <c r="G131" s="26"/>
      <c r="H131" s="27"/>
      <c r="I131" s="29"/>
      <c r="J131" s="26"/>
      <c r="K131" s="26"/>
      <c r="L131" s="27"/>
      <c r="M131" s="26"/>
      <c r="N131" s="26"/>
      <c r="O131" s="26"/>
    </row>
    <row r="132" customFormat="false" ht="15" hidden="false" customHeight="false" outlineLevel="0" collapsed="false">
      <c r="A132" s="32"/>
      <c r="B132" s="17" t="str">
        <f aca="false">IF(A132="","",IFERROR(INDEX(Calendario!$A$4:$A$107,MATCH(A132,Calendario!$B$4:$B$107,1)),""))</f>
        <v/>
      </c>
      <c r="C132" s="17" t="str">
        <f aca="false">IF(A132="","",YEAR(A132)&amp;"-"&amp;TEXT(MONTH(A132),"00"))</f>
        <v/>
      </c>
      <c r="D132" s="26"/>
      <c r="E132" s="26"/>
      <c r="F132" s="26"/>
      <c r="G132" s="26"/>
      <c r="H132" s="27"/>
      <c r="I132" s="29"/>
      <c r="J132" s="26"/>
      <c r="K132" s="26"/>
      <c r="L132" s="27"/>
      <c r="M132" s="26"/>
      <c r="N132" s="26"/>
      <c r="O132" s="26"/>
    </row>
    <row r="133" customFormat="false" ht="15" hidden="false" customHeight="false" outlineLevel="0" collapsed="false">
      <c r="A133" s="32"/>
      <c r="B133" s="17" t="str">
        <f aca="false">IF(A133="","",IFERROR(INDEX(Calendario!$A$4:$A$107,MATCH(A133,Calendario!$B$4:$B$107,1)),""))</f>
        <v/>
      </c>
      <c r="C133" s="17" t="str">
        <f aca="false">IF(A133="","",YEAR(A133)&amp;"-"&amp;TEXT(MONTH(A133),"00"))</f>
        <v/>
      </c>
      <c r="D133" s="26"/>
      <c r="E133" s="26"/>
      <c r="F133" s="26"/>
      <c r="G133" s="26"/>
      <c r="H133" s="27"/>
      <c r="I133" s="29"/>
      <c r="J133" s="26"/>
      <c r="K133" s="26"/>
      <c r="L133" s="27"/>
      <c r="M133" s="26"/>
      <c r="N133" s="26"/>
      <c r="O133" s="26"/>
    </row>
    <row r="134" customFormat="false" ht="15" hidden="false" customHeight="false" outlineLevel="0" collapsed="false">
      <c r="A134" s="32"/>
      <c r="B134" s="17" t="str">
        <f aca="false">IF(A134="","",IFERROR(INDEX(Calendario!$A$4:$A$107,MATCH(A134,Calendario!$B$4:$B$107,1)),""))</f>
        <v/>
      </c>
      <c r="C134" s="17" t="str">
        <f aca="false">IF(A134="","",YEAR(A134)&amp;"-"&amp;TEXT(MONTH(A134),"00"))</f>
        <v/>
      </c>
      <c r="D134" s="26"/>
      <c r="E134" s="26"/>
      <c r="F134" s="26"/>
      <c r="G134" s="26"/>
      <c r="H134" s="27"/>
      <c r="I134" s="29"/>
      <c r="J134" s="26"/>
      <c r="K134" s="26"/>
      <c r="L134" s="27"/>
      <c r="M134" s="26"/>
      <c r="N134" s="26"/>
      <c r="O134" s="26"/>
    </row>
    <row r="135" customFormat="false" ht="15" hidden="false" customHeight="false" outlineLevel="0" collapsed="false">
      <c r="A135" s="32"/>
      <c r="B135" s="17" t="str">
        <f aca="false">IF(A135="","",IFERROR(INDEX(Calendario!$A$4:$A$107,MATCH(A135,Calendario!$B$4:$B$107,1)),""))</f>
        <v/>
      </c>
      <c r="C135" s="17" t="str">
        <f aca="false">IF(A135="","",YEAR(A135)&amp;"-"&amp;TEXT(MONTH(A135),"00"))</f>
        <v/>
      </c>
      <c r="D135" s="26"/>
      <c r="E135" s="26"/>
      <c r="F135" s="26"/>
      <c r="G135" s="26"/>
      <c r="H135" s="27"/>
      <c r="I135" s="29"/>
      <c r="J135" s="26"/>
      <c r="K135" s="26"/>
      <c r="L135" s="27"/>
      <c r="M135" s="26"/>
      <c r="N135" s="26"/>
      <c r="O135" s="26"/>
    </row>
    <row r="136" customFormat="false" ht="15" hidden="false" customHeight="false" outlineLevel="0" collapsed="false">
      <c r="A136" s="32"/>
      <c r="B136" s="17" t="str">
        <f aca="false">IF(A136="","",IFERROR(INDEX(Calendario!$A$4:$A$107,MATCH(A136,Calendario!$B$4:$B$107,1)),""))</f>
        <v/>
      </c>
      <c r="C136" s="17" t="str">
        <f aca="false">IF(A136="","",YEAR(A136)&amp;"-"&amp;TEXT(MONTH(A136),"00"))</f>
        <v/>
      </c>
      <c r="D136" s="26"/>
      <c r="E136" s="26"/>
      <c r="F136" s="26"/>
      <c r="G136" s="26"/>
      <c r="H136" s="27"/>
      <c r="I136" s="29"/>
      <c r="J136" s="26"/>
      <c r="K136" s="26"/>
      <c r="L136" s="27"/>
      <c r="M136" s="26"/>
      <c r="N136" s="26"/>
      <c r="O136" s="26"/>
    </row>
    <row r="137" customFormat="false" ht="15" hidden="false" customHeight="false" outlineLevel="0" collapsed="false">
      <c r="A137" s="32"/>
      <c r="B137" s="17" t="str">
        <f aca="false">IF(A137="","",IFERROR(INDEX(Calendario!$A$4:$A$107,MATCH(A137,Calendario!$B$4:$B$107,1)),""))</f>
        <v/>
      </c>
      <c r="C137" s="17" t="str">
        <f aca="false">IF(A137="","",YEAR(A137)&amp;"-"&amp;TEXT(MONTH(A137),"00"))</f>
        <v/>
      </c>
      <c r="D137" s="26"/>
      <c r="E137" s="26"/>
      <c r="F137" s="26"/>
      <c r="G137" s="26"/>
      <c r="H137" s="27"/>
      <c r="I137" s="29"/>
      <c r="J137" s="26"/>
      <c r="K137" s="26"/>
      <c r="L137" s="27"/>
      <c r="M137" s="26"/>
      <c r="N137" s="26"/>
      <c r="O137" s="26"/>
    </row>
    <row r="138" customFormat="false" ht="15" hidden="false" customHeight="false" outlineLevel="0" collapsed="false">
      <c r="A138" s="32"/>
      <c r="B138" s="17" t="str">
        <f aca="false">IF(A138="","",IFERROR(INDEX(Calendario!$A$4:$A$107,MATCH(A138,Calendario!$B$4:$B$107,1)),""))</f>
        <v/>
      </c>
      <c r="C138" s="17" t="str">
        <f aca="false">IF(A138="","",YEAR(A138)&amp;"-"&amp;TEXT(MONTH(A138),"00"))</f>
        <v/>
      </c>
      <c r="D138" s="26"/>
      <c r="E138" s="26"/>
      <c r="F138" s="26"/>
      <c r="G138" s="26"/>
      <c r="H138" s="27"/>
      <c r="I138" s="29"/>
      <c r="J138" s="26"/>
      <c r="K138" s="26"/>
      <c r="L138" s="27"/>
      <c r="M138" s="26"/>
      <c r="N138" s="26"/>
      <c r="O138" s="26"/>
    </row>
    <row r="139" customFormat="false" ht="15" hidden="false" customHeight="false" outlineLevel="0" collapsed="false">
      <c r="A139" s="32"/>
      <c r="B139" s="17" t="str">
        <f aca="false">IF(A139="","",IFERROR(INDEX(Calendario!$A$4:$A$107,MATCH(A139,Calendario!$B$4:$B$107,1)),""))</f>
        <v/>
      </c>
      <c r="C139" s="17" t="str">
        <f aca="false">IF(A139="","",YEAR(A139)&amp;"-"&amp;TEXT(MONTH(A139),"00"))</f>
        <v/>
      </c>
      <c r="D139" s="26"/>
      <c r="E139" s="26"/>
      <c r="F139" s="26"/>
      <c r="G139" s="26"/>
      <c r="H139" s="27"/>
      <c r="I139" s="29"/>
      <c r="J139" s="26"/>
      <c r="K139" s="26"/>
      <c r="L139" s="27"/>
      <c r="M139" s="26"/>
      <c r="N139" s="26"/>
      <c r="O139" s="26"/>
    </row>
    <row r="140" customFormat="false" ht="15" hidden="false" customHeight="false" outlineLevel="0" collapsed="false">
      <c r="A140" s="32"/>
      <c r="B140" s="17" t="str">
        <f aca="false">IF(A140="","",IFERROR(INDEX(Calendario!$A$4:$A$107,MATCH(A140,Calendario!$B$4:$B$107,1)),""))</f>
        <v/>
      </c>
      <c r="C140" s="17" t="str">
        <f aca="false">IF(A140="","",YEAR(A140)&amp;"-"&amp;TEXT(MONTH(A140),"00"))</f>
        <v/>
      </c>
      <c r="D140" s="26"/>
      <c r="E140" s="26"/>
      <c r="F140" s="26"/>
      <c r="G140" s="26"/>
      <c r="H140" s="27"/>
      <c r="I140" s="29"/>
      <c r="J140" s="26"/>
      <c r="K140" s="26"/>
      <c r="L140" s="27"/>
      <c r="M140" s="26"/>
      <c r="N140" s="26"/>
      <c r="O140" s="26"/>
    </row>
    <row r="141" customFormat="false" ht="15" hidden="false" customHeight="false" outlineLevel="0" collapsed="false">
      <c r="A141" s="32"/>
      <c r="B141" s="17" t="str">
        <f aca="false">IF(A141="","",IFERROR(INDEX(Calendario!$A$4:$A$107,MATCH(A141,Calendario!$B$4:$B$107,1)),""))</f>
        <v/>
      </c>
      <c r="C141" s="17" t="str">
        <f aca="false">IF(A141="","",YEAR(A141)&amp;"-"&amp;TEXT(MONTH(A141),"00"))</f>
        <v/>
      </c>
      <c r="D141" s="26"/>
      <c r="E141" s="26"/>
      <c r="F141" s="26"/>
      <c r="G141" s="26"/>
      <c r="H141" s="27"/>
      <c r="I141" s="29"/>
      <c r="J141" s="26"/>
      <c r="K141" s="26"/>
      <c r="L141" s="27"/>
      <c r="M141" s="26"/>
      <c r="N141" s="26"/>
      <c r="O141" s="26"/>
    </row>
    <row r="142" customFormat="false" ht="15" hidden="false" customHeight="false" outlineLevel="0" collapsed="false">
      <c r="A142" s="32"/>
      <c r="B142" s="17" t="str">
        <f aca="false">IF(A142="","",IFERROR(INDEX(Calendario!$A$4:$A$107,MATCH(A142,Calendario!$B$4:$B$107,1)),""))</f>
        <v/>
      </c>
      <c r="C142" s="17" t="str">
        <f aca="false">IF(A142="","",YEAR(A142)&amp;"-"&amp;TEXT(MONTH(A142),"00"))</f>
        <v/>
      </c>
      <c r="D142" s="26"/>
      <c r="E142" s="26"/>
      <c r="F142" s="26"/>
      <c r="G142" s="26"/>
      <c r="H142" s="27"/>
      <c r="I142" s="29"/>
      <c r="J142" s="26"/>
      <c r="K142" s="26"/>
      <c r="L142" s="27"/>
      <c r="M142" s="26"/>
      <c r="N142" s="26"/>
      <c r="O142" s="26"/>
    </row>
    <row r="143" customFormat="false" ht="15" hidden="false" customHeight="false" outlineLevel="0" collapsed="false">
      <c r="A143" s="32"/>
      <c r="B143" s="17" t="str">
        <f aca="false">IF(A143="","",IFERROR(INDEX(Calendario!$A$4:$A$107,MATCH(A143,Calendario!$B$4:$B$107,1)),""))</f>
        <v/>
      </c>
      <c r="C143" s="17" t="str">
        <f aca="false">IF(A143="","",YEAR(A143)&amp;"-"&amp;TEXT(MONTH(A143),"00"))</f>
        <v/>
      </c>
      <c r="D143" s="26"/>
      <c r="E143" s="26"/>
      <c r="F143" s="26"/>
      <c r="G143" s="26"/>
      <c r="H143" s="27"/>
      <c r="I143" s="29"/>
      <c r="J143" s="26"/>
      <c r="K143" s="26"/>
      <c r="L143" s="27"/>
      <c r="M143" s="26"/>
      <c r="N143" s="26"/>
      <c r="O143" s="26"/>
    </row>
    <row r="144" customFormat="false" ht="15" hidden="false" customHeight="false" outlineLevel="0" collapsed="false">
      <c r="A144" s="32"/>
      <c r="B144" s="17" t="str">
        <f aca="false">IF(A144="","",IFERROR(INDEX(Calendario!$A$4:$A$107,MATCH(A144,Calendario!$B$4:$B$107,1)),""))</f>
        <v/>
      </c>
      <c r="C144" s="17" t="str">
        <f aca="false">IF(A144="","",YEAR(A144)&amp;"-"&amp;TEXT(MONTH(A144),"00"))</f>
        <v/>
      </c>
      <c r="D144" s="26"/>
      <c r="E144" s="26"/>
      <c r="F144" s="26"/>
      <c r="G144" s="26"/>
      <c r="H144" s="27"/>
      <c r="I144" s="29"/>
      <c r="J144" s="26"/>
      <c r="K144" s="26"/>
      <c r="L144" s="27"/>
      <c r="M144" s="26"/>
      <c r="N144" s="26"/>
      <c r="O144" s="26"/>
    </row>
    <row r="145" customFormat="false" ht="15" hidden="false" customHeight="false" outlineLevel="0" collapsed="false">
      <c r="A145" s="32"/>
      <c r="B145" s="17" t="str">
        <f aca="false">IF(A145="","",IFERROR(INDEX(Calendario!$A$4:$A$107,MATCH(A145,Calendario!$B$4:$B$107,1)),""))</f>
        <v/>
      </c>
      <c r="C145" s="17" t="str">
        <f aca="false">IF(A145="","",YEAR(A145)&amp;"-"&amp;TEXT(MONTH(A145),"00"))</f>
        <v/>
      </c>
      <c r="D145" s="26"/>
      <c r="E145" s="26"/>
      <c r="F145" s="26"/>
      <c r="G145" s="26"/>
      <c r="H145" s="27"/>
      <c r="I145" s="29"/>
      <c r="J145" s="26"/>
      <c r="K145" s="26"/>
      <c r="L145" s="27"/>
      <c r="M145" s="26"/>
      <c r="N145" s="26"/>
      <c r="O145" s="26"/>
    </row>
    <row r="146" customFormat="false" ht="15" hidden="false" customHeight="false" outlineLevel="0" collapsed="false">
      <c r="A146" s="32"/>
      <c r="B146" s="17" t="str">
        <f aca="false">IF(A146="","",IFERROR(INDEX(Calendario!$A$4:$A$107,MATCH(A146,Calendario!$B$4:$B$107,1)),""))</f>
        <v/>
      </c>
      <c r="C146" s="17" t="str">
        <f aca="false">IF(A146="","",YEAR(A146)&amp;"-"&amp;TEXT(MONTH(A146),"00"))</f>
        <v/>
      </c>
      <c r="D146" s="26"/>
      <c r="E146" s="26"/>
      <c r="F146" s="26"/>
      <c r="G146" s="26"/>
      <c r="H146" s="27"/>
      <c r="I146" s="29"/>
      <c r="J146" s="26"/>
      <c r="K146" s="26"/>
      <c r="L146" s="27"/>
      <c r="M146" s="26"/>
      <c r="N146" s="26"/>
      <c r="O146" s="26"/>
    </row>
    <row r="147" customFormat="false" ht="15" hidden="false" customHeight="false" outlineLevel="0" collapsed="false">
      <c r="A147" s="32"/>
      <c r="B147" s="17" t="str">
        <f aca="false">IF(A147="","",IFERROR(INDEX(Calendario!$A$4:$A$107,MATCH(A147,Calendario!$B$4:$B$107,1)),""))</f>
        <v/>
      </c>
      <c r="C147" s="17" t="str">
        <f aca="false">IF(A147="","",YEAR(A147)&amp;"-"&amp;TEXT(MONTH(A147),"00"))</f>
        <v/>
      </c>
      <c r="D147" s="26"/>
      <c r="E147" s="26"/>
      <c r="F147" s="26"/>
      <c r="G147" s="26"/>
      <c r="H147" s="27"/>
      <c r="I147" s="29"/>
      <c r="J147" s="26"/>
      <c r="K147" s="26"/>
      <c r="L147" s="27"/>
      <c r="M147" s="26"/>
      <c r="N147" s="26"/>
      <c r="O147" s="26"/>
    </row>
    <row r="148" customFormat="false" ht="15" hidden="false" customHeight="false" outlineLevel="0" collapsed="false">
      <c r="A148" s="32"/>
      <c r="B148" s="17" t="str">
        <f aca="false">IF(A148="","",IFERROR(INDEX(Calendario!$A$4:$A$107,MATCH(A148,Calendario!$B$4:$B$107,1)),""))</f>
        <v/>
      </c>
      <c r="C148" s="17" t="str">
        <f aca="false">IF(A148="","",YEAR(A148)&amp;"-"&amp;TEXT(MONTH(A148),"00"))</f>
        <v/>
      </c>
      <c r="D148" s="26"/>
      <c r="E148" s="26"/>
      <c r="F148" s="26"/>
      <c r="G148" s="26"/>
      <c r="H148" s="27"/>
      <c r="I148" s="29"/>
      <c r="J148" s="26"/>
      <c r="K148" s="26"/>
      <c r="L148" s="27"/>
      <c r="M148" s="26"/>
      <c r="N148" s="26"/>
      <c r="O148" s="26"/>
    </row>
    <row r="149" customFormat="false" ht="15" hidden="false" customHeight="false" outlineLevel="0" collapsed="false">
      <c r="A149" s="32"/>
      <c r="B149" s="17" t="str">
        <f aca="false">IF(A149="","",IFERROR(INDEX(Calendario!$A$4:$A$107,MATCH(A149,Calendario!$B$4:$B$107,1)),""))</f>
        <v/>
      </c>
      <c r="C149" s="17" t="str">
        <f aca="false">IF(A149="","",YEAR(A149)&amp;"-"&amp;TEXT(MONTH(A149),"00"))</f>
        <v/>
      </c>
      <c r="D149" s="26"/>
      <c r="E149" s="26"/>
      <c r="F149" s="26"/>
      <c r="G149" s="26"/>
      <c r="H149" s="27"/>
      <c r="I149" s="29"/>
      <c r="J149" s="26"/>
      <c r="K149" s="26"/>
      <c r="L149" s="27"/>
      <c r="M149" s="26"/>
      <c r="N149" s="26"/>
      <c r="O149" s="26"/>
    </row>
    <row r="150" customFormat="false" ht="15" hidden="false" customHeight="false" outlineLevel="0" collapsed="false">
      <c r="A150" s="32"/>
      <c r="B150" s="17" t="str">
        <f aca="false">IF(A150="","",IFERROR(INDEX(Calendario!$A$4:$A$107,MATCH(A150,Calendario!$B$4:$B$107,1)),""))</f>
        <v/>
      </c>
      <c r="C150" s="17" t="str">
        <f aca="false">IF(A150="","",YEAR(A150)&amp;"-"&amp;TEXT(MONTH(A150),"00"))</f>
        <v/>
      </c>
      <c r="D150" s="26"/>
      <c r="E150" s="26"/>
      <c r="F150" s="26"/>
      <c r="G150" s="26"/>
      <c r="H150" s="27"/>
      <c r="I150" s="29"/>
      <c r="J150" s="26"/>
      <c r="K150" s="26"/>
      <c r="L150" s="27"/>
      <c r="M150" s="26"/>
      <c r="N150" s="26"/>
      <c r="O150" s="26"/>
    </row>
    <row r="151" customFormat="false" ht="15" hidden="false" customHeight="false" outlineLevel="0" collapsed="false">
      <c r="A151" s="32"/>
      <c r="B151" s="17" t="str">
        <f aca="false">IF(A151="","",IFERROR(INDEX(Calendario!$A$4:$A$107,MATCH(A151,Calendario!$B$4:$B$107,1)),""))</f>
        <v/>
      </c>
      <c r="C151" s="17" t="str">
        <f aca="false">IF(A151="","",YEAR(A151)&amp;"-"&amp;TEXT(MONTH(A151),"00"))</f>
        <v/>
      </c>
      <c r="D151" s="26"/>
      <c r="E151" s="26"/>
      <c r="F151" s="26"/>
      <c r="G151" s="26"/>
      <c r="H151" s="27"/>
      <c r="I151" s="29"/>
      <c r="J151" s="26"/>
      <c r="K151" s="26"/>
      <c r="L151" s="27"/>
      <c r="M151" s="26"/>
      <c r="N151" s="26"/>
      <c r="O151" s="26"/>
    </row>
    <row r="152" customFormat="false" ht="15" hidden="false" customHeight="false" outlineLevel="0" collapsed="false">
      <c r="A152" s="32"/>
      <c r="B152" s="17" t="str">
        <f aca="false">IF(A152="","",IFERROR(INDEX(Calendario!$A$4:$A$107,MATCH(A152,Calendario!$B$4:$B$107,1)),""))</f>
        <v/>
      </c>
      <c r="C152" s="17" t="str">
        <f aca="false">IF(A152="","",YEAR(A152)&amp;"-"&amp;TEXT(MONTH(A152),"00"))</f>
        <v/>
      </c>
      <c r="D152" s="26"/>
      <c r="E152" s="26"/>
      <c r="F152" s="26"/>
      <c r="G152" s="26"/>
      <c r="H152" s="27"/>
      <c r="I152" s="29"/>
      <c r="J152" s="26"/>
      <c r="K152" s="26"/>
      <c r="L152" s="27"/>
      <c r="M152" s="26"/>
      <c r="N152" s="26"/>
      <c r="O152" s="26"/>
    </row>
    <row r="153" customFormat="false" ht="15" hidden="false" customHeight="false" outlineLevel="0" collapsed="false">
      <c r="A153" s="32"/>
      <c r="B153" s="17" t="str">
        <f aca="false">IF(A153="","",IFERROR(INDEX(Calendario!$A$4:$A$107,MATCH(A153,Calendario!$B$4:$B$107,1)),""))</f>
        <v/>
      </c>
      <c r="C153" s="17" t="str">
        <f aca="false">IF(A153="","",YEAR(A153)&amp;"-"&amp;TEXT(MONTH(A153),"00"))</f>
        <v/>
      </c>
      <c r="D153" s="26"/>
      <c r="E153" s="26"/>
      <c r="F153" s="26"/>
      <c r="G153" s="26"/>
      <c r="H153" s="27"/>
      <c r="I153" s="29"/>
      <c r="J153" s="26"/>
      <c r="K153" s="26"/>
      <c r="L153" s="27"/>
      <c r="M153" s="26"/>
      <c r="N153" s="26"/>
      <c r="O153" s="26"/>
    </row>
    <row r="154" customFormat="false" ht="15" hidden="false" customHeight="false" outlineLevel="0" collapsed="false">
      <c r="A154" s="32"/>
      <c r="B154" s="17" t="str">
        <f aca="false">IF(A154="","",IFERROR(INDEX(Calendario!$A$4:$A$107,MATCH(A154,Calendario!$B$4:$B$107,1)),""))</f>
        <v/>
      </c>
      <c r="C154" s="17" t="str">
        <f aca="false">IF(A154="","",YEAR(A154)&amp;"-"&amp;TEXT(MONTH(A154),"00"))</f>
        <v/>
      </c>
      <c r="D154" s="26"/>
      <c r="E154" s="26"/>
      <c r="F154" s="26"/>
      <c r="G154" s="26"/>
      <c r="H154" s="27"/>
      <c r="I154" s="29"/>
      <c r="J154" s="26"/>
      <c r="K154" s="26"/>
      <c r="L154" s="27"/>
      <c r="M154" s="26"/>
      <c r="N154" s="26"/>
      <c r="O154" s="26"/>
    </row>
    <row r="155" customFormat="false" ht="15" hidden="false" customHeight="false" outlineLevel="0" collapsed="false">
      <c r="A155" s="32"/>
      <c r="B155" s="17" t="str">
        <f aca="false">IF(A155="","",IFERROR(INDEX(Calendario!$A$4:$A$107,MATCH(A155,Calendario!$B$4:$B$107,1)),""))</f>
        <v/>
      </c>
      <c r="C155" s="17" t="str">
        <f aca="false">IF(A155="","",YEAR(A155)&amp;"-"&amp;TEXT(MONTH(A155),"00"))</f>
        <v/>
      </c>
      <c r="D155" s="26"/>
      <c r="E155" s="26"/>
      <c r="F155" s="26"/>
      <c r="G155" s="26"/>
      <c r="H155" s="27"/>
      <c r="I155" s="29"/>
      <c r="J155" s="26"/>
      <c r="K155" s="26"/>
      <c r="L155" s="27"/>
      <c r="M155" s="26"/>
      <c r="N155" s="26"/>
      <c r="O155" s="26"/>
    </row>
    <row r="156" customFormat="false" ht="15" hidden="false" customHeight="false" outlineLevel="0" collapsed="false">
      <c r="A156" s="32"/>
      <c r="B156" s="17" t="str">
        <f aca="false">IF(A156="","",IFERROR(INDEX(Calendario!$A$4:$A$107,MATCH(A156,Calendario!$B$4:$B$107,1)),""))</f>
        <v/>
      </c>
      <c r="C156" s="17" t="str">
        <f aca="false">IF(A156="","",YEAR(A156)&amp;"-"&amp;TEXT(MONTH(A156),"00"))</f>
        <v/>
      </c>
      <c r="D156" s="26"/>
      <c r="E156" s="26"/>
      <c r="F156" s="26"/>
      <c r="G156" s="26"/>
      <c r="H156" s="27"/>
      <c r="I156" s="29"/>
      <c r="J156" s="26"/>
      <c r="K156" s="26"/>
      <c r="L156" s="27"/>
      <c r="M156" s="26"/>
      <c r="N156" s="26"/>
      <c r="O156" s="26"/>
    </row>
    <row r="157" customFormat="false" ht="15" hidden="false" customHeight="false" outlineLevel="0" collapsed="false">
      <c r="A157" s="32"/>
      <c r="B157" s="17" t="str">
        <f aca="false">IF(A157="","",IFERROR(INDEX(Calendario!$A$4:$A$107,MATCH(A157,Calendario!$B$4:$B$107,1)),""))</f>
        <v/>
      </c>
      <c r="C157" s="17" t="str">
        <f aca="false">IF(A157="","",YEAR(A157)&amp;"-"&amp;TEXT(MONTH(A157),"00"))</f>
        <v/>
      </c>
      <c r="D157" s="26"/>
      <c r="E157" s="26"/>
      <c r="F157" s="26"/>
      <c r="G157" s="26"/>
      <c r="H157" s="27"/>
      <c r="I157" s="29"/>
      <c r="J157" s="26"/>
      <c r="K157" s="26"/>
      <c r="L157" s="27"/>
      <c r="M157" s="26"/>
      <c r="N157" s="26"/>
      <c r="O157" s="26"/>
    </row>
    <row r="158" customFormat="false" ht="15" hidden="false" customHeight="false" outlineLevel="0" collapsed="false">
      <c r="A158" s="32"/>
      <c r="B158" s="17" t="str">
        <f aca="false">IF(A158="","",IFERROR(INDEX(Calendario!$A$4:$A$107,MATCH(A158,Calendario!$B$4:$B$107,1)),""))</f>
        <v/>
      </c>
      <c r="C158" s="17" t="str">
        <f aca="false">IF(A158="","",YEAR(A158)&amp;"-"&amp;TEXT(MONTH(A158),"00"))</f>
        <v/>
      </c>
      <c r="D158" s="26"/>
      <c r="E158" s="26"/>
      <c r="F158" s="26"/>
      <c r="G158" s="26"/>
      <c r="H158" s="27"/>
      <c r="I158" s="29"/>
      <c r="J158" s="26"/>
      <c r="K158" s="26"/>
      <c r="L158" s="27"/>
      <c r="M158" s="26"/>
      <c r="N158" s="26"/>
      <c r="O158" s="26"/>
    </row>
    <row r="159" customFormat="false" ht="15" hidden="false" customHeight="false" outlineLevel="0" collapsed="false">
      <c r="A159" s="32"/>
      <c r="B159" s="17" t="str">
        <f aca="false">IF(A159="","",IFERROR(INDEX(Calendario!$A$4:$A$107,MATCH(A159,Calendario!$B$4:$B$107,1)),""))</f>
        <v/>
      </c>
      <c r="C159" s="17" t="str">
        <f aca="false">IF(A159="","",YEAR(A159)&amp;"-"&amp;TEXT(MONTH(A159),"00"))</f>
        <v/>
      </c>
      <c r="D159" s="26"/>
      <c r="E159" s="26"/>
      <c r="F159" s="26"/>
      <c r="G159" s="26"/>
      <c r="H159" s="27"/>
      <c r="I159" s="29"/>
      <c r="J159" s="26"/>
      <c r="K159" s="26"/>
      <c r="L159" s="27"/>
      <c r="M159" s="26"/>
      <c r="N159" s="26"/>
      <c r="O159" s="26"/>
    </row>
    <row r="160" customFormat="false" ht="15" hidden="false" customHeight="false" outlineLevel="0" collapsed="false">
      <c r="A160" s="32"/>
      <c r="B160" s="17" t="str">
        <f aca="false">IF(A160="","",IFERROR(INDEX(Calendario!$A$4:$A$107,MATCH(A160,Calendario!$B$4:$B$107,1)),""))</f>
        <v/>
      </c>
      <c r="C160" s="17" t="str">
        <f aca="false">IF(A160="","",YEAR(A160)&amp;"-"&amp;TEXT(MONTH(A160),"00"))</f>
        <v/>
      </c>
      <c r="D160" s="26"/>
      <c r="E160" s="26"/>
      <c r="F160" s="26"/>
      <c r="G160" s="26"/>
      <c r="H160" s="27"/>
      <c r="I160" s="29"/>
      <c r="J160" s="26"/>
      <c r="K160" s="26"/>
      <c r="L160" s="27"/>
      <c r="M160" s="26"/>
      <c r="N160" s="26"/>
      <c r="O160" s="26"/>
    </row>
    <row r="161" customFormat="false" ht="15" hidden="false" customHeight="false" outlineLevel="0" collapsed="false">
      <c r="A161" s="32"/>
      <c r="B161" s="17" t="str">
        <f aca="false">IF(A161="","",IFERROR(INDEX(Calendario!$A$4:$A$107,MATCH(A161,Calendario!$B$4:$B$107,1)),""))</f>
        <v/>
      </c>
      <c r="C161" s="17" t="str">
        <f aca="false">IF(A161="","",YEAR(A161)&amp;"-"&amp;TEXT(MONTH(A161),"00"))</f>
        <v/>
      </c>
      <c r="D161" s="26"/>
      <c r="E161" s="26"/>
      <c r="F161" s="26"/>
      <c r="G161" s="26"/>
      <c r="H161" s="27"/>
      <c r="I161" s="29"/>
      <c r="J161" s="26"/>
      <c r="K161" s="26"/>
      <c r="L161" s="27"/>
      <c r="M161" s="26"/>
      <c r="N161" s="26"/>
      <c r="O161" s="26"/>
    </row>
    <row r="162" customFormat="false" ht="15" hidden="false" customHeight="false" outlineLevel="0" collapsed="false">
      <c r="A162" s="32"/>
      <c r="B162" s="17" t="str">
        <f aca="false">IF(A162="","",IFERROR(INDEX(Calendario!$A$4:$A$107,MATCH(A162,Calendario!$B$4:$B$107,1)),""))</f>
        <v/>
      </c>
      <c r="C162" s="17" t="str">
        <f aca="false">IF(A162="","",YEAR(A162)&amp;"-"&amp;TEXT(MONTH(A162),"00"))</f>
        <v/>
      </c>
      <c r="D162" s="26"/>
      <c r="E162" s="26"/>
      <c r="F162" s="26"/>
      <c r="G162" s="26"/>
      <c r="H162" s="27"/>
      <c r="I162" s="29"/>
      <c r="J162" s="26"/>
      <c r="K162" s="26"/>
      <c r="L162" s="27"/>
      <c r="M162" s="26"/>
      <c r="N162" s="26"/>
      <c r="O162" s="26"/>
    </row>
    <row r="163" customFormat="false" ht="15" hidden="false" customHeight="false" outlineLevel="0" collapsed="false">
      <c r="A163" s="32"/>
      <c r="B163" s="17" t="str">
        <f aca="false">IF(A163="","",IFERROR(INDEX(Calendario!$A$4:$A$107,MATCH(A163,Calendario!$B$4:$B$107,1)),""))</f>
        <v/>
      </c>
      <c r="C163" s="17" t="str">
        <f aca="false">IF(A163="","",YEAR(A163)&amp;"-"&amp;TEXT(MONTH(A163),"00"))</f>
        <v/>
      </c>
      <c r="D163" s="26"/>
      <c r="E163" s="26"/>
      <c r="F163" s="26"/>
      <c r="G163" s="26"/>
      <c r="H163" s="27"/>
      <c r="I163" s="29"/>
      <c r="J163" s="26"/>
      <c r="K163" s="26"/>
      <c r="L163" s="27"/>
      <c r="M163" s="26"/>
      <c r="N163" s="26"/>
      <c r="O163" s="26"/>
    </row>
    <row r="164" customFormat="false" ht="15" hidden="false" customHeight="false" outlineLevel="0" collapsed="false">
      <c r="A164" s="32"/>
      <c r="B164" s="17" t="str">
        <f aca="false">IF(A164="","",IFERROR(INDEX(Calendario!$A$4:$A$107,MATCH(A164,Calendario!$B$4:$B$107,1)),""))</f>
        <v/>
      </c>
      <c r="C164" s="17" t="str">
        <f aca="false">IF(A164="","",YEAR(A164)&amp;"-"&amp;TEXT(MONTH(A164),"00"))</f>
        <v/>
      </c>
      <c r="D164" s="26"/>
      <c r="E164" s="26"/>
      <c r="F164" s="26"/>
      <c r="G164" s="26"/>
      <c r="H164" s="27"/>
      <c r="I164" s="29"/>
      <c r="J164" s="26"/>
      <c r="K164" s="26"/>
      <c r="L164" s="27"/>
      <c r="M164" s="26"/>
      <c r="N164" s="26"/>
      <c r="O164" s="26"/>
    </row>
    <row r="165" customFormat="false" ht="15" hidden="false" customHeight="false" outlineLevel="0" collapsed="false">
      <c r="A165" s="32"/>
      <c r="B165" s="17" t="str">
        <f aca="false">IF(A165="","",IFERROR(INDEX(Calendario!$A$4:$A$107,MATCH(A165,Calendario!$B$4:$B$107,1)),""))</f>
        <v/>
      </c>
      <c r="C165" s="17" t="str">
        <f aca="false">IF(A165="","",YEAR(A165)&amp;"-"&amp;TEXT(MONTH(A165),"00"))</f>
        <v/>
      </c>
      <c r="D165" s="26"/>
      <c r="E165" s="26"/>
      <c r="F165" s="26"/>
      <c r="G165" s="26"/>
      <c r="H165" s="27"/>
      <c r="I165" s="29"/>
      <c r="J165" s="26"/>
      <c r="K165" s="26"/>
      <c r="L165" s="27"/>
      <c r="M165" s="26"/>
      <c r="N165" s="26"/>
      <c r="O165" s="26"/>
    </row>
    <row r="166" customFormat="false" ht="15" hidden="false" customHeight="false" outlineLevel="0" collapsed="false">
      <c r="A166" s="32"/>
      <c r="B166" s="17" t="str">
        <f aca="false">IF(A166="","",IFERROR(INDEX(Calendario!$A$4:$A$107,MATCH(A166,Calendario!$B$4:$B$107,1)),""))</f>
        <v/>
      </c>
      <c r="C166" s="17" t="str">
        <f aca="false">IF(A166="","",YEAR(A166)&amp;"-"&amp;TEXT(MONTH(A166),"00"))</f>
        <v/>
      </c>
      <c r="D166" s="26"/>
      <c r="E166" s="26"/>
      <c r="F166" s="26"/>
      <c r="G166" s="26"/>
      <c r="H166" s="27"/>
      <c r="I166" s="29"/>
      <c r="J166" s="26"/>
      <c r="K166" s="26"/>
      <c r="L166" s="27"/>
      <c r="M166" s="26"/>
      <c r="N166" s="26"/>
      <c r="O166" s="26"/>
    </row>
    <row r="167" customFormat="false" ht="15" hidden="false" customHeight="false" outlineLevel="0" collapsed="false">
      <c r="A167" s="32"/>
      <c r="B167" s="17" t="str">
        <f aca="false">IF(A167="","",IFERROR(INDEX(Calendario!$A$4:$A$107,MATCH(A167,Calendario!$B$4:$B$107,1)),""))</f>
        <v/>
      </c>
      <c r="C167" s="17" t="str">
        <f aca="false">IF(A167="","",YEAR(A167)&amp;"-"&amp;TEXT(MONTH(A167),"00"))</f>
        <v/>
      </c>
      <c r="D167" s="26"/>
      <c r="E167" s="26"/>
      <c r="F167" s="26"/>
      <c r="G167" s="26"/>
      <c r="H167" s="27"/>
      <c r="I167" s="29"/>
      <c r="J167" s="26"/>
      <c r="K167" s="26"/>
      <c r="L167" s="27"/>
      <c r="M167" s="26"/>
      <c r="N167" s="26"/>
      <c r="O167" s="26"/>
    </row>
    <row r="168" customFormat="false" ht="15" hidden="false" customHeight="false" outlineLevel="0" collapsed="false">
      <c r="A168" s="32"/>
      <c r="B168" s="17" t="str">
        <f aca="false">IF(A168="","",IFERROR(INDEX(Calendario!$A$4:$A$107,MATCH(A168,Calendario!$B$4:$B$107,1)),""))</f>
        <v/>
      </c>
      <c r="C168" s="17" t="str">
        <f aca="false">IF(A168="","",YEAR(A168)&amp;"-"&amp;TEXT(MONTH(A168),"00"))</f>
        <v/>
      </c>
      <c r="D168" s="26"/>
      <c r="E168" s="26"/>
      <c r="F168" s="26"/>
      <c r="G168" s="26"/>
      <c r="H168" s="27"/>
      <c r="I168" s="29"/>
      <c r="J168" s="26"/>
      <c r="K168" s="26"/>
      <c r="L168" s="27"/>
      <c r="M168" s="26"/>
      <c r="N168" s="26"/>
      <c r="O168" s="26"/>
    </row>
    <row r="169" customFormat="false" ht="15" hidden="false" customHeight="false" outlineLevel="0" collapsed="false">
      <c r="A169" s="32"/>
      <c r="B169" s="17" t="str">
        <f aca="false">IF(A169="","",IFERROR(INDEX(Calendario!$A$4:$A$107,MATCH(A169,Calendario!$B$4:$B$107,1)),""))</f>
        <v/>
      </c>
      <c r="C169" s="17" t="str">
        <f aca="false">IF(A169="","",YEAR(A169)&amp;"-"&amp;TEXT(MONTH(A169),"00"))</f>
        <v/>
      </c>
      <c r="D169" s="26"/>
      <c r="E169" s="26"/>
      <c r="F169" s="26"/>
      <c r="G169" s="26"/>
      <c r="H169" s="27"/>
      <c r="I169" s="29"/>
      <c r="J169" s="26"/>
      <c r="K169" s="26"/>
      <c r="L169" s="27"/>
      <c r="M169" s="26"/>
      <c r="N169" s="26"/>
      <c r="O169" s="26"/>
    </row>
    <row r="170" customFormat="false" ht="15" hidden="false" customHeight="false" outlineLevel="0" collapsed="false">
      <c r="A170" s="32"/>
      <c r="B170" s="17" t="str">
        <f aca="false">IF(A170="","",IFERROR(INDEX(Calendario!$A$4:$A$107,MATCH(A170,Calendario!$B$4:$B$107,1)),""))</f>
        <v/>
      </c>
      <c r="C170" s="17" t="str">
        <f aca="false">IF(A170="","",YEAR(A170)&amp;"-"&amp;TEXT(MONTH(A170),"00"))</f>
        <v/>
      </c>
      <c r="D170" s="26"/>
      <c r="E170" s="26"/>
      <c r="F170" s="26"/>
      <c r="G170" s="26"/>
      <c r="H170" s="27"/>
      <c r="I170" s="29"/>
      <c r="J170" s="26"/>
      <c r="K170" s="26"/>
      <c r="L170" s="27"/>
      <c r="M170" s="26"/>
      <c r="N170" s="26"/>
      <c r="O170" s="26"/>
    </row>
    <row r="171" customFormat="false" ht="15" hidden="false" customHeight="false" outlineLevel="0" collapsed="false">
      <c r="A171" s="32"/>
      <c r="B171" s="17" t="str">
        <f aca="false">IF(A171="","",IFERROR(INDEX(Calendario!$A$4:$A$107,MATCH(A171,Calendario!$B$4:$B$107,1)),""))</f>
        <v/>
      </c>
      <c r="C171" s="17" t="str">
        <f aca="false">IF(A171="","",YEAR(A171)&amp;"-"&amp;TEXT(MONTH(A171),"00"))</f>
        <v/>
      </c>
      <c r="D171" s="26"/>
      <c r="E171" s="26"/>
      <c r="F171" s="26"/>
      <c r="G171" s="26"/>
      <c r="H171" s="27"/>
      <c r="I171" s="29"/>
      <c r="J171" s="26"/>
      <c r="K171" s="26"/>
      <c r="L171" s="27"/>
      <c r="M171" s="26"/>
      <c r="N171" s="26"/>
      <c r="O171" s="26"/>
    </row>
    <row r="172" customFormat="false" ht="15" hidden="false" customHeight="false" outlineLevel="0" collapsed="false">
      <c r="A172" s="32"/>
      <c r="B172" s="17" t="str">
        <f aca="false">IF(A172="","",IFERROR(INDEX(Calendario!$A$4:$A$107,MATCH(A172,Calendario!$B$4:$B$107,1)),""))</f>
        <v/>
      </c>
      <c r="C172" s="17" t="str">
        <f aca="false">IF(A172="","",YEAR(A172)&amp;"-"&amp;TEXT(MONTH(A172),"00"))</f>
        <v/>
      </c>
      <c r="D172" s="26"/>
      <c r="E172" s="26"/>
      <c r="F172" s="26"/>
      <c r="G172" s="26"/>
      <c r="H172" s="27"/>
      <c r="I172" s="29"/>
      <c r="J172" s="26"/>
      <c r="K172" s="26"/>
      <c r="L172" s="27"/>
      <c r="M172" s="26"/>
      <c r="N172" s="26"/>
      <c r="O172" s="26"/>
    </row>
    <row r="173" customFormat="false" ht="15" hidden="false" customHeight="false" outlineLevel="0" collapsed="false">
      <c r="A173" s="32"/>
      <c r="B173" s="17" t="str">
        <f aca="false">IF(A173="","",IFERROR(INDEX(Calendario!$A$4:$A$107,MATCH(A173,Calendario!$B$4:$B$107,1)),""))</f>
        <v/>
      </c>
      <c r="C173" s="17" t="str">
        <f aca="false">IF(A173="","",YEAR(A173)&amp;"-"&amp;TEXT(MONTH(A173),"00"))</f>
        <v/>
      </c>
      <c r="D173" s="26"/>
      <c r="E173" s="26"/>
      <c r="F173" s="26"/>
      <c r="G173" s="26"/>
      <c r="H173" s="27"/>
      <c r="I173" s="29"/>
      <c r="J173" s="26"/>
      <c r="K173" s="26"/>
      <c r="L173" s="27"/>
      <c r="M173" s="26"/>
      <c r="N173" s="26"/>
      <c r="O173" s="26"/>
    </row>
    <row r="174" customFormat="false" ht="15" hidden="false" customHeight="false" outlineLevel="0" collapsed="false">
      <c r="A174" s="32"/>
      <c r="B174" s="17" t="str">
        <f aca="false">IF(A174="","",IFERROR(INDEX(Calendario!$A$4:$A$107,MATCH(A174,Calendario!$B$4:$B$107,1)),""))</f>
        <v/>
      </c>
      <c r="C174" s="17" t="str">
        <f aca="false">IF(A174="","",YEAR(A174)&amp;"-"&amp;TEXT(MONTH(A174),"00"))</f>
        <v/>
      </c>
      <c r="D174" s="26"/>
      <c r="E174" s="26"/>
      <c r="F174" s="26"/>
      <c r="G174" s="26"/>
      <c r="H174" s="27"/>
      <c r="I174" s="29"/>
      <c r="J174" s="26"/>
      <c r="K174" s="26"/>
      <c r="L174" s="27"/>
      <c r="M174" s="26"/>
      <c r="N174" s="26"/>
      <c r="O174" s="26"/>
    </row>
    <row r="175" customFormat="false" ht="15" hidden="false" customHeight="false" outlineLevel="0" collapsed="false">
      <c r="A175" s="32"/>
      <c r="B175" s="17" t="str">
        <f aca="false">IF(A175="","",IFERROR(INDEX(Calendario!$A$4:$A$107,MATCH(A175,Calendario!$B$4:$B$107,1)),""))</f>
        <v/>
      </c>
      <c r="C175" s="17" t="str">
        <f aca="false">IF(A175="","",YEAR(A175)&amp;"-"&amp;TEXT(MONTH(A175),"00"))</f>
        <v/>
      </c>
      <c r="D175" s="26"/>
      <c r="E175" s="26"/>
      <c r="F175" s="26"/>
      <c r="G175" s="26"/>
      <c r="H175" s="27"/>
      <c r="I175" s="29"/>
      <c r="J175" s="26"/>
      <c r="K175" s="26"/>
      <c r="L175" s="27"/>
      <c r="M175" s="26"/>
      <c r="N175" s="26"/>
      <c r="O175" s="26"/>
    </row>
    <row r="176" customFormat="false" ht="15" hidden="false" customHeight="false" outlineLevel="0" collapsed="false">
      <c r="A176" s="32"/>
      <c r="B176" s="17" t="str">
        <f aca="false">IF(A176="","",IFERROR(INDEX(Calendario!$A$4:$A$107,MATCH(A176,Calendario!$B$4:$B$107,1)),""))</f>
        <v/>
      </c>
      <c r="C176" s="17" t="str">
        <f aca="false">IF(A176="","",YEAR(A176)&amp;"-"&amp;TEXT(MONTH(A176),"00"))</f>
        <v/>
      </c>
      <c r="D176" s="26"/>
      <c r="E176" s="26"/>
      <c r="F176" s="26"/>
      <c r="G176" s="26"/>
      <c r="H176" s="27"/>
      <c r="I176" s="29"/>
      <c r="J176" s="26"/>
      <c r="K176" s="26"/>
      <c r="L176" s="27"/>
      <c r="M176" s="26"/>
      <c r="N176" s="26"/>
      <c r="O176" s="26"/>
    </row>
    <row r="177" customFormat="false" ht="15" hidden="false" customHeight="false" outlineLevel="0" collapsed="false">
      <c r="A177" s="32"/>
      <c r="B177" s="17" t="str">
        <f aca="false">IF(A177="","",IFERROR(INDEX(Calendario!$A$4:$A$107,MATCH(A177,Calendario!$B$4:$B$107,1)),""))</f>
        <v/>
      </c>
      <c r="C177" s="17" t="str">
        <f aca="false">IF(A177="","",YEAR(A177)&amp;"-"&amp;TEXT(MONTH(A177),"00"))</f>
        <v/>
      </c>
      <c r="D177" s="26"/>
      <c r="E177" s="26"/>
      <c r="F177" s="26"/>
      <c r="G177" s="26"/>
      <c r="H177" s="27"/>
      <c r="I177" s="29"/>
      <c r="J177" s="26"/>
      <c r="K177" s="26"/>
      <c r="L177" s="27"/>
      <c r="M177" s="26"/>
      <c r="N177" s="26"/>
      <c r="O177" s="26"/>
    </row>
    <row r="178" customFormat="false" ht="15" hidden="false" customHeight="false" outlineLevel="0" collapsed="false">
      <c r="A178" s="32"/>
      <c r="B178" s="17" t="str">
        <f aca="false">IF(A178="","",IFERROR(INDEX(Calendario!$A$4:$A$107,MATCH(A178,Calendario!$B$4:$B$107,1)),""))</f>
        <v/>
      </c>
      <c r="C178" s="17" t="str">
        <f aca="false">IF(A178="","",YEAR(A178)&amp;"-"&amp;TEXT(MONTH(A178),"00"))</f>
        <v/>
      </c>
      <c r="D178" s="26"/>
      <c r="E178" s="26"/>
      <c r="F178" s="26"/>
      <c r="G178" s="26"/>
      <c r="H178" s="27"/>
      <c r="I178" s="29"/>
      <c r="J178" s="26"/>
      <c r="K178" s="26"/>
      <c r="L178" s="27"/>
      <c r="M178" s="26"/>
      <c r="N178" s="26"/>
      <c r="O178" s="26"/>
    </row>
    <row r="179" customFormat="false" ht="15" hidden="false" customHeight="false" outlineLevel="0" collapsed="false">
      <c r="A179" s="32"/>
      <c r="B179" s="17" t="str">
        <f aca="false">IF(A179="","",IFERROR(INDEX(Calendario!$A$4:$A$107,MATCH(A179,Calendario!$B$4:$B$107,1)),""))</f>
        <v/>
      </c>
      <c r="C179" s="17" t="str">
        <f aca="false">IF(A179="","",YEAR(A179)&amp;"-"&amp;TEXT(MONTH(A179),"00"))</f>
        <v/>
      </c>
      <c r="D179" s="26"/>
      <c r="E179" s="26"/>
      <c r="F179" s="26"/>
      <c r="G179" s="26"/>
      <c r="H179" s="27"/>
      <c r="I179" s="29"/>
      <c r="J179" s="26"/>
      <c r="K179" s="26"/>
      <c r="L179" s="27"/>
      <c r="M179" s="26"/>
      <c r="N179" s="26"/>
      <c r="O179" s="26"/>
    </row>
    <row r="180" customFormat="false" ht="15" hidden="false" customHeight="false" outlineLevel="0" collapsed="false">
      <c r="A180" s="32"/>
      <c r="B180" s="17" t="str">
        <f aca="false">IF(A180="","",IFERROR(INDEX(Calendario!$A$4:$A$107,MATCH(A180,Calendario!$B$4:$B$107,1)),""))</f>
        <v/>
      </c>
      <c r="C180" s="17" t="str">
        <f aca="false">IF(A180="","",YEAR(A180)&amp;"-"&amp;TEXT(MONTH(A180),"00"))</f>
        <v/>
      </c>
      <c r="D180" s="26"/>
      <c r="E180" s="26"/>
      <c r="F180" s="26"/>
      <c r="G180" s="26"/>
      <c r="H180" s="27"/>
      <c r="I180" s="29"/>
      <c r="J180" s="26"/>
      <c r="K180" s="26"/>
      <c r="L180" s="27"/>
      <c r="M180" s="26"/>
      <c r="N180" s="26"/>
      <c r="O180" s="26"/>
    </row>
    <row r="181" customFormat="false" ht="15" hidden="false" customHeight="false" outlineLevel="0" collapsed="false">
      <c r="A181" s="32"/>
      <c r="B181" s="17" t="str">
        <f aca="false">IF(A181="","",IFERROR(INDEX(Calendario!$A$4:$A$107,MATCH(A181,Calendario!$B$4:$B$107,1)),""))</f>
        <v/>
      </c>
      <c r="C181" s="17" t="str">
        <f aca="false">IF(A181="","",YEAR(A181)&amp;"-"&amp;TEXT(MONTH(A181),"00"))</f>
        <v/>
      </c>
      <c r="D181" s="26"/>
      <c r="E181" s="26"/>
      <c r="F181" s="26"/>
      <c r="G181" s="26"/>
      <c r="H181" s="27"/>
      <c r="I181" s="29"/>
      <c r="J181" s="26"/>
      <c r="K181" s="26"/>
      <c r="L181" s="27"/>
      <c r="M181" s="26"/>
      <c r="N181" s="26"/>
      <c r="O181" s="26"/>
    </row>
    <row r="182" customFormat="false" ht="15" hidden="false" customHeight="false" outlineLevel="0" collapsed="false">
      <c r="A182" s="32"/>
      <c r="B182" s="17" t="str">
        <f aca="false">IF(A182="","",IFERROR(INDEX(Calendario!$A$4:$A$107,MATCH(A182,Calendario!$B$4:$B$107,1)),""))</f>
        <v/>
      </c>
      <c r="C182" s="17" t="str">
        <f aca="false">IF(A182="","",YEAR(A182)&amp;"-"&amp;TEXT(MONTH(A182),"00"))</f>
        <v/>
      </c>
      <c r="D182" s="26"/>
      <c r="E182" s="26"/>
      <c r="F182" s="26"/>
      <c r="G182" s="26"/>
      <c r="H182" s="27"/>
      <c r="I182" s="29"/>
      <c r="J182" s="26"/>
      <c r="K182" s="26"/>
      <c r="L182" s="27"/>
      <c r="M182" s="26"/>
      <c r="N182" s="26"/>
      <c r="O182" s="26"/>
    </row>
    <row r="183" customFormat="false" ht="15" hidden="false" customHeight="false" outlineLevel="0" collapsed="false">
      <c r="A183" s="32"/>
      <c r="B183" s="17" t="str">
        <f aca="false">IF(A183="","",IFERROR(INDEX(Calendario!$A$4:$A$107,MATCH(A183,Calendario!$B$4:$B$107,1)),""))</f>
        <v/>
      </c>
      <c r="C183" s="17" t="str">
        <f aca="false">IF(A183="","",YEAR(A183)&amp;"-"&amp;TEXT(MONTH(A183),"00"))</f>
        <v/>
      </c>
      <c r="D183" s="26"/>
      <c r="E183" s="26"/>
      <c r="F183" s="26"/>
      <c r="G183" s="26"/>
      <c r="H183" s="27"/>
      <c r="I183" s="29"/>
      <c r="J183" s="26"/>
      <c r="K183" s="26"/>
      <c r="L183" s="27"/>
      <c r="M183" s="26"/>
      <c r="N183" s="26"/>
      <c r="O183" s="26"/>
    </row>
    <row r="184" customFormat="false" ht="15" hidden="false" customHeight="false" outlineLevel="0" collapsed="false">
      <c r="A184" s="32"/>
      <c r="B184" s="17" t="str">
        <f aca="false">IF(A184="","",IFERROR(INDEX(Calendario!$A$4:$A$107,MATCH(A184,Calendario!$B$4:$B$107,1)),""))</f>
        <v/>
      </c>
      <c r="C184" s="17" t="str">
        <f aca="false">IF(A184="","",YEAR(A184)&amp;"-"&amp;TEXT(MONTH(A184),"00"))</f>
        <v/>
      </c>
      <c r="D184" s="26"/>
      <c r="E184" s="26"/>
      <c r="F184" s="26"/>
      <c r="G184" s="26"/>
      <c r="H184" s="27"/>
      <c r="I184" s="29"/>
      <c r="J184" s="26"/>
      <c r="K184" s="26"/>
      <c r="L184" s="27"/>
      <c r="M184" s="26"/>
      <c r="N184" s="26"/>
      <c r="O184" s="26"/>
    </row>
    <row r="185" customFormat="false" ht="15" hidden="false" customHeight="false" outlineLevel="0" collapsed="false">
      <c r="A185" s="32"/>
      <c r="B185" s="17" t="str">
        <f aca="false">IF(A185="","",IFERROR(INDEX(Calendario!$A$4:$A$107,MATCH(A185,Calendario!$B$4:$B$107,1)),""))</f>
        <v/>
      </c>
      <c r="C185" s="17" t="str">
        <f aca="false">IF(A185="","",YEAR(A185)&amp;"-"&amp;TEXT(MONTH(A185),"00"))</f>
        <v/>
      </c>
      <c r="D185" s="26"/>
      <c r="E185" s="26"/>
      <c r="F185" s="26"/>
      <c r="G185" s="26"/>
      <c r="H185" s="27"/>
      <c r="I185" s="29"/>
      <c r="J185" s="26"/>
      <c r="K185" s="26"/>
      <c r="L185" s="27"/>
      <c r="M185" s="26"/>
      <c r="N185" s="26"/>
      <c r="O185" s="26"/>
    </row>
    <row r="186" customFormat="false" ht="15" hidden="false" customHeight="false" outlineLevel="0" collapsed="false">
      <c r="A186" s="32"/>
      <c r="B186" s="17" t="str">
        <f aca="false">IF(A186="","",IFERROR(INDEX(Calendario!$A$4:$A$107,MATCH(A186,Calendario!$B$4:$B$107,1)),""))</f>
        <v/>
      </c>
      <c r="C186" s="17" t="str">
        <f aca="false">IF(A186="","",YEAR(A186)&amp;"-"&amp;TEXT(MONTH(A186),"00"))</f>
        <v/>
      </c>
      <c r="D186" s="26"/>
      <c r="E186" s="26"/>
      <c r="F186" s="26"/>
      <c r="G186" s="26"/>
      <c r="H186" s="27"/>
      <c r="I186" s="29"/>
      <c r="J186" s="26"/>
      <c r="K186" s="26"/>
      <c r="L186" s="27"/>
      <c r="M186" s="26"/>
      <c r="N186" s="26"/>
      <c r="O186" s="26"/>
    </row>
    <row r="187" customFormat="false" ht="15" hidden="false" customHeight="false" outlineLevel="0" collapsed="false">
      <c r="A187" s="32"/>
      <c r="B187" s="17" t="str">
        <f aca="false">IF(A187="","",IFERROR(INDEX(Calendario!$A$4:$A$107,MATCH(A187,Calendario!$B$4:$B$107,1)),""))</f>
        <v/>
      </c>
      <c r="C187" s="17" t="str">
        <f aca="false">IF(A187="","",YEAR(A187)&amp;"-"&amp;TEXT(MONTH(A187),"00"))</f>
        <v/>
      </c>
      <c r="D187" s="26"/>
      <c r="E187" s="26"/>
      <c r="F187" s="26"/>
      <c r="G187" s="26"/>
      <c r="H187" s="27"/>
      <c r="I187" s="29"/>
      <c r="J187" s="26"/>
      <c r="K187" s="26"/>
      <c r="L187" s="27"/>
      <c r="M187" s="26"/>
      <c r="N187" s="26"/>
      <c r="O187" s="26"/>
    </row>
    <row r="188" customFormat="false" ht="15" hidden="false" customHeight="false" outlineLevel="0" collapsed="false">
      <c r="A188" s="32"/>
      <c r="B188" s="17" t="str">
        <f aca="false">IF(A188="","",IFERROR(INDEX(Calendario!$A$4:$A$107,MATCH(A188,Calendario!$B$4:$B$107,1)),""))</f>
        <v/>
      </c>
      <c r="C188" s="17" t="str">
        <f aca="false">IF(A188="","",YEAR(A188)&amp;"-"&amp;TEXT(MONTH(A188),"00"))</f>
        <v/>
      </c>
      <c r="D188" s="26"/>
      <c r="E188" s="26"/>
      <c r="F188" s="26"/>
      <c r="G188" s="26"/>
      <c r="H188" s="27"/>
      <c r="I188" s="29"/>
      <c r="J188" s="26"/>
      <c r="K188" s="26"/>
      <c r="L188" s="27"/>
      <c r="M188" s="26"/>
      <c r="N188" s="26"/>
      <c r="O188" s="26"/>
    </row>
    <row r="189" customFormat="false" ht="15" hidden="false" customHeight="false" outlineLevel="0" collapsed="false">
      <c r="A189" s="32"/>
      <c r="B189" s="17" t="str">
        <f aca="false">IF(A189="","",IFERROR(INDEX(Calendario!$A$4:$A$107,MATCH(A189,Calendario!$B$4:$B$107,1)),""))</f>
        <v/>
      </c>
      <c r="C189" s="17" t="str">
        <f aca="false">IF(A189="","",YEAR(A189)&amp;"-"&amp;TEXT(MONTH(A189),"00"))</f>
        <v/>
      </c>
      <c r="D189" s="26"/>
      <c r="E189" s="26"/>
      <c r="F189" s="26"/>
      <c r="G189" s="26"/>
      <c r="H189" s="27"/>
      <c r="I189" s="29"/>
      <c r="J189" s="26"/>
      <c r="K189" s="26"/>
      <c r="L189" s="27"/>
      <c r="M189" s="26"/>
      <c r="N189" s="26"/>
      <c r="O189" s="26"/>
    </row>
    <row r="190" customFormat="false" ht="15" hidden="false" customHeight="false" outlineLevel="0" collapsed="false">
      <c r="A190" s="32"/>
      <c r="B190" s="17" t="str">
        <f aca="false">IF(A190="","",IFERROR(INDEX(Calendario!$A$4:$A$107,MATCH(A190,Calendario!$B$4:$B$107,1)),""))</f>
        <v/>
      </c>
      <c r="C190" s="17" t="str">
        <f aca="false">IF(A190="","",YEAR(A190)&amp;"-"&amp;TEXT(MONTH(A190),"00"))</f>
        <v/>
      </c>
      <c r="D190" s="26"/>
      <c r="E190" s="26"/>
      <c r="F190" s="26"/>
      <c r="G190" s="26"/>
      <c r="H190" s="27"/>
      <c r="I190" s="29"/>
      <c r="J190" s="26"/>
      <c r="K190" s="26"/>
      <c r="L190" s="27"/>
      <c r="M190" s="26"/>
      <c r="N190" s="26"/>
      <c r="O190" s="26"/>
    </row>
    <row r="191" customFormat="false" ht="15" hidden="false" customHeight="false" outlineLevel="0" collapsed="false">
      <c r="A191" s="32"/>
      <c r="B191" s="17" t="str">
        <f aca="false">IF(A191="","",IFERROR(INDEX(Calendario!$A$4:$A$107,MATCH(A191,Calendario!$B$4:$B$107,1)),""))</f>
        <v/>
      </c>
      <c r="C191" s="17" t="str">
        <f aca="false">IF(A191="","",YEAR(A191)&amp;"-"&amp;TEXT(MONTH(A191),"00"))</f>
        <v/>
      </c>
      <c r="D191" s="26"/>
      <c r="E191" s="26"/>
      <c r="F191" s="26"/>
      <c r="G191" s="26"/>
      <c r="H191" s="27"/>
      <c r="I191" s="29"/>
      <c r="J191" s="26"/>
      <c r="K191" s="26"/>
      <c r="L191" s="27"/>
      <c r="M191" s="26"/>
      <c r="N191" s="26"/>
      <c r="O191" s="26"/>
    </row>
    <row r="192" customFormat="false" ht="15" hidden="false" customHeight="false" outlineLevel="0" collapsed="false">
      <c r="A192" s="32"/>
      <c r="B192" s="17" t="str">
        <f aca="false">IF(A192="","",IFERROR(INDEX(Calendario!$A$4:$A$107,MATCH(A192,Calendario!$B$4:$B$107,1)),""))</f>
        <v/>
      </c>
      <c r="C192" s="17" t="str">
        <f aca="false">IF(A192="","",YEAR(A192)&amp;"-"&amp;TEXT(MONTH(A192),"00"))</f>
        <v/>
      </c>
      <c r="D192" s="26"/>
      <c r="E192" s="26"/>
      <c r="F192" s="26"/>
      <c r="G192" s="26"/>
      <c r="H192" s="27"/>
      <c r="I192" s="29"/>
      <c r="J192" s="26"/>
      <c r="K192" s="26"/>
      <c r="L192" s="27"/>
      <c r="M192" s="26"/>
      <c r="N192" s="26"/>
      <c r="O192" s="26"/>
    </row>
    <row r="193" customFormat="false" ht="15" hidden="false" customHeight="false" outlineLevel="0" collapsed="false">
      <c r="A193" s="32"/>
      <c r="B193" s="17" t="str">
        <f aca="false">IF(A193="","",IFERROR(INDEX(Calendario!$A$4:$A$107,MATCH(A193,Calendario!$B$4:$B$107,1)),""))</f>
        <v/>
      </c>
      <c r="C193" s="17" t="str">
        <f aca="false">IF(A193="","",YEAR(A193)&amp;"-"&amp;TEXT(MONTH(A193),"00"))</f>
        <v/>
      </c>
      <c r="D193" s="26"/>
      <c r="E193" s="26"/>
      <c r="F193" s="26"/>
      <c r="G193" s="26"/>
      <c r="H193" s="27"/>
      <c r="I193" s="29"/>
      <c r="J193" s="26"/>
      <c r="K193" s="26"/>
      <c r="L193" s="27"/>
      <c r="M193" s="26"/>
      <c r="N193" s="26"/>
      <c r="O193" s="26"/>
    </row>
    <row r="194" customFormat="false" ht="15" hidden="false" customHeight="false" outlineLevel="0" collapsed="false">
      <c r="A194" s="32"/>
      <c r="B194" s="17" t="str">
        <f aca="false">IF(A194="","",IFERROR(INDEX(Calendario!$A$4:$A$107,MATCH(A194,Calendario!$B$4:$B$107,1)),""))</f>
        <v/>
      </c>
      <c r="C194" s="17" t="str">
        <f aca="false">IF(A194="","",YEAR(A194)&amp;"-"&amp;TEXT(MONTH(A194),"00"))</f>
        <v/>
      </c>
      <c r="D194" s="26"/>
      <c r="E194" s="26"/>
      <c r="F194" s="26"/>
      <c r="G194" s="26"/>
      <c r="H194" s="27"/>
      <c r="I194" s="29"/>
      <c r="J194" s="26"/>
      <c r="K194" s="26"/>
      <c r="L194" s="27"/>
      <c r="M194" s="26"/>
      <c r="N194" s="26"/>
      <c r="O194" s="26"/>
    </row>
    <row r="195" customFormat="false" ht="15" hidden="false" customHeight="false" outlineLevel="0" collapsed="false">
      <c r="A195" s="32"/>
      <c r="B195" s="17" t="str">
        <f aca="false">IF(A195="","",IFERROR(INDEX(Calendario!$A$4:$A$107,MATCH(A195,Calendario!$B$4:$B$107,1)),""))</f>
        <v/>
      </c>
      <c r="C195" s="17" t="str">
        <f aca="false">IF(A195="","",YEAR(A195)&amp;"-"&amp;TEXT(MONTH(A195),"00"))</f>
        <v/>
      </c>
      <c r="D195" s="26"/>
      <c r="E195" s="26"/>
      <c r="F195" s="26"/>
      <c r="G195" s="26"/>
      <c r="H195" s="27"/>
      <c r="I195" s="29"/>
      <c r="J195" s="26"/>
      <c r="K195" s="26"/>
      <c r="L195" s="27"/>
      <c r="M195" s="26"/>
      <c r="N195" s="26"/>
      <c r="O195" s="26"/>
    </row>
    <row r="196" customFormat="false" ht="15" hidden="false" customHeight="false" outlineLevel="0" collapsed="false">
      <c r="A196" s="32"/>
      <c r="B196" s="17" t="str">
        <f aca="false">IF(A196="","",IFERROR(INDEX(Calendario!$A$4:$A$107,MATCH(A196,Calendario!$B$4:$B$107,1)),""))</f>
        <v/>
      </c>
      <c r="C196" s="17" t="str">
        <f aca="false">IF(A196="","",YEAR(A196)&amp;"-"&amp;TEXT(MONTH(A196),"00"))</f>
        <v/>
      </c>
      <c r="D196" s="26"/>
      <c r="E196" s="26"/>
      <c r="F196" s="26"/>
      <c r="G196" s="26"/>
      <c r="H196" s="27"/>
      <c r="I196" s="29"/>
      <c r="J196" s="26"/>
      <c r="K196" s="26"/>
      <c r="L196" s="27"/>
      <c r="M196" s="26"/>
      <c r="N196" s="26"/>
      <c r="O196" s="26"/>
    </row>
    <row r="197" customFormat="false" ht="15" hidden="false" customHeight="false" outlineLevel="0" collapsed="false">
      <c r="A197" s="32"/>
      <c r="B197" s="17" t="str">
        <f aca="false">IF(A197="","",IFERROR(INDEX(Calendario!$A$4:$A$107,MATCH(A197,Calendario!$B$4:$B$107,1)),""))</f>
        <v/>
      </c>
      <c r="C197" s="17" t="str">
        <f aca="false">IF(A197="","",YEAR(A197)&amp;"-"&amp;TEXT(MONTH(A197),"00"))</f>
        <v/>
      </c>
      <c r="D197" s="26"/>
      <c r="E197" s="26"/>
      <c r="F197" s="26"/>
      <c r="G197" s="26"/>
      <c r="H197" s="27"/>
      <c r="I197" s="29"/>
      <c r="J197" s="26"/>
      <c r="K197" s="26"/>
      <c r="L197" s="27"/>
      <c r="M197" s="26"/>
      <c r="N197" s="26"/>
      <c r="O197" s="26"/>
    </row>
    <row r="198" customFormat="false" ht="15" hidden="false" customHeight="false" outlineLevel="0" collapsed="false">
      <c r="A198" s="32"/>
      <c r="B198" s="17" t="str">
        <f aca="false">IF(A198="","",IFERROR(INDEX(Calendario!$A$4:$A$107,MATCH(A198,Calendario!$B$4:$B$107,1)),""))</f>
        <v/>
      </c>
      <c r="C198" s="17" t="str">
        <f aca="false">IF(A198="","",YEAR(A198)&amp;"-"&amp;TEXT(MONTH(A198),"00"))</f>
        <v/>
      </c>
      <c r="D198" s="26"/>
      <c r="E198" s="26"/>
      <c r="F198" s="26"/>
      <c r="G198" s="26"/>
      <c r="H198" s="27"/>
      <c r="I198" s="29"/>
      <c r="J198" s="26"/>
      <c r="K198" s="26"/>
      <c r="L198" s="27"/>
      <c r="M198" s="26"/>
      <c r="N198" s="26"/>
      <c r="O198" s="26"/>
    </row>
    <row r="199" customFormat="false" ht="15" hidden="false" customHeight="false" outlineLevel="0" collapsed="false">
      <c r="A199" s="32"/>
      <c r="B199" s="17" t="str">
        <f aca="false">IF(A199="","",IFERROR(INDEX(Calendario!$A$4:$A$107,MATCH(A199,Calendario!$B$4:$B$107,1)),""))</f>
        <v/>
      </c>
      <c r="C199" s="17" t="str">
        <f aca="false">IF(A199="","",YEAR(A199)&amp;"-"&amp;TEXT(MONTH(A199),"00"))</f>
        <v/>
      </c>
      <c r="D199" s="26"/>
      <c r="E199" s="26"/>
      <c r="F199" s="26"/>
      <c r="G199" s="26"/>
      <c r="H199" s="27"/>
      <c r="I199" s="29"/>
      <c r="J199" s="26"/>
      <c r="K199" s="26"/>
      <c r="L199" s="27"/>
      <c r="M199" s="26"/>
      <c r="N199" s="26"/>
      <c r="O199" s="26"/>
    </row>
    <row r="200" customFormat="false" ht="15" hidden="false" customHeight="false" outlineLevel="0" collapsed="false">
      <c r="A200" s="32"/>
      <c r="B200" s="17" t="str">
        <f aca="false">IF(A200="","",IFERROR(INDEX(Calendario!$A$4:$A$107,MATCH(A200,Calendario!$B$4:$B$107,1)),""))</f>
        <v/>
      </c>
      <c r="C200" s="17" t="str">
        <f aca="false">IF(A200="","",YEAR(A200)&amp;"-"&amp;TEXT(MONTH(A200),"00"))</f>
        <v/>
      </c>
      <c r="D200" s="26"/>
      <c r="E200" s="26"/>
      <c r="F200" s="26"/>
      <c r="G200" s="26"/>
      <c r="H200" s="27"/>
      <c r="I200" s="29"/>
      <c r="J200" s="26"/>
      <c r="K200" s="26"/>
      <c r="L200" s="27"/>
      <c r="M200" s="26"/>
      <c r="N200" s="26"/>
      <c r="O200" s="26"/>
    </row>
    <row r="201" customFormat="false" ht="15" hidden="false" customHeight="false" outlineLevel="0" collapsed="false">
      <c r="A201" s="32"/>
      <c r="B201" s="17" t="str">
        <f aca="false">IF(A201="","",IFERROR(INDEX(Calendario!$A$4:$A$107,MATCH(A201,Calendario!$B$4:$B$107,1)),""))</f>
        <v/>
      </c>
      <c r="C201" s="17" t="str">
        <f aca="false">IF(A201="","",YEAR(A201)&amp;"-"&amp;TEXT(MONTH(A201),"00"))</f>
        <v/>
      </c>
      <c r="D201" s="26"/>
      <c r="E201" s="26"/>
      <c r="F201" s="26"/>
      <c r="G201" s="26"/>
      <c r="H201" s="27"/>
      <c r="I201" s="29"/>
      <c r="J201" s="26"/>
      <c r="K201" s="26"/>
      <c r="L201" s="27"/>
      <c r="M201" s="26"/>
      <c r="N201" s="26"/>
      <c r="O201" s="26"/>
    </row>
    <row r="202" customFormat="false" ht="15" hidden="false" customHeight="false" outlineLevel="0" collapsed="false">
      <c r="A202" s="32"/>
      <c r="B202" s="17" t="str">
        <f aca="false">IF(A202="","",IFERROR(INDEX(Calendario!$A$4:$A$107,MATCH(A202,Calendario!$B$4:$B$107,1)),""))</f>
        <v/>
      </c>
      <c r="C202" s="17" t="str">
        <f aca="false">IF(A202="","",YEAR(A202)&amp;"-"&amp;TEXT(MONTH(A202),"00"))</f>
        <v/>
      </c>
      <c r="D202" s="26"/>
      <c r="E202" s="26"/>
      <c r="F202" s="26"/>
      <c r="G202" s="26"/>
      <c r="H202" s="27"/>
      <c r="I202" s="29"/>
      <c r="J202" s="26"/>
      <c r="K202" s="26"/>
      <c r="L202" s="27"/>
      <c r="M202" s="26"/>
      <c r="N202" s="26"/>
      <c r="O202" s="26"/>
    </row>
    <row r="203" customFormat="false" ht="15" hidden="false" customHeight="false" outlineLevel="0" collapsed="false">
      <c r="A203" s="32"/>
      <c r="B203" s="17" t="str">
        <f aca="false">IF(A203="","",IFERROR(INDEX(Calendario!$A$4:$A$107,MATCH(A203,Calendario!$B$4:$B$107,1)),""))</f>
        <v/>
      </c>
      <c r="C203" s="17" t="str">
        <f aca="false">IF(A203="","",YEAR(A203)&amp;"-"&amp;TEXT(MONTH(A203),"00"))</f>
        <v/>
      </c>
      <c r="D203" s="26"/>
      <c r="E203" s="26"/>
      <c r="F203" s="26"/>
      <c r="G203" s="26"/>
      <c r="H203" s="27"/>
      <c r="I203" s="29"/>
      <c r="J203" s="26"/>
      <c r="K203" s="26"/>
      <c r="L203" s="27"/>
      <c r="M203" s="26"/>
      <c r="N203" s="26"/>
      <c r="O203" s="26"/>
    </row>
    <row r="204" customFormat="false" ht="15" hidden="false" customHeight="false" outlineLevel="0" collapsed="false">
      <c r="A204" s="32"/>
      <c r="B204" s="17" t="str">
        <f aca="false">IF(A204="","",IFERROR(INDEX(Calendario!$A$4:$A$107,MATCH(A204,Calendario!$B$4:$B$107,1)),""))</f>
        <v/>
      </c>
      <c r="C204" s="17" t="str">
        <f aca="false">IF(A204="","",YEAR(A204)&amp;"-"&amp;TEXT(MONTH(A204),"00"))</f>
        <v/>
      </c>
      <c r="D204" s="26"/>
      <c r="E204" s="26"/>
      <c r="F204" s="26"/>
      <c r="G204" s="26"/>
      <c r="H204" s="27"/>
      <c r="I204" s="29"/>
      <c r="J204" s="26"/>
      <c r="K204" s="26"/>
      <c r="L204" s="27"/>
      <c r="M204" s="26"/>
      <c r="N204" s="26"/>
      <c r="O204" s="26"/>
    </row>
    <row r="205" customFormat="false" ht="15" hidden="false" customHeight="false" outlineLevel="0" collapsed="false">
      <c r="A205" s="32"/>
      <c r="B205" s="17" t="str">
        <f aca="false">IF(A205="","",IFERROR(INDEX(Calendario!$A$4:$A$107,MATCH(A205,Calendario!$B$4:$B$107,1)),""))</f>
        <v/>
      </c>
      <c r="C205" s="17" t="str">
        <f aca="false">IF(A205="","",YEAR(A205)&amp;"-"&amp;TEXT(MONTH(A205),"00"))</f>
        <v/>
      </c>
      <c r="D205" s="26"/>
      <c r="E205" s="26"/>
      <c r="F205" s="26"/>
      <c r="G205" s="26"/>
      <c r="H205" s="27"/>
      <c r="I205" s="29"/>
      <c r="J205" s="26"/>
      <c r="K205" s="26"/>
      <c r="L205" s="27"/>
      <c r="M205" s="26"/>
      <c r="N205" s="26"/>
      <c r="O205" s="26"/>
    </row>
    <row r="206" customFormat="false" ht="15" hidden="false" customHeight="false" outlineLevel="0" collapsed="false">
      <c r="A206" s="32"/>
      <c r="B206" s="17" t="str">
        <f aca="false">IF(A206="","",IFERROR(INDEX(Calendario!$A$4:$A$107,MATCH(A206,Calendario!$B$4:$B$107,1)),""))</f>
        <v/>
      </c>
      <c r="C206" s="17" t="str">
        <f aca="false">IF(A206="","",YEAR(A206)&amp;"-"&amp;TEXT(MONTH(A206),"00"))</f>
        <v/>
      </c>
      <c r="D206" s="26"/>
      <c r="E206" s="26"/>
      <c r="F206" s="26"/>
      <c r="G206" s="26"/>
      <c r="H206" s="27"/>
      <c r="I206" s="29"/>
      <c r="J206" s="26"/>
      <c r="K206" s="26"/>
      <c r="L206" s="27"/>
      <c r="M206" s="26"/>
      <c r="N206" s="26"/>
      <c r="O206" s="26"/>
    </row>
    <row r="207" customFormat="false" ht="15" hidden="false" customHeight="false" outlineLevel="0" collapsed="false">
      <c r="A207" s="32"/>
      <c r="B207" s="17" t="str">
        <f aca="false">IF(A207="","",IFERROR(INDEX(Calendario!$A$4:$A$107,MATCH(A207,Calendario!$B$4:$B$107,1)),""))</f>
        <v/>
      </c>
      <c r="C207" s="17" t="str">
        <f aca="false">IF(A207="","",YEAR(A207)&amp;"-"&amp;TEXT(MONTH(A207),"00"))</f>
        <v/>
      </c>
      <c r="D207" s="26"/>
      <c r="E207" s="26"/>
      <c r="F207" s="26"/>
      <c r="G207" s="26"/>
      <c r="H207" s="27"/>
      <c r="I207" s="29"/>
      <c r="J207" s="26"/>
      <c r="K207" s="26"/>
      <c r="L207" s="27"/>
      <c r="M207" s="26"/>
      <c r="N207" s="26"/>
      <c r="O207" s="26"/>
    </row>
    <row r="208" customFormat="false" ht="15" hidden="false" customHeight="false" outlineLevel="0" collapsed="false">
      <c r="A208" s="32"/>
      <c r="B208" s="17" t="str">
        <f aca="false">IF(A208="","",IFERROR(INDEX(Calendario!$A$4:$A$107,MATCH(A208,Calendario!$B$4:$B$107,1)),""))</f>
        <v/>
      </c>
      <c r="C208" s="17" t="str">
        <f aca="false">IF(A208="","",YEAR(A208)&amp;"-"&amp;TEXT(MONTH(A208),"00"))</f>
        <v/>
      </c>
      <c r="D208" s="26"/>
      <c r="E208" s="26"/>
      <c r="F208" s="26"/>
      <c r="G208" s="26"/>
      <c r="H208" s="27"/>
      <c r="I208" s="29"/>
      <c r="J208" s="26"/>
      <c r="K208" s="26"/>
      <c r="L208" s="27"/>
      <c r="M208" s="26"/>
      <c r="N208" s="26"/>
      <c r="O208" s="26"/>
    </row>
    <row r="209" customFormat="false" ht="15" hidden="false" customHeight="false" outlineLevel="0" collapsed="false">
      <c r="A209" s="32"/>
      <c r="B209" s="17" t="str">
        <f aca="false">IF(A209="","",IFERROR(INDEX(Calendario!$A$4:$A$107,MATCH(A209,Calendario!$B$4:$B$107,1)),""))</f>
        <v/>
      </c>
      <c r="C209" s="17" t="str">
        <f aca="false">IF(A209="","",YEAR(A209)&amp;"-"&amp;TEXT(MONTH(A209),"00"))</f>
        <v/>
      </c>
      <c r="D209" s="26"/>
      <c r="E209" s="26"/>
      <c r="F209" s="26"/>
      <c r="G209" s="26"/>
      <c r="H209" s="27"/>
      <c r="I209" s="29"/>
      <c r="J209" s="26"/>
      <c r="K209" s="26"/>
      <c r="L209" s="27"/>
      <c r="M209" s="26"/>
      <c r="N209" s="26"/>
      <c r="O209" s="26"/>
    </row>
    <row r="210" customFormat="false" ht="15" hidden="false" customHeight="false" outlineLevel="0" collapsed="false">
      <c r="A210" s="32"/>
      <c r="B210" s="17" t="str">
        <f aca="false">IF(A210="","",IFERROR(INDEX(Calendario!$A$4:$A$107,MATCH(A210,Calendario!$B$4:$B$107,1)),""))</f>
        <v/>
      </c>
      <c r="C210" s="17" t="str">
        <f aca="false">IF(A210="","",YEAR(A210)&amp;"-"&amp;TEXT(MONTH(A210),"00"))</f>
        <v/>
      </c>
      <c r="D210" s="26"/>
      <c r="E210" s="26"/>
      <c r="F210" s="26"/>
      <c r="G210" s="26"/>
      <c r="H210" s="27"/>
      <c r="I210" s="29"/>
      <c r="J210" s="26"/>
      <c r="K210" s="26"/>
      <c r="L210" s="27"/>
      <c r="M210" s="26"/>
      <c r="N210" s="26"/>
      <c r="O210" s="26"/>
    </row>
    <row r="211" customFormat="false" ht="15" hidden="false" customHeight="false" outlineLevel="0" collapsed="false">
      <c r="A211" s="32"/>
      <c r="B211" s="17" t="str">
        <f aca="false">IF(A211="","",IFERROR(INDEX(Calendario!$A$4:$A$107,MATCH(A211,Calendario!$B$4:$B$107,1)),""))</f>
        <v/>
      </c>
      <c r="C211" s="17" t="str">
        <f aca="false">IF(A211="","",YEAR(A211)&amp;"-"&amp;TEXT(MONTH(A211),"00"))</f>
        <v/>
      </c>
      <c r="D211" s="26"/>
      <c r="E211" s="26"/>
      <c r="F211" s="26"/>
      <c r="G211" s="26"/>
      <c r="H211" s="27"/>
      <c r="I211" s="29"/>
      <c r="J211" s="26"/>
      <c r="K211" s="26"/>
      <c r="L211" s="27"/>
      <c r="M211" s="26"/>
      <c r="N211" s="26"/>
      <c r="O211" s="26"/>
    </row>
    <row r="212" customFormat="false" ht="15" hidden="false" customHeight="false" outlineLevel="0" collapsed="false">
      <c r="A212" s="32"/>
      <c r="B212" s="17" t="str">
        <f aca="false">IF(A212="","",IFERROR(INDEX(Calendario!$A$4:$A$107,MATCH(A212,Calendario!$B$4:$B$107,1)),""))</f>
        <v/>
      </c>
      <c r="C212" s="17" t="str">
        <f aca="false">IF(A212="","",YEAR(A212)&amp;"-"&amp;TEXT(MONTH(A212),"00"))</f>
        <v/>
      </c>
      <c r="D212" s="26"/>
      <c r="E212" s="26"/>
      <c r="F212" s="26"/>
      <c r="G212" s="26"/>
      <c r="H212" s="27"/>
      <c r="I212" s="29"/>
      <c r="J212" s="26"/>
      <c r="K212" s="26"/>
      <c r="L212" s="27"/>
      <c r="M212" s="26"/>
      <c r="N212" s="26"/>
      <c r="O212" s="26"/>
    </row>
    <row r="213" customFormat="false" ht="15" hidden="false" customHeight="false" outlineLevel="0" collapsed="false">
      <c r="A213" s="32"/>
      <c r="B213" s="17" t="str">
        <f aca="false">IF(A213="","",IFERROR(INDEX(Calendario!$A$4:$A$107,MATCH(A213,Calendario!$B$4:$B$107,1)),""))</f>
        <v/>
      </c>
      <c r="C213" s="17" t="str">
        <f aca="false">IF(A213="","",YEAR(A213)&amp;"-"&amp;TEXT(MONTH(A213),"00"))</f>
        <v/>
      </c>
      <c r="D213" s="26"/>
      <c r="E213" s="26"/>
      <c r="F213" s="26"/>
      <c r="G213" s="26"/>
      <c r="H213" s="27"/>
      <c r="I213" s="29"/>
      <c r="J213" s="26"/>
      <c r="K213" s="26"/>
      <c r="L213" s="27"/>
      <c r="M213" s="26"/>
      <c r="N213" s="26"/>
      <c r="O213" s="26"/>
    </row>
    <row r="214" customFormat="false" ht="15" hidden="false" customHeight="false" outlineLevel="0" collapsed="false">
      <c r="A214" s="32"/>
      <c r="B214" s="17" t="str">
        <f aca="false">IF(A214="","",IFERROR(INDEX(Calendario!$A$4:$A$107,MATCH(A214,Calendario!$B$4:$B$107,1)),""))</f>
        <v/>
      </c>
      <c r="C214" s="17" t="str">
        <f aca="false">IF(A214="","",YEAR(A214)&amp;"-"&amp;TEXT(MONTH(A214),"00"))</f>
        <v/>
      </c>
      <c r="D214" s="26"/>
      <c r="E214" s="26"/>
      <c r="F214" s="26"/>
      <c r="G214" s="26"/>
      <c r="H214" s="27"/>
      <c r="I214" s="29"/>
      <c r="J214" s="26"/>
      <c r="K214" s="26"/>
      <c r="L214" s="27"/>
      <c r="M214" s="26"/>
      <c r="N214" s="26"/>
      <c r="O214" s="26"/>
    </row>
    <row r="215" customFormat="false" ht="15" hidden="false" customHeight="false" outlineLevel="0" collapsed="false">
      <c r="A215" s="32"/>
      <c r="B215" s="17" t="str">
        <f aca="false">IF(A215="","",IFERROR(INDEX(Calendario!$A$4:$A$107,MATCH(A215,Calendario!$B$4:$B$107,1)),""))</f>
        <v/>
      </c>
      <c r="C215" s="17" t="str">
        <f aca="false">IF(A215="","",YEAR(A215)&amp;"-"&amp;TEXT(MONTH(A215),"00"))</f>
        <v/>
      </c>
      <c r="D215" s="26"/>
      <c r="E215" s="26"/>
      <c r="F215" s="26"/>
      <c r="G215" s="26"/>
      <c r="H215" s="27"/>
      <c r="I215" s="29"/>
      <c r="J215" s="26"/>
      <c r="K215" s="26"/>
      <c r="L215" s="27"/>
      <c r="M215" s="26"/>
      <c r="N215" s="26"/>
      <c r="O215" s="26"/>
    </row>
    <row r="216" customFormat="false" ht="15" hidden="false" customHeight="false" outlineLevel="0" collapsed="false">
      <c r="A216" s="32"/>
      <c r="B216" s="17" t="str">
        <f aca="false">IF(A216="","",IFERROR(INDEX(Calendario!$A$4:$A$107,MATCH(A216,Calendario!$B$4:$B$107,1)),""))</f>
        <v/>
      </c>
      <c r="C216" s="17" t="str">
        <f aca="false">IF(A216="","",YEAR(A216)&amp;"-"&amp;TEXT(MONTH(A216),"00"))</f>
        <v/>
      </c>
      <c r="D216" s="26"/>
      <c r="E216" s="26"/>
      <c r="F216" s="26"/>
      <c r="G216" s="26"/>
      <c r="H216" s="27"/>
      <c r="I216" s="29"/>
      <c r="J216" s="26"/>
      <c r="K216" s="26"/>
      <c r="L216" s="27"/>
      <c r="M216" s="26"/>
      <c r="N216" s="26"/>
      <c r="O216" s="26"/>
    </row>
    <row r="217" customFormat="false" ht="15" hidden="false" customHeight="false" outlineLevel="0" collapsed="false">
      <c r="A217" s="32"/>
      <c r="B217" s="17" t="str">
        <f aca="false">IF(A217="","",IFERROR(INDEX(Calendario!$A$4:$A$107,MATCH(A217,Calendario!$B$4:$B$107,1)),""))</f>
        <v/>
      </c>
      <c r="C217" s="17" t="str">
        <f aca="false">IF(A217="","",YEAR(A217)&amp;"-"&amp;TEXT(MONTH(A217),"00"))</f>
        <v/>
      </c>
      <c r="D217" s="26"/>
      <c r="E217" s="26"/>
      <c r="F217" s="26"/>
      <c r="G217" s="26"/>
      <c r="H217" s="27"/>
      <c r="I217" s="29"/>
      <c r="J217" s="26"/>
      <c r="K217" s="26"/>
      <c r="L217" s="27"/>
      <c r="M217" s="26"/>
      <c r="N217" s="26"/>
      <c r="O217" s="26"/>
    </row>
    <row r="218" customFormat="false" ht="15" hidden="false" customHeight="false" outlineLevel="0" collapsed="false">
      <c r="A218" s="32"/>
      <c r="B218" s="17" t="str">
        <f aca="false">IF(A218="","",IFERROR(INDEX(Calendario!$A$4:$A$107,MATCH(A218,Calendario!$B$4:$B$107,1)),""))</f>
        <v/>
      </c>
      <c r="C218" s="17" t="str">
        <f aca="false">IF(A218="","",YEAR(A218)&amp;"-"&amp;TEXT(MONTH(A218),"00"))</f>
        <v/>
      </c>
      <c r="D218" s="26"/>
      <c r="E218" s="26"/>
      <c r="F218" s="26"/>
      <c r="G218" s="26"/>
      <c r="H218" s="27"/>
      <c r="I218" s="29"/>
      <c r="J218" s="26"/>
      <c r="K218" s="26"/>
      <c r="L218" s="27"/>
      <c r="M218" s="26"/>
      <c r="N218" s="26"/>
      <c r="O218" s="26"/>
    </row>
    <row r="219" customFormat="false" ht="15" hidden="false" customHeight="false" outlineLevel="0" collapsed="false">
      <c r="A219" s="32"/>
      <c r="B219" s="17" t="str">
        <f aca="false">IF(A219="","",IFERROR(INDEX(Calendario!$A$4:$A$107,MATCH(A219,Calendario!$B$4:$B$107,1)),""))</f>
        <v/>
      </c>
      <c r="C219" s="17" t="str">
        <f aca="false">IF(A219="","",YEAR(A219)&amp;"-"&amp;TEXT(MONTH(A219),"00"))</f>
        <v/>
      </c>
      <c r="D219" s="26"/>
      <c r="E219" s="26"/>
      <c r="F219" s="26"/>
      <c r="G219" s="26"/>
      <c r="H219" s="27"/>
      <c r="I219" s="29"/>
      <c r="J219" s="26"/>
      <c r="K219" s="26"/>
      <c r="L219" s="27"/>
      <c r="M219" s="26"/>
      <c r="N219" s="26"/>
      <c r="O219" s="26"/>
    </row>
    <row r="220" customFormat="false" ht="15" hidden="false" customHeight="false" outlineLevel="0" collapsed="false">
      <c r="A220" s="32"/>
      <c r="B220" s="17" t="str">
        <f aca="false">IF(A220="","",IFERROR(INDEX(Calendario!$A$4:$A$107,MATCH(A220,Calendario!$B$4:$B$107,1)),""))</f>
        <v/>
      </c>
      <c r="C220" s="17" t="str">
        <f aca="false">IF(A220="","",YEAR(A220)&amp;"-"&amp;TEXT(MONTH(A220),"00"))</f>
        <v/>
      </c>
      <c r="D220" s="26"/>
      <c r="E220" s="26"/>
      <c r="F220" s="26"/>
      <c r="G220" s="26"/>
      <c r="H220" s="27"/>
      <c r="I220" s="29"/>
      <c r="J220" s="26"/>
      <c r="K220" s="26"/>
      <c r="L220" s="27"/>
      <c r="M220" s="26"/>
      <c r="N220" s="26"/>
      <c r="O220" s="26"/>
    </row>
    <row r="221" customFormat="false" ht="15" hidden="false" customHeight="false" outlineLevel="0" collapsed="false">
      <c r="A221" s="32"/>
      <c r="B221" s="17" t="str">
        <f aca="false">IF(A221="","",IFERROR(INDEX(Calendario!$A$4:$A$107,MATCH(A221,Calendario!$B$4:$B$107,1)),""))</f>
        <v/>
      </c>
      <c r="C221" s="17" t="str">
        <f aca="false">IF(A221="","",YEAR(A221)&amp;"-"&amp;TEXT(MONTH(A221),"00"))</f>
        <v/>
      </c>
      <c r="D221" s="26"/>
      <c r="E221" s="26"/>
      <c r="F221" s="26"/>
      <c r="G221" s="26"/>
      <c r="H221" s="27"/>
      <c r="I221" s="29"/>
      <c r="J221" s="26"/>
      <c r="K221" s="26"/>
      <c r="L221" s="27"/>
      <c r="M221" s="26"/>
      <c r="N221" s="26"/>
      <c r="O221" s="26"/>
    </row>
    <row r="222" customFormat="false" ht="15" hidden="false" customHeight="false" outlineLevel="0" collapsed="false">
      <c r="A222" s="32"/>
      <c r="B222" s="17" t="str">
        <f aca="false">IF(A222="","",IFERROR(INDEX(Calendario!$A$4:$A$107,MATCH(A222,Calendario!$B$4:$B$107,1)),""))</f>
        <v/>
      </c>
      <c r="C222" s="17" t="str">
        <f aca="false">IF(A222="","",YEAR(A222)&amp;"-"&amp;TEXT(MONTH(A222),"00"))</f>
        <v/>
      </c>
      <c r="D222" s="26"/>
      <c r="E222" s="26"/>
      <c r="F222" s="26"/>
      <c r="G222" s="26"/>
      <c r="H222" s="27"/>
      <c r="I222" s="29"/>
      <c r="J222" s="26"/>
      <c r="K222" s="26"/>
      <c r="L222" s="27"/>
      <c r="M222" s="26"/>
      <c r="N222" s="26"/>
      <c r="O222" s="26"/>
    </row>
    <row r="223" customFormat="false" ht="15" hidden="false" customHeight="false" outlineLevel="0" collapsed="false">
      <c r="A223" s="32"/>
      <c r="B223" s="17" t="str">
        <f aca="false">IF(A223="","",IFERROR(INDEX(Calendario!$A$4:$A$107,MATCH(A223,Calendario!$B$4:$B$107,1)),""))</f>
        <v/>
      </c>
      <c r="C223" s="17" t="str">
        <f aca="false">IF(A223="","",YEAR(A223)&amp;"-"&amp;TEXT(MONTH(A223),"00"))</f>
        <v/>
      </c>
      <c r="D223" s="26"/>
      <c r="E223" s="26"/>
      <c r="F223" s="26"/>
      <c r="G223" s="26"/>
      <c r="H223" s="27"/>
      <c r="I223" s="29"/>
      <c r="J223" s="26"/>
      <c r="K223" s="26"/>
      <c r="L223" s="27"/>
      <c r="M223" s="26"/>
      <c r="N223" s="26"/>
      <c r="O223" s="26"/>
    </row>
    <row r="224" customFormat="false" ht="15" hidden="false" customHeight="false" outlineLevel="0" collapsed="false">
      <c r="A224" s="32"/>
      <c r="B224" s="17" t="str">
        <f aca="false">IF(A224="","",IFERROR(INDEX(Calendario!$A$4:$A$107,MATCH(A224,Calendario!$B$4:$B$107,1)),""))</f>
        <v/>
      </c>
      <c r="C224" s="17" t="str">
        <f aca="false">IF(A224="","",YEAR(A224)&amp;"-"&amp;TEXT(MONTH(A224),"00"))</f>
        <v/>
      </c>
      <c r="D224" s="26"/>
      <c r="E224" s="26"/>
      <c r="F224" s="26"/>
      <c r="G224" s="26"/>
      <c r="H224" s="27"/>
      <c r="I224" s="29"/>
      <c r="J224" s="26"/>
      <c r="K224" s="26"/>
      <c r="L224" s="27"/>
      <c r="M224" s="26"/>
      <c r="N224" s="26"/>
      <c r="O224" s="26"/>
    </row>
    <row r="225" customFormat="false" ht="15" hidden="false" customHeight="false" outlineLevel="0" collapsed="false">
      <c r="A225" s="32"/>
      <c r="B225" s="17" t="str">
        <f aca="false">IF(A225="","",IFERROR(INDEX(Calendario!$A$4:$A$107,MATCH(A225,Calendario!$B$4:$B$107,1)),""))</f>
        <v/>
      </c>
      <c r="C225" s="17" t="str">
        <f aca="false">IF(A225="","",YEAR(A225)&amp;"-"&amp;TEXT(MONTH(A225),"00"))</f>
        <v/>
      </c>
      <c r="D225" s="26"/>
      <c r="E225" s="26"/>
      <c r="F225" s="26"/>
      <c r="G225" s="26"/>
      <c r="H225" s="27"/>
      <c r="I225" s="29"/>
      <c r="J225" s="26"/>
      <c r="K225" s="26"/>
      <c r="L225" s="27"/>
      <c r="M225" s="26"/>
      <c r="N225" s="26"/>
      <c r="O225" s="26"/>
    </row>
    <row r="226" customFormat="false" ht="15" hidden="false" customHeight="false" outlineLevel="0" collapsed="false">
      <c r="A226" s="32"/>
      <c r="B226" s="17" t="str">
        <f aca="false">IF(A226="","",IFERROR(INDEX(Calendario!$A$4:$A$107,MATCH(A226,Calendario!$B$4:$B$107,1)),""))</f>
        <v/>
      </c>
      <c r="C226" s="17" t="str">
        <f aca="false">IF(A226="","",YEAR(A226)&amp;"-"&amp;TEXT(MONTH(A226),"00"))</f>
        <v/>
      </c>
      <c r="D226" s="26"/>
      <c r="E226" s="26"/>
      <c r="F226" s="26"/>
      <c r="G226" s="26"/>
      <c r="H226" s="27"/>
      <c r="I226" s="29"/>
      <c r="J226" s="26"/>
      <c r="K226" s="26"/>
      <c r="L226" s="27"/>
      <c r="M226" s="26"/>
      <c r="N226" s="26"/>
      <c r="O226" s="26"/>
    </row>
    <row r="227" customFormat="false" ht="15" hidden="false" customHeight="false" outlineLevel="0" collapsed="false">
      <c r="A227" s="32"/>
      <c r="B227" s="17" t="str">
        <f aca="false">IF(A227="","",IFERROR(INDEX(Calendario!$A$4:$A$107,MATCH(A227,Calendario!$B$4:$B$107,1)),""))</f>
        <v/>
      </c>
      <c r="C227" s="17" t="str">
        <f aca="false">IF(A227="","",YEAR(A227)&amp;"-"&amp;TEXT(MONTH(A227),"00"))</f>
        <v/>
      </c>
      <c r="D227" s="26"/>
      <c r="E227" s="26"/>
      <c r="F227" s="26"/>
      <c r="G227" s="26"/>
      <c r="H227" s="27"/>
      <c r="I227" s="29"/>
      <c r="J227" s="26"/>
      <c r="K227" s="26"/>
      <c r="L227" s="27"/>
      <c r="M227" s="26"/>
      <c r="N227" s="26"/>
      <c r="O227" s="26"/>
    </row>
    <row r="228" customFormat="false" ht="15" hidden="false" customHeight="false" outlineLevel="0" collapsed="false">
      <c r="A228" s="32"/>
      <c r="B228" s="17" t="str">
        <f aca="false">IF(A228="","",IFERROR(INDEX(Calendario!$A$4:$A$107,MATCH(A228,Calendario!$B$4:$B$107,1)),""))</f>
        <v/>
      </c>
      <c r="C228" s="17" t="str">
        <f aca="false">IF(A228="","",YEAR(A228)&amp;"-"&amp;TEXT(MONTH(A228),"00"))</f>
        <v/>
      </c>
      <c r="D228" s="26"/>
      <c r="E228" s="26"/>
      <c r="F228" s="26"/>
      <c r="G228" s="26"/>
      <c r="H228" s="27"/>
      <c r="I228" s="29"/>
      <c r="J228" s="26"/>
      <c r="K228" s="26"/>
      <c r="L228" s="27"/>
      <c r="M228" s="26"/>
      <c r="N228" s="26"/>
      <c r="O228" s="26"/>
    </row>
    <row r="229" customFormat="false" ht="15" hidden="false" customHeight="false" outlineLevel="0" collapsed="false">
      <c r="A229" s="32"/>
      <c r="B229" s="17" t="str">
        <f aca="false">IF(A229="","",IFERROR(INDEX(Calendario!$A$4:$A$107,MATCH(A229,Calendario!$B$4:$B$107,1)),""))</f>
        <v/>
      </c>
      <c r="C229" s="17" t="str">
        <f aca="false">IF(A229="","",YEAR(A229)&amp;"-"&amp;TEXT(MONTH(A229),"00"))</f>
        <v/>
      </c>
      <c r="D229" s="26"/>
      <c r="E229" s="26"/>
      <c r="F229" s="26"/>
      <c r="G229" s="26"/>
      <c r="H229" s="27"/>
      <c r="I229" s="29"/>
      <c r="J229" s="26"/>
      <c r="K229" s="26"/>
      <c r="L229" s="27"/>
      <c r="M229" s="26"/>
      <c r="N229" s="26"/>
      <c r="O229" s="26"/>
    </row>
    <row r="230" customFormat="false" ht="15" hidden="false" customHeight="false" outlineLevel="0" collapsed="false">
      <c r="A230" s="32"/>
      <c r="B230" s="17" t="str">
        <f aca="false">IF(A230="","",IFERROR(INDEX(Calendario!$A$4:$A$107,MATCH(A230,Calendario!$B$4:$B$107,1)),""))</f>
        <v/>
      </c>
      <c r="C230" s="17" t="str">
        <f aca="false">IF(A230="","",YEAR(A230)&amp;"-"&amp;TEXT(MONTH(A230),"00"))</f>
        <v/>
      </c>
      <c r="D230" s="26"/>
      <c r="E230" s="26"/>
      <c r="F230" s="26"/>
      <c r="G230" s="26"/>
      <c r="H230" s="27"/>
      <c r="I230" s="29"/>
      <c r="J230" s="26"/>
      <c r="K230" s="26"/>
      <c r="L230" s="27"/>
      <c r="M230" s="26"/>
      <c r="N230" s="26"/>
      <c r="O230" s="26"/>
    </row>
    <row r="231" customFormat="false" ht="15" hidden="false" customHeight="false" outlineLevel="0" collapsed="false">
      <c r="A231" s="32"/>
      <c r="B231" s="17" t="str">
        <f aca="false">IF(A231="","",IFERROR(INDEX(Calendario!$A$4:$A$107,MATCH(A231,Calendario!$B$4:$B$107,1)),""))</f>
        <v/>
      </c>
      <c r="C231" s="17" t="str">
        <f aca="false">IF(A231="","",YEAR(A231)&amp;"-"&amp;TEXT(MONTH(A231),"00"))</f>
        <v/>
      </c>
      <c r="D231" s="26"/>
      <c r="E231" s="26"/>
      <c r="F231" s="26"/>
      <c r="G231" s="26"/>
      <c r="H231" s="27"/>
      <c r="I231" s="29"/>
      <c r="J231" s="26"/>
      <c r="K231" s="26"/>
      <c r="L231" s="27"/>
      <c r="M231" s="26"/>
      <c r="N231" s="26"/>
      <c r="O231" s="26"/>
    </row>
    <row r="232" customFormat="false" ht="15" hidden="false" customHeight="false" outlineLevel="0" collapsed="false">
      <c r="A232" s="32"/>
      <c r="B232" s="17" t="str">
        <f aca="false">IF(A232="","",IFERROR(INDEX(Calendario!$A$4:$A$107,MATCH(A232,Calendario!$B$4:$B$107,1)),""))</f>
        <v/>
      </c>
      <c r="C232" s="17" t="str">
        <f aca="false">IF(A232="","",YEAR(A232)&amp;"-"&amp;TEXT(MONTH(A232),"00"))</f>
        <v/>
      </c>
      <c r="D232" s="26"/>
      <c r="E232" s="26"/>
      <c r="F232" s="26"/>
      <c r="G232" s="26"/>
      <c r="H232" s="27"/>
      <c r="I232" s="29"/>
      <c r="J232" s="26"/>
      <c r="K232" s="26"/>
      <c r="L232" s="27"/>
      <c r="M232" s="26"/>
      <c r="N232" s="26"/>
      <c r="O232" s="26"/>
    </row>
    <row r="233" customFormat="false" ht="15" hidden="false" customHeight="false" outlineLevel="0" collapsed="false">
      <c r="A233" s="32"/>
      <c r="B233" s="17" t="str">
        <f aca="false">IF(A233="","",IFERROR(INDEX(Calendario!$A$4:$A$107,MATCH(A233,Calendario!$B$4:$B$107,1)),""))</f>
        <v/>
      </c>
      <c r="C233" s="17" t="str">
        <f aca="false">IF(A233="","",YEAR(A233)&amp;"-"&amp;TEXT(MONTH(A233),"00"))</f>
        <v/>
      </c>
      <c r="D233" s="26"/>
      <c r="E233" s="26"/>
      <c r="F233" s="26"/>
      <c r="G233" s="26"/>
      <c r="H233" s="27"/>
      <c r="I233" s="29"/>
      <c r="J233" s="26"/>
      <c r="K233" s="26"/>
      <c r="L233" s="27"/>
      <c r="M233" s="26"/>
      <c r="N233" s="26"/>
      <c r="O233" s="26"/>
    </row>
    <row r="234" customFormat="false" ht="15" hidden="false" customHeight="false" outlineLevel="0" collapsed="false">
      <c r="A234" s="32"/>
      <c r="B234" s="17" t="str">
        <f aca="false">IF(A234="","",IFERROR(INDEX(Calendario!$A$4:$A$107,MATCH(A234,Calendario!$B$4:$B$107,1)),""))</f>
        <v/>
      </c>
      <c r="C234" s="17" t="str">
        <f aca="false">IF(A234="","",YEAR(A234)&amp;"-"&amp;TEXT(MONTH(A234),"00"))</f>
        <v/>
      </c>
      <c r="D234" s="26"/>
      <c r="E234" s="26"/>
      <c r="F234" s="26"/>
      <c r="G234" s="26"/>
      <c r="H234" s="27"/>
      <c r="I234" s="29"/>
      <c r="J234" s="26"/>
      <c r="K234" s="26"/>
      <c r="L234" s="27"/>
      <c r="M234" s="26"/>
      <c r="N234" s="26"/>
      <c r="O234" s="26"/>
    </row>
    <row r="235" customFormat="false" ht="15" hidden="false" customHeight="false" outlineLevel="0" collapsed="false">
      <c r="A235" s="32"/>
      <c r="B235" s="17" t="str">
        <f aca="false">IF(A235="","",IFERROR(INDEX(Calendario!$A$4:$A$107,MATCH(A235,Calendario!$B$4:$B$107,1)),""))</f>
        <v/>
      </c>
      <c r="C235" s="17" t="str">
        <f aca="false">IF(A235="","",YEAR(A235)&amp;"-"&amp;TEXT(MONTH(A235),"00"))</f>
        <v/>
      </c>
      <c r="D235" s="26"/>
      <c r="E235" s="26"/>
      <c r="F235" s="26"/>
      <c r="G235" s="26"/>
      <c r="H235" s="27"/>
      <c r="I235" s="29"/>
      <c r="J235" s="26"/>
      <c r="K235" s="26"/>
      <c r="L235" s="27"/>
      <c r="M235" s="26"/>
      <c r="N235" s="26"/>
      <c r="O235" s="26"/>
    </row>
    <row r="236" customFormat="false" ht="15" hidden="false" customHeight="false" outlineLevel="0" collapsed="false">
      <c r="A236" s="32"/>
      <c r="B236" s="17" t="str">
        <f aca="false">IF(A236="","",IFERROR(INDEX(Calendario!$A$4:$A$107,MATCH(A236,Calendario!$B$4:$B$107,1)),""))</f>
        <v/>
      </c>
      <c r="C236" s="17" t="str">
        <f aca="false">IF(A236="","",YEAR(A236)&amp;"-"&amp;TEXT(MONTH(A236),"00"))</f>
        <v/>
      </c>
      <c r="D236" s="26"/>
      <c r="E236" s="26"/>
      <c r="F236" s="26"/>
      <c r="G236" s="26"/>
      <c r="H236" s="27"/>
      <c r="I236" s="29"/>
      <c r="J236" s="26"/>
      <c r="K236" s="26"/>
      <c r="L236" s="27"/>
      <c r="M236" s="26"/>
      <c r="N236" s="26"/>
      <c r="O236" s="26"/>
    </row>
    <row r="237" customFormat="false" ht="15" hidden="false" customHeight="false" outlineLevel="0" collapsed="false">
      <c r="A237" s="32"/>
      <c r="B237" s="17" t="str">
        <f aca="false">IF(A237="","",IFERROR(INDEX(Calendario!$A$4:$A$107,MATCH(A237,Calendario!$B$4:$B$107,1)),""))</f>
        <v/>
      </c>
      <c r="C237" s="17" t="str">
        <f aca="false">IF(A237="","",YEAR(A237)&amp;"-"&amp;TEXT(MONTH(A237),"00"))</f>
        <v/>
      </c>
      <c r="D237" s="26"/>
      <c r="E237" s="26"/>
      <c r="F237" s="26"/>
      <c r="G237" s="26"/>
      <c r="H237" s="27"/>
      <c r="I237" s="29"/>
      <c r="J237" s="26"/>
      <c r="K237" s="26"/>
      <c r="L237" s="27"/>
      <c r="M237" s="26"/>
      <c r="N237" s="26"/>
      <c r="O237" s="26"/>
    </row>
    <row r="238" customFormat="false" ht="15" hidden="false" customHeight="false" outlineLevel="0" collapsed="false">
      <c r="A238" s="32"/>
      <c r="B238" s="17" t="str">
        <f aca="false">IF(A238="","",IFERROR(INDEX(Calendario!$A$4:$A$107,MATCH(A238,Calendario!$B$4:$B$107,1)),""))</f>
        <v/>
      </c>
      <c r="C238" s="17" t="str">
        <f aca="false">IF(A238="","",YEAR(A238)&amp;"-"&amp;TEXT(MONTH(A238),"00"))</f>
        <v/>
      </c>
      <c r="D238" s="26"/>
      <c r="E238" s="26"/>
      <c r="F238" s="26"/>
      <c r="G238" s="26"/>
      <c r="H238" s="27"/>
      <c r="I238" s="29"/>
      <c r="J238" s="26"/>
      <c r="K238" s="26"/>
      <c r="L238" s="27"/>
      <c r="M238" s="26"/>
      <c r="N238" s="26"/>
      <c r="O238" s="26"/>
    </row>
    <row r="239" customFormat="false" ht="15" hidden="false" customHeight="false" outlineLevel="0" collapsed="false">
      <c r="A239" s="32"/>
      <c r="B239" s="17" t="str">
        <f aca="false">IF(A239="","",IFERROR(INDEX(Calendario!$A$4:$A$107,MATCH(A239,Calendario!$B$4:$B$107,1)),""))</f>
        <v/>
      </c>
      <c r="C239" s="17" t="str">
        <f aca="false">IF(A239="","",YEAR(A239)&amp;"-"&amp;TEXT(MONTH(A239),"00"))</f>
        <v/>
      </c>
      <c r="D239" s="26"/>
      <c r="E239" s="26"/>
      <c r="F239" s="26"/>
      <c r="G239" s="26"/>
      <c r="H239" s="27"/>
      <c r="I239" s="29"/>
      <c r="J239" s="26"/>
      <c r="K239" s="26"/>
      <c r="L239" s="27"/>
      <c r="M239" s="26"/>
      <c r="N239" s="26"/>
      <c r="O239" s="26"/>
    </row>
    <row r="240" customFormat="false" ht="15" hidden="false" customHeight="false" outlineLevel="0" collapsed="false">
      <c r="A240" s="32"/>
      <c r="B240" s="17" t="str">
        <f aca="false">IF(A240="","",IFERROR(INDEX(Calendario!$A$4:$A$107,MATCH(A240,Calendario!$B$4:$B$107,1)),""))</f>
        <v/>
      </c>
      <c r="C240" s="17" t="str">
        <f aca="false">IF(A240="","",YEAR(A240)&amp;"-"&amp;TEXT(MONTH(A240),"00"))</f>
        <v/>
      </c>
      <c r="D240" s="26"/>
      <c r="E240" s="26"/>
      <c r="F240" s="26"/>
      <c r="G240" s="26"/>
      <c r="H240" s="27"/>
      <c r="I240" s="29"/>
      <c r="J240" s="26"/>
      <c r="K240" s="26"/>
      <c r="L240" s="27"/>
      <c r="M240" s="26"/>
      <c r="N240" s="26"/>
      <c r="O240" s="26"/>
    </row>
    <row r="241" customFormat="false" ht="15" hidden="false" customHeight="false" outlineLevel="0" collapsed="false">
      <c r="A241" s="32"/>
      <c r="B241" s="17" t="str">
        <f aca="false">IF(A241="","",IFERROR(INDEX(Calendario!$A$4:$A$107,MATCH(A241,Calendario!$B$4:$B$107,1)),""))</f>
        <v/>
      </c>
      <c r="C241" s="17" t="str">
        <f aca="false">IF(A241="","",YEAR(A241)&amp;"-"&amp;TEXT(MONTH(A241),"00"))</f>
        <v/>
      </c>
      <c r="D241" s="26"/>
      <c r="E241" s="26"/>
      <c r="F241" s="26"/>
      <c r="G241" s="26"/>
      <c r="H241" s="27"/>
      <c r="I241" s="29"/>
      <c r="J241" s="26"/>
      <c r="K241" s="26"/>
      <c r="L241" s="27"/>
      <c r="M241" s="26"/>
      <c r="N241" s="26"/>
      <c r="O241" s="26"/>
    </row>
    <row r="242" customFormat="false" ht="15" hidden="false" customHeight="false" outlineLevel="0" collapsed="false">
      <c r="A242" s="32"/>
      <c r="B242" s="17" t="str">
        <f aca="false">IF(A242="","",IFERROR(INDEX(Calendario!$A$4:$A$107,MATCH(A242,Calendario!$B$4:$B$107,1)),""))</f>
        <v/>
      </c>
      <c r="C242" s="17" t="str">
        <f aca="false">IF(A242="","",YEAR(A242)&amp;"-"&amp;TEXT(MONTH(A242),"00"))</f>
        <v/>
      </c>
      <c r="D242" s="26"/>
      <c r="E242" s="26"/>
      <c r="F242" s="26"/>
      <c r="G242" s="26"/>
      <c r="H242" s="27"/>
      <c r="I242" s="29"/>
      <c r="J242" s="26"/>
      <c r="K242" s="26"/>
      <c r="L242" s="27"/>
      <c r="M242" s="26"/>
      <c r="N242" s="26"/>
      <c r="O242" s="26"/>
    </row>
    <row r="243" customFormat="false" ht="15" hidden="false" customHeight="false" outlineLevel="0" collapsed="false">
      <c r="A243" s="32"/>
      <c r="B243" s="17" t="str">
        <f aca="false">IF(A243="","",IFERROR(INDEX(Calendario!$A$4:$A$107,MATCH(A243,Calendario!$B$4:$B$107,1)),""))</f>
        <v/>
      </c>
      <c r="C243" s="17" t="str">
        <f aca="false">IF(A243="","",YEAR(A243)&amp;"-"&amp;TEXT(MONTH(A243),"00"))</f>
        <v/>
      </c>
      <c r="D243" s="26"/>
      <c r="E243" s="26"/>
      <c r="F243" s="26"/>
      <c r="G243" s="26"/>
      <c r="H243" s="27"/>
      <c r="I243" s="29"/>
      <c r="J243" s="26"/>
      <c r="K243" s="26"/>
      <c r="L243" s="27"/>
      <c r="M243" s="26"/>
      <c r="N243" s="26"/>
      <c r="O243" s="26"/>
    </row>
    <row r="244" customFormat="false" ht="15" hidden="false" customHeight="false" outlineLevel="0" collapsed="false">
      <c r="A244" s="32"/>
      <c r="B244" s="17" t="str">
        <f aca="false">IF(A244="","",IFERROR(INDEX(Calendario!$A$4:$A$107,MATCH(A244,Calendario!$B$4:$B$107,1)),""))</f>
        <v/>
      </c>
      <c r="C244" s="17" t="str">
        <f aca="false">IF(A244="","",YEAR(A244)&amp;"-"&amp;TEXT(MONTH(A244),"00"))</f>
        <v/>
      </c>
      <c r="D244" s="26"/>
      <c r="E244" s="26"/>
      <c r="F244" s="26"/>
      <c r="G244" s="26"/>
      <c r="H244" s="27"/>
      <c r="I244" s="29"/>
      <c r="J244" s="26"/>
      <c r="K244" s="26"/>
      <c r="L244" s="27"/>
      <c r="M244" s="26"/>
      <c r="N244" s="26"/>
      <c r="O244" s="26"/>
    </row>
    <row r="245" customFormat="false" ht="15" hidden="false" customHeight="false" outlineLevel="0" collapsed="false">
      <c r="A245" s="32"/>
      <c r="B245" s="17" t="str">
        <f aca="false">IF(A245="","",IFERROR(INDEX(Calendario!$A$4:$A$107,MATCH(A245,Calendario!$B$4:$B$107,1)),""))</f>
        <v/>
      </c>
      <c r="C245" s="17" t="str">
        <f aca="false">IF(A245="","",YEAR(A245)&amp;"-"&amp;TEXT(MONTH(A245),"00"))</f>
        <v/>
      </c>
      <c r="D245" s="26"/>
      <c r="E245" s="26"/>
      <c r="F245" s="26"/>
      <c r="G245" s="26"/>
      <c r="H245" s="27"/>
      <c r="I245" s="29"/>
      <c r="J245" s="26"/>
      <c r="K245" s="26"/>
      <c r="L245" s="27"/>
      <c r="M245" s="26"/>
      <c r="N245" s="26"/>
      <c r="O245" s="26"/>
    </row>
    <row r="246" customFormat="false" ht="15" hidden="false" customHeight="false" outlineLevel="0" collapsed="false">
      <c r="A246" s="32"/>
      <c r="B246" s="17" t="str">
        <f aca="false">IF(A246="","",IFERROR(INDEX(Calendario!$A$4:$A$107,MATCH(A246,Calendario!$B$4:$B$107,1)),""))</f>
        <v/>
      </c>
      <c r="C246" s="17" t="str">
        <f aca="false">IF(A246="","",YEAR(A246)&amp;"-"&amp;TEXT(MONTH(A246),"00"))</f>
        <v/>
      </c>
      <c r="D246" s="26"/>
      <c r="E246" s="26"/>
      <c r="F246" s="26"/>
      <c r="G246" s="26"/>
      <c r="H246" s="27"/>
      <c r="I246" s="29"/>
      <c r="J246" s="26"/>
      <c r="K246" s="26"/>
      <c r="L246" s="27"/>
      <c r="M246" s="26"/>
      <c r="N246" s="26"/>
      <c r="O246" s="26"/>
    </row>
    <row r="247" customFormat="false" ht="15" hidden="false" customHeight="false" outlineLevel="0" collapsed="false">
      <c r="A247" s="32"/>
      <c r="B247" s="17" t="str">
        <f aca="false">IF(A247="","",IFERROR(INDEX(Calendario!$A$4:$A$107,MATCH(A247,Calendario!$B$4:$B$107,1)),""))</f>
        <v/>
      </c>
      <c r="C247" s="17" t="str">
        <f aca="false">IF(A247="","",YEAR(A247)&amp;"-"&amp;TEXT(MONTH(A247),"00"))</f>
        <v/>
      </c>
      <c r="D247" s="26"/>
      <c r="E247" s="26"/>
      <c r="F247" s="26"/>
      <c r="G247" s="26"/>
      <c r="H247" s="27"/>
      <c r="I247" s="29"/>
      <c r="J247" s="26"/>
      <c r="K247" s="26"/>
      <c r="L247" s="27"/>
      <c r="M247" s="26"/>
      <c r="N247" s="26"/>
      <c r="O247" s="26"/>
    </row>
    <row r="248" customFormat="false" ht="15" hidden="false" customHeight="false" outlineLevel="0" collapsed="false">
      <c r="A248" s="32"/>
      <c r="B248" s="17" t="str">
        <f aca="false">IF(A248="","",IFERROR(INDEX(Calendario!$A$4:$A$107,MATCH(A248,Calendario!$B$4:$B$107,1)),""))</f>
        <v/>
      </c>
      <c r="C248" s="17" t="str">
        <f aca="false">IF(A248="","",YEAR(A248)&amp;"-"&amp;TEXT(MONTH(A248),"00"))</f>
        <v/>
      </c>
      <c r="D248" s="26"/>
      <c r="E248" s="26"/>
      <c r="F248" s="26"/>
      <c r="G248" s="26"/>
      <c r="H248" s="27"/>
      <c r="I248" s="29"/>
      <c r="J248" s="26"/>
      <c r="K248" s="26"/>
      <c r="L248" s="27"/>
      <c r="M248" s="26"/>
      <c r="N248" s="26"/>
      <c r="O248" s="26"/>
    </row>
    <row r="249" customFormat="false" ht="15" hidden="false" customHeight="false" outlineLevel="0" collapsed="false">
      <c r="A249" s="32"/>
      <c r="B249" s="17" t="str">
        <f aca="false">IF(A249="","",IFERROR(INDEX(Calendario!$A$4:$A$107,MATCH(A249,Calendario!$B$4:$B$107,1)),""))</f>
        <v/>
      </c>
      <c r="C249" s="17" t="str">
        <f aca="false">IF(A249="","",YEAR(A249)&amp;"-"&amp;TEXT(MONTH(A249),"00"))</f>
        <v/>
      </c>
      <c r="D249" s="26"/>
      <c r="E249" s="26"/>
      <c r="F249" s="26"/>
      <c r="G249" s="26"/>
      <c r="H249" s="27"/>
      <c r="I249" s="29"/>
      <c r="J249" s="26"/>
      <c r="K249" s="26"/>
      <c r="L249" s="27"/>
      <c r="M249" s="26"/>
      <c r="N249" s="26"/>
      <c r="O249" s="26"/>
    </row>
    <row r="250" customFormat="false" ht="15" hidden="false" customHeight="false" outlineLevel="0" collapsed="false">
      <c r="A250" s="32"/>
      <c r="B250" s="17" t="str">
        <f aca="false">IF(A250="","",IFERROR(INDEX(Calendario!$A$4:$A$107,MATCH(A250,Calendario!$B$4:$B$107,1)),""))</f>
        <v/>
      </c>
      <c r="C250" s="17" t="str">
        <f aca="false">IF(A250="","",YEAR(A250)&amp;"-"&amp;TEXT(MONTH(A250),"00"))</f>
        <v/>
      </c>
      <c r="D250" s="26"/>
      <c r="E250" s="26"/>
      <c r="F250" s="26"/>
      <c r="G250" s="26"/>
      <c r="H250" s="27"/>
      <c r="I250" s="29"/>
      <c r="J250" s="26"/>
      <c r="K250" s="26"/>
      <c r="L250" s="27"/>
      <c r="M250" s="26"/>
      <c r="N250" s="26"/>
      <c r="O250" s="26"/>
    </row>
    <row r="251" customFormat="false" ht="15" hidden="false" customHeight="false" outlineLevel="0" collapsed="false">
      <c r="A251" s="32"/>
      <c r="B251" s="17" t="str">
        <f aca="false">IF(A251="","",IFERROR(INDEX(Calendario!$A$4:$A$107,MATCH(A251,Calendario!$B$4:$B$107,1)),""))</f>
        <v/>
      </c>
      <c r="C251" s="17" t="str">
        <f aca="false">IF(A251="","",YEAR(A251)&amp;"-"&amp;TEXT(MONTH(A251),"00"))</f>
        <v/>
      </c>
      <c r="D251" s="26"/>
      <c r="E251" s="26"/>
      <c r="F251" s="26"/>
      <c r="G251" s="26"/>
      <c r="H251" s="27"/>
      <c r="I251" s="29"/>
      <c r="J251" s="26"/>
      <c r="K251" s="26"/>
      <c r="L251" s="27"/>
      <c r="M251" s="26"/>
      <c r="N251" s="26"/>
      <c r="O251" s="26"/>
    </row>
    <row r="252" customFormat="false" ht="15" hidden="false" customHeight="false" outlineLevel="0" collapsed="false">
      <c r="A252" s="32"/>
      <c r="B252" s="17" t="str">
        <f aca="false">IF(A252="","",IFERROR(INDEX(Calendario!$A$4:$A$107,MATCH(A252,Calendario!$B$4:$B$107,1)),""))</f>
        <v/>
      </c>
      <c r="C252" s="17" t="str">
        <f aca="false">IF(A252="","",YEAR(A252)&amp;"-"&amp;TEXT(MONTH(A252),"00"))</f>
        <v/>
      </c>
      <c r="D252" s="26"/>
      <c r="E252" s="26"/>
      <c r="F252" s="26"/>
      <c r="G252" s="26"/>
      <c r="H252" s="27"/>
      <c r="I252" s="29"/>
      <c r="J252" s="26"/>
      <c r="K252" s="26"/>
      <c r="L252" s="27"/>
      <c r="M252" s="26"/>
      <c r="N252" s="26"/>
      <c r="O252" s="26"/>
    </row>
    <row r="253" customFormat="false" ht="15" hidden="false" customHeight="false" outlineLevel="0" collapsed="false">
      <c r="A253" s="32"/>
      <c r="B253" s="17" t="str">
        <f aca="false">IF(A253="","",IFERROR(INDEX(Calendario!$A$4:$A$107,MATCH(A253,Calendario!$B$4:$B$107,1)),""))</f>
        <v/>
      </c>
      <c r="C253" s="17" t="str">
        <f aca="false">IF(A253="","",YEAR(A253)&amp;"-"&amp;TEXT(MONTH(A253),"00"))</f>
        <v/>
      </c>
      <c r="D253" s="26"/>
      <c r="E253" s="26"/>
      <c r="F253" s="26"/>
      <c r="G253" s="26"/>
      <c r="H253" s="27"/>
      <c r="I253" s="29"/>
      <c r="J253" s="26"/>
      <c r="K253" s="26"/>
      <c r="L253" s="27"/>
      <c r="M253" s="26"/>
      <c r="N253" s="26"/>
      <c r="O253" s="26"/>
    </row>
    <row r="254" customFormat="false" ht="15" hidden="false" customHeight="false" outlineLevel="0" collapsed="false">
      <c r="A254" s="32"/>
      <c r="B254" s="17" t="str">
        <f aca="false">IF(A254="","",IFERROR(INDEX(Calendario!$A$4:$A$107,MATCH(A254,Calendario!$B$4:$B$107,1)),""))</f>
        <v/>
      </c>
      <c r="C254" s="17" t="str">
        <f aca="false">IF(A254="","",YEAR(A254)&amp;"-"&amp;TEXT(MONTH(A254),"00"))</f>
        <v/>
      </c>
      <c r="D254" s="26"/>
      <c r="E254" s="26"/>
      <c r="F254" s="26"/>
      <c r="G254" s="26"/>
      <c r="H254" s="27"/>
      <c r="I254" s="29"/>
      <c r="J254" s="26"/>
      <c r="K254" s="26"/>
      <c r="L254" s="27"/>
      <c r="M254" s="26"/>
      <c r="N254" s="26"/>
      <c r="O254" s="26"/>
    </row>
    <row r="255" customFormat="false" ht="15" hidden="false" customHeight="false" outlineLevel="0" collapsed="false">
      <c r="A255" s="32"/>
      <c r="B255" s="17" t="str">
        <f aca="false">IF(A255="","",IFERROR(INDEX(Calendario!$A$4:$A$107,MATCH(A255,Calendario!$B$4:$B$107,1)),""))</f>
        <v/>
      </c>
      <c r="C255" s="17" t="str">
        <f aca="false">IF(A255="","",YEAR(A255)&amp;"-"&amp;TEXT(MONTH(A255),"00"))</f>
        <v/>
      </c>
      <c r="D255" s="26"/>
      <c r="E255" s="26"/>
      <c r="F255" s="26"/>
      <c r="G255" s="26"/>
      <c r="H255" s="27"/>
      <c r="I255" s="29"/>
      <c r="J255" s="26"/>
      <c r="K255" s="26"/>
      <c r="L255" s="27"/>
      <c r="M255" s="26"/>
      <c r="N255" s="26"/>
      <c r="O255" s="26"/>
    </row>
    <row r="256" customFormat="false" ht="15" hidden="false" customHeight="false" outlineLevel="0" collapsed="false">
      <c r="A256" s="32"/>
      <c r="B256" s="17" t="str">
        <f aca="false">IF(A256="","",IFERROR(INDEX(Calendario!$A$4:$A$107,MATCH(A256,Calendario!$B$4:$B$107,1)),""))</f>
        <v/>
      </c>
      <c r="C256" s="17" t="str">
        <f aca="false">IF(A256="","",YEAR(A256)&amp;"-"&amp;TEXT(MONTH(A256),"00"))</f>
        <v/>
      </c>
      <c r="D256" s="26"/>
      <c r="E256" s="26"/>
      <c r="F256" s="26"/>
      <c r="G256" s="26"/>
      <c r="H256" s="27"/>
      <c r="I256" s="29"/>
      <c r="J256" s="26"/>
      <c r="K256" s="26"/>
      <c r="L256" s="27"/>
      <c r="M256" s="26"/>
      <c r="N256" s="26"/>
      <c r="O256" s="26"/>
    </row>
    <row r="257" customFormat="false" ht="15" hidden="false" customHeight="false" outlineLevel="0" collapsed="false">
      <c r="A257" s="32"/>
      <c r="B257" s="17" t="str">
        <f aca="false">IF(A257="","",IFERROR(INDEX(Calendario!$A$4:$A$107,MATCH(A257,Calendario!$B$4:$B$107,1)),""))</f>
        <v/>
      </c>
      <c r="C257" s="17" t="str">
        <f aca="false">IF(A257="","",YEAR(A257)&amp;"-"&amp;TEXT(MONTH(A257),"00"))</f>
        <v/>
      </c>
      <c r="D257" s="26"/>
      <c r="E257" s="26"/>
      <c r="F257" s="26"/>
      <c r="G257" s="26"/>
      <c r="H257" s="27"/>
      <c r="I257" s="29"/>
      <c r="J257" s="26"/>
      <c r="K257" s="26"/>
      <c r="L257" s="27"/>
      <c r="M257" s="26"/>
      <c r="N257" s="26"/>
      <c r="O257" s="26"/>
    </row>
    <row r="258" customFormat="false" ht="15" hidden="false" customHeight="false" outlineLevel="0" collapsed="false">
      <c r="A258" s="32"/>
      <c r="B258" s="17" t="str">
        <f aca="false">IF(A258="","",IFERROR(INDEX(Calendario!$A$4:$A$107,MATCH(A258,Calendario!$B$4:$B$107,1)),""))</f>
        <v/>
      </c>
      <c r="C258" s="17" t="str">
        <f aca="false">IF(A258="","",YEAR(A258)&amp;"-"&amp;TEXT(MONTH(A258),"00"))</f>
        <v/>
      </c>
      <c r="D258" s="26"/>
      <c r="E258" s="26"/>
      <c r="F258" s="26"/>
      <c r="G258" s="26"/>
      <c r="H258" s="27"/>
      <c r="I258" s="29"/>
      <c r="J258" s="26"/>
      <c r="K258" s="26"/>
      <c r="L258" s="27"/>
      <c r="M258" s="26"/>
      <c r="N258" s="26"/>
      <c r="O258" s="26"/>
    </row>
    <row r="259" customFormat="false" ht="15" hidden="false" customHeight="false" outlineLevel="0" collapsed="false">
      <c r="A259" s="32"/>
      <c r="B259" s="17" t="str">
        <f aca="false">IF(A259="","",IFERROR(INDEX(Calendario!$A$4:$A$107,MATCH(A259,Calendario!$B$4:$B$107,1)),""))</f>
        <v/>
      </c>
      <c r="C259" s="17" t="str">
        <f aca="false">IF(A259="","",YEAR(A259)&amp;"-"&amp;TEXT(MONTH(A259),"00"))</f>
        <v/>
      </c>
      <c r="D259" s="26"/>
      <c r="E259" s="26"/>
      <c r="F259" s="26"/>
      <c r="G259" s="26"/>
      <c r="H259" s="27"/>
      <c r="I259" s="29"/>
      <c r="J259" s="26"/>
      <c r="K259" s="26"/>
      <c r="L259" s="27"/>
      <c r="M259" s="26"/>
      <c r="N259" s="26"/>
      <c r="O259" s="26"/>
    </row>
    <row r="260" customFormat="false" ht="15" hidden="false" customHeight="false" outlineLevel="0" collapsed="false">
      <c r="A260" s="32"/>
      <c r="B260" s="17" t="str">
        <f aca="false">IF(A260="","",IFERROR(INDEX(Calendario!$A$4:$A$107,MATCH(A260,Calendario!$B$4:$B$107,1)),""))</f>
        <v/>
      </c>
      <c r="C260" s="17" t="str">
        <f aca="false">IF(A260="","",YEAR(A260)&amp;"-"&amp;TEXT(MONTH(A260),"00"))</f>
        <v/>
      </c>
      <c r="D260" s="26"/>
      <c r="E260" s="26"/>
      <c r="F260" s="26"/>
      <c r="G260" s="26"/>
      <c r="H260" s="27"/>
      <c r="I260" s="29"/>
      <c r="J260" s="26"/>
      <c r="K260" s="26"/>
      <c r="L260" s="27"/>
      <c r="M260" s="26"/>
      <c r="N260" s="26"/>
      <c r="O260" s="26"/>
    </row>
    <row r="261" customFormat="false" ht="15" hidden="false" customHeight="false" outlineLevel="0" collapsed="false">
      <c r="A261" s="32"/>
      <c r="B261" s="17" t="str">
        <f aca="false">IF(A261="","",IFERROR(INDEX(Calendario!$A$4:$A$107,MATCH(A261,Calendario!$B$4:$B$107,1)),""))</f>
        <v/>
      </c>
      <c r="C261" s="17" t="str">
        <f aca="false">IF(A261="","",YEAR(A261)&amp;"-"&amp;TEXT(MONTH(A261),"00"))</f>
        <v/>
      </c>
      <c r="D261" s="26"/>
      <c r="E261" s="26"/>
      <c r="F261" s="26"/>
      <c r="G261" s="26"/>
      <c r="H261" s="27"/>
      <c r="I261" s="29"/>
      <c r="J261" s="26"/>
      <c r="K261" s="26"/>
      <c r="L261" s="27"/>
      <c r="M261" s="26"/>
      <c r="N261" s="26"/>
      <c r="O261" s="26"/>
    </row>
    <row r="262" customFormat="false" ht="15" hidden="false" customHeight="false" outlineLevel="0" collapsed="false">
      <c r="A262" s="32"/>
      <c r="B262" s="17" t="str">
        <f aca="false">IF(A262="","",IFERROR(INDEX(Calendario!$A$4:$A$107,MATCH(A262,Calendario!$B$4:$B$107,1)),""))</f>
        <v/>
      </c>
      <c r="C262" s="17" t="str">
        <f aca="false">IF(A262="","",YEAR(A262)&amp;"-"&amp;TEXT(MONTH(A262),"00"))</f>
        <v/>
      </c>
      <c r="D262" s="26"/>
      <c r="E262" s="26"/>
      <c r="F262" s="26"/>
      <c r="G262" s="26"/>
      <c r="H262" s="27"/>
      <c r="I262" s="29"/>
      <c r="J262" s="26"/>
      <c r="K262" s="26"/>
      <c r="L262" s="27"/>
      <c r="M262" s="26"/>
      <c r="N262" s="26"/>
      <c r="O262" s="26"/>
    </row>
    <row r="263" customFormat="false" ht="15" hidden="false" customHeight="false" outlineLevel="0" collapsed="false">
      <c r="A263" s="32"/>
      <c r="B263" s="17" t="str">
        <f aca="false">IF(A263="","",IFERROR(INDEX(Calendario!$A$4:$A$107,MATCH(A263,Calendario!$B$4:$B$107,1)),""))</f>
        <v/>
      </c>
      <c r="C263" s="17" t="str">
        <f aca="false">IF(A263="","",YEAR(A263)&amp;"-"&amp;TEXT(MONTH(A263),"00"))</f>
        <v/>
      </c>
      <c r="D263" s="26"/>
      <c r="E263" s="26"/>
      <c r="F263" s="26"/>
      <c r="G263" s="26"/>
      <c r="H263" s="27"/>
      <c r="I263" s="29"/>
      <c r="J263" s="26"/>
      <c r="K263" s="26"/>
      <c r="L263" s="27"/>
      <c r="M263" s="26"/>
      <c r="N263" s="26"/>
      <c r="O263" s="26"/>
    </row>
    <row r="264" customFormat="false" ht="15" hidden="false" customHeight="false" outlineLevel="0" collapsed="false">
      <c r="A264" s="32"/>
      <c r="B264" s="17" t="str">
        <f aca="false">IF(A264="","",IFERROR(INDEX(Calendario!$A$4:$A$107,MATCH(A264,Calendario!$B$4:$B$107,1)),""))</f>
        <v/>
      </c>
      <c r="C264" s="17" t="str">
        <f aca="false">IF(A264="","",YEAR(A264)&amp;"-"&amp;TEXT(MONTH(A264),"00"))</f>
        <v/>
      </c>
      <c r="D264" s="26"/>
      <c r="E264" s="26"/>
      <c r="F264" s="26"/>
      <c r="G264" s="26"/>
      <c r="H264" s="27"/>
      <c r="I264" s="29"/>
      <c r="J264" s="26"/>
      <c r="K264" s="26"/>
      <c r="L264" s="27"/>
      <c r="M264" s="26"/>
      <c r="N264" s="26"/>
      <c r="O264" s="26"/>
    </row>
    <row r="265" customFormat="false" ht="15" hidden="false" customHeight="false" outlineLevel="0" collapsed="false">
      <c r="A265" s="32"/>
      <c r="B265" s="17" t="str">
        <f aca="false">IF(A265="","",IFERROR(INDEX(Calendario!$A$4:$A$107,MATCH(A265,Calendario!$B$4:$B$107,1)),""))</f>
        <v/>
      </c>
      <c r="C265" s="17" t="str">
        <f aca="false">IF(A265="","",YEAR(A265)&amp;"-"&amp;TEXT(MONTH(A265),"00"))</f>
        <v/>
      </c>
      <c r="D265" s="26"/>
      <c r="E265" s="26"/>
      <c r="F265" s="26"/>
      <c r="G265" s="26"/>
      <c r="H265" s="27"/>
      <c r="I265" s="29"/>
      <c r="J265" s="26"/>
      <c r="K265" s="26"/>
      <c r="L265" s="27"/>
      <c r="M265" s="26"/>
      <c r="N265" s="26"/>
      <c r="O265" s="26"/>
    </row>
    <row r="266" customFormat="false" ht="15" hidden="false" customHeight="false" outlineLevel="0" collapsed="false">
      <c r="A266" s="32"/>
      <c r="B266" s="17" t="str">
        <f aca="false">IF(A266="","",IFERROR(INDEX(Calendario!$A$4:$A$107,MATCH(A266,Calendario!$B$4:$B$107,1)),""))</f>
        <v/>
      </c>
      <c r="C266" s="17" t="str">
        <f aca="false">IF(A266="","",YEAR(A266)&amp;"-"&amp;TEXT(MONTH(A266),"00"))</f>
        <v/>
      </c>
      <c r="D266" s="26"/>
      <c r="E266" s="26"/>
      <c r="F266" s="26"/>
      <c r="G266" s="26"/>
      <c r="H266" s="27"/>
      <c r="I266" s="29"/>
      <c r="J266" s="26"/>
      <c r="K266" s="26"/>
      <c r="L266" s="27"/>
      <c r="M266" s="26"/>
      <c r="N266" s="26"/>
      <c r="O266" s="26"/>
    </row>
    <row r="267" customFormat="false" ht="15" hidden="false" customHeight="false" outlineLevel="0" collapsed="false">
      <c r="A267" s="32"/>
      <c r="B267" s="17" t="str">
        <f aca="false">IF(A267="","",IFERROR(INDEX(Calendario!$A$4:$A$107,MATCH(A267,Calendario!$B$4:$B$107,1)),""))</f>
        <v/>
      </c>
      <c r="C267" s="17" t="str">
        <f aca="false">IF(A267="","",YEAR(A267)&amp;"-"&amp;TEXT(MONTH(A267),"00"))</f>
        <v/>
      </c>
      <c r="D267" s="26"/>
      <c r="E267" s="26"/>
      <c r="F267" s="26"/>
      <c r="G267" s="26"/>
      <c r="H267" s="27"/>
      <c r="I267" s="29"/>
      <c r="J267" s="26"/>
      <c r="K267" s="26"/>
      <c r="L267" s="27"/>
      <c r="M267" s="26"/>
      <c r="N267" s="26"/>
      <c r="O267" s="26"/>
    </row>
    <row r="268" customFormat="false" ht="15" hidden="false" customHeight="false" outlineLevel="0" collapsed="false">
      <c r="A268" s="32"/>
      <c r="B268" s="17" t="str">
        <f aca="false">IF(A268="","",IFERROR(INDEX(Calendario!$A$4:$A$107,MATCH(A268,Calendario!$B$4:$B$107,1)),""))</f>
        <v/>
      </c>
      <c r="C268" s="17" t="str">
        <f aca="false">IF(A268="","",YEAR(A268)&amp;"-"&amp;TEXT(MONTH(A268),"00"))</f>
        <v/>
      </c>
      <c r="D268" s="26"/>
      <c r="E268" s="26"/>
      <c r="F268" s="26"/>
      <c r="G268" s="26"/>
      <c r="H268" s="27"/>
      <c r="I268" s="29"/>
      <c r="J268" s="26"/>
      <c r="K268" s="26"/>
      <c r="L268" s="27"/>
      <c r="M268" s="26"/>
      <c r="N268" s="26"/>
      <c r="O268" s="26"/>
    </row>
    <row r="269" customFormat="false" ht="15" hidden="false" customHeight="false" outlineLevel="0" collapsed="false">
      <c r="A269" s="32"/>
      <c r="B269" s="17" t="str">
        <f aca="false">IF(A269="","",IFERROR(INDEX(Calendario!$A$4:$A$107,MATCH(A269,Calendario!$B$4:$B$107,1)),""))</f>
        <v/>
      </c>
      <c r="C269" s="17" t="str">
        <f aca="false">IF(A269="","",YEAR(A269)&amp;"-"&amp;TEXT(MONTH(A269),"00"))</f>
        <v/>
      </c>
      <c r="D269" s="26"/>
      <c r="E269" s="26"/>
      <c r="F269" s="26"/>
      <c r="G269" s="26"/>
      <c r="H269" s="27"/>
      <c r="I269" s="29"/>
      <c r="J269" s="26"/>
      <c r="K269" s="26"/>
      <c r="L269" s="27"/>
      <c r="M269" s="26"/>
      <c r="N269" s="26"/>
      <c r="O269" s="26"/>
    </row>
    <row r="270" customFormat="false" ht="15" hidden="false" customHeight="false" outlineLevel="0" collapsed="false">
      <c r="A270" s="32"/>
      <c r="B270" s="17" t="str">
        <f aca="false">IF(A270="","",IFERROR(INDEX(Calendario!$A$4:$A$107,MATCH(A270,Calendario!$B$4:$B$107,1)),""))</f>
        <v/>
      </c>
      <c r="C270" s="17" t="str">
        <f aca="false">IF(A270="","",YEAR(A270)&amp;"-"&amp;TEXT(MONTH(A270),"00"))</f>
        <v/>
      </c>
      <c r="D270" s="26"/>
      <c r="E270" s="26"/>
      <c r="F270" s="26"/>
      <c r="G270" s="26"/>
      <c r="H270" s="27"/>
      <c r="I270" s="29"/>
      <c r="J270" s="26"/>
      <c r="K270" s="26"/>
      <c r="L270" s="27"/>
      <c r="M270" s="26"/>
      <c r="N270" s="26"/>
      <c r="O270" s="26"/>
    </row>
    <row r="271" customFormat="false" ht="15" hidden="false" customHeight="false" outlineLevel="0" collapsed="false">
      <c r="A271" s="32"/>
      <c r="B271" s="17" t="str">
        <f aca="false">IF(A271="","",IFERROR(INDEX(Calendario!$A$4:$A$107,MATCH(A271,Calendario!$B$4:$B$107,1)),""))</f>
        <v/>
      </c>
      <c r="C271" s="17" t="str">
        <f aca="false">IF(A271="","",YEAR(A271)&amp;"-"&amp;TEXT(MONTH(A271),"00"))</f>
        <v/>
      </c>
      <c r="D271" s="26"/>
      <c r="E271" s="26"/>
      <c r="F271" s="26"/>
      <c r="G271" s="26"/>
      <c r="H271" s="27"/>
      <c r="I271" s="29"/>
      <c r="J271" s="26"/>
      <c r="K271" s="26"/>
      <c r="L271" s="27"/>
      <c r="M271" s="26"/>
      <c r="N271" s="26"/>
      <c r="O271" s="26"/>
    </row>
    <row r="272" customFormat="false" ht="15" hidden="false" customHeight="false" outlineLevel="0" collapsed="false">
      <c r="A272" s="32"/>
      <c r="B272" s="17" t="str">
        <f aca="false">IF(A272="","",IFERROR(INDEX(Calendario!$A$4:$A$107,MATCH(A272,Calendario!$B$4:$B$107,1)),""))</f>
        <v/>
      </c>
      <c r="C272" s="17" t="str">
        <f aca="false">IF(A272="","",YEAR(A272)&amp;"-"&amp;TEXT(MONTH(A272),"00"))</f>
        <v/>
      </c>
      <c r="D272" s="26"/>
      <c r="E272" s="26"/>
      <c r="F272" s="26"/>
      <c r="G272" s="26"/>
      <c r="H272" s="27"/>
      <c r="I272" s="29"/>
      <c r="J272" s="26"/>
      <c r="K272" s="26"/>
      <c r="L272" s="27"/>
      <c r="M272" s="26"/>
      <c r="N272" s="26"/>
      <c r="O272" s="26"/>
    </row>
    <row r="273" customFormat="false" ht="15" hidden="false" customHeight="false" outlineLevel="0" collapsed="false">
      <c r="A273" s="32"/>
      <c r="B273" s="17" t="str">
        <f aca="false">IF(A273="","",IFERROR(INDEX(Calendario!$A$4:$A$107,MATCH(A273,Calendario!$B$4:$B$107,1)),""))</f>
        <v/>
      </c>
      <c r="C273" s="17" t="str">
        <f aca="false">IF(A273="","",YEAR(A273)&amp;"-"&amp;TEXT(MONTH(A273),"00"))</f>
        <v/>
      </c>
      <c r="D273" s="26"/>
      <c r="E273" s="26"/>
      <c r="F273" s="26"/>
      <c r="G273" s="26"/>
      <c r="H273" s="27"/>
      <c r="I273" s="29"/>
      <c r="J273" s="26"/>
      <c r="K273" s="26"/>
      <c r="L273" s="27"/>
      <c r="M273" s="26"/>
      <c r="N273" s="26"/>
      <c r="O273" s="26"/>
    </row>
    <row r="274" customFormat="false" ht="15" hidden="false" customHeight="false" outlineLevel="0" collapsed="false">
      <c r="A274" s="32"/>
      <c r="B274" s="17" t="str">
        <f aca="false">IF(A274="","",IFERROR(INDEX(Calendario!$A$4:$A$107,MATCH(A274,Calendario!$B$4:$B$107,1)),""))</f>
        <v/>
      </c>
      <c r="C274" s="17" t="str">
        <f aca="false">IF(A274="","",YEAR(A274)&amp;"-"&amp;TEXT(MONTH(A274),"00"))</f>
        <v/>
      </c>
      <c r="D274" s="26"/>
      <c r="E274" s="26"/>
      <c r="F274" s="26"/>
      <c r="G274" s="26"/>
      <c r="H274" s="27"/>
      <c r="I274" s="29"/>
      <c r="J274" s="26"/>
      <c r="K274" s="26"/>
      <c r="L274" s="27"/>
      <c r="M274" s="26"/>
      <c r="N274" s="26"/>
      <c r="O274" s="26"/>
    </row>
    <row r="275" customFormat="false" ht="15" hidden="false" customHeight="false" outlineLevel="0" collapsed="false">
      <c r="A275" s="32"/>
      <c r="B275" s="17" t="str">
        <f aca="false">IF(A275="","",IFERROR(INDEX(Calendario!$A$4:$A$107,MATCH(A275,Calendario!$B$4:$B$107,1)),""))</f>
        <v/>
      </c>
      <c r="C275" s="17" t="str">
        <f aca="false">IF(A275="","",YEAR(A275)&amp;"-"&amp;TEXT(MONTH(A275),"00"))</f>
        <v/>
      </c>
      <c r="D275" s="26"/>
      <c r="E275" s="26"/>
      <c r="F275" s="26"/>
      <c r="G275" s="26"/>
      <c r="H275" s="27"/>
      <c r="I275" s="29"/>
      <c r="J275" s="26"/>
      <c r="K275" s="26"/>
      <c r="L275" s="27"/>
      <c r="M275" s="26"/>
      <c r="N275" s="26"/>
      <c r="O275" s="26"/>
    </row>
    <row r="276" customFormat="false" ht="15" hidden="false" customHeight="false" outlineLevel="0" collapsed="false">
      <c r="A276" s="32"/>
      <c r="B276" s="17" t="str">
        <f aca="false">IF(A276="","",IFERROR(INDEX(Calendario!$A$4:$A$107,MATCH(A276,Calendario!$B$4:$B$107,1)),""))</f>
        <v/>
      </c>
      <c r="C276" s="17" t="str">
        <f aca="false">IF(A276="","",YEAR(A276)&amp;"-"&amp;TEXT(MONTH(A276),"00"))</f>
        <v/>
      </c>
      <c r="D276" s="26"/>
      <c r="E276" s="26"/>
      <c r="F276" s="26"/>
      <c r="G276" s="26"/>
      <c r="H276" s="27"/>
      <c r="I276" s="29"/>
      <c r="J276" s="26"/>
      <c r="K276" s="26"/>
      <c r="L276" s="27"/>
      <c r="M276" s="26"/>
      <c r="N276" s="26"/>
      <c r="O276" s="26"/>
    </row>
    <row r="277" customFormat="false" ht="15" hidden="false" customHeight="false" outlineLevel="0" collapsed="false">
      <c r="A277" s="32"/>
      <c r="B277" s="17" t="str">
        <f aca="false">IF(A277="","",IFERROR(INDEX(Calendario!$A$4:$A$107,MATCH(A277,Calendario!$B$4:$B$107,1)),""))</f>
        <v/>
      </c>
      <c r="C277" s="17" t="str">
        <f aca="false">IF(A277="","",YEAR(A277)&amp;"-"&amp;TEXT(MONTH(A277),"00"))</f>
        <v/>
      </c>
      <c r="D277" s="26"/>
      <c r="E277" s="26"/>
      <c r="F277" s="26"/>
      <c r="G277" s="26"/>
      <c r="H277" s="27"/>
      <c r="I277" s="29"/>
      <c r="J277" s="26"/>
      <c r="K277" s="26"/>
      <c r="L277" s="27"/>
      <c r="M277" s="26"/>
      <c r="N277" s="26"/>
      <c r="O277" s="26"/>
    </row>
    <row r="278" customFormat="false" ht="15" hidden="false" customHeight="false" outlineLevel="0" collapsed="false">
      <c r="A278" s="32"/>
      <c r="B278" s="17" t="str">
        <f aca="false">IF(A278="","",IFERROR(INDEX(Calendario!$A$4:$A$107,MATCH(A278,Calendario!$B$4:$B$107,1)),""))</f>
        <v/>
      </c>
      <c r="C278" s="17" t="str">
        <f aca="false">IF(A278="","",YEAR(A278)&amp;"-"&amp;TEXT(MONTH(A278),"00"))</f>
        <v/>
      </c>
      <c r="D278" s="26"/>
      <c r="E278" s="26"/>
      <c r="F278" s="26"/>
      <c r="G278" s="26"/>
      <c r="H278" s="27"/>
      <c r="I278" s="29"/>
      <c r="J278" s="26"/>
      <c r="K278" s="26"/>
      <c r="L278" s="27"/>
      <c r="M278" s="26"/>
      <c r="N278" s="26"/>
      <c r="O278" s="26"/>
    </row>
    <row r="279" customFormat="false" ht="15" hidden="false" customHeight="false" outlineLevel="0" collapsed="false">
      <c r="A279" s="32"/>
      <c r="B279" s="17" t="str">
        <f aca="false">IF(A279="","",IFERROR(INDEX(Calendario!$A$4:$A$107,MATCH(A279,Calendario!$B$4:$B$107,1)),""))</f>
        <v/>
      </c>
      <c r="C279" s="17" t="str">
        <f aca="false">IF(A279="","",YEAR(A279)&amp;"-"&amp;TEXT(MONTH(A279),"00"))</f>
        <v/>
      </c>
      <c r="D279" s="26"/>
      <c r="E279" s="26"/>
      <c r="F279" s="26"/>
      <c r="G279" s="26"/>
      <c r="H279" s="27"/>
      <c r="I279" s="29"/>
      <c r="J279" s="26"/>
      <c r="K279" s="26"/>
      <c r="L279" s="27"/>
      <c r="M279" s="26"/>
      <c r="N279" s="26"/>
      <c r="O279" s="26"/>
    </row>
    <row r="280" customFormat="false" ht="15" hidden="false" customHeight="false" outlineLevel="0" collapsed="false">
      <c r="A280" s="32"/>
      <c r="B280" s="17" t="str">
        <f aca="false">IF(A280="","",IFERROR(INDEX(Calendario!$A$4:$A$107,MATCH(A280,Calendario!$B$4:$B$107,1)),""))</f>
        <v/>
      </c>
      <c r="C280" s="17" t="str">
        <f aca="false">IF(A280="","",YEAR(A280)&amp;"-"&amp;TEXT(MONTH(A280),"00"))</f>
        <v/>
      </c>
      <c r="D280" s="26"/>
      <c r="E280" s="26"/>
      <c r="F280" s="26"/>
      <c r="G280" s="26"/>
      <c r="H280" s="27"/>
      <c r="I280" s="29"/>
      <c r="J280" s="26"/>
      <c r="K280" s="26"/>
      <c r="L280" s="27"/>
      <c r="M280" s="26"/>
      <c r="N280" s="26"/>
      <c r="O280" s="26"/>
    </row>
    <row r="281" customFormat="false" ht="15" hidden="false" customHeight="false" outlineLevel="0" collapsed="false">
      <c r="A281" s="32"/>
      <c r="B281" s="17" t="str">
        <f aca="false">IF(A281="","",IFERROR(INDEX(Calendario!$A$4:$A$107,MATCH(A281,Calendario!$B$4:$B$107,1)),""))</f>
        <v/>
      </c>
      <c r="C281" s="17" t="str">
        <f aca="false">IF(A281="","",YEAR(A281)&amp;"-"&amp;TEXT(MONTH(A281),"00"))</f>
        <v/>
      </c>
      <c r="D281" s="26"/>
      <c r="E281" s="26"/>
      <c r="F281" s="26"/>
      <c r="G281" s="26"/>
      <c r="H281" s="27"/>
      <c r="I281" s="29"/>
      <c r="J281" s="26"/>
      <c r="K281" s="26"/>
      <c r="L281" s="27"/>
      <c r="M281" s="26"/>
      <c r="N281" s="26"/>
      <c r="O281" s="26"/>
    </row>
    <row r="282" customFormat="false" ht="15" hidden="false" customHeight="false" outlineLevel="0" collapsed="false">
      <c r="A282" s="32"/>
      <c r="B282" s="17" t="str">
        <f aca="false">IF(A282="","",IFERROR(INDEX(Calendario!$A$4:$A$107,MATCH(A282,Calendario!$B$4:$B$107,1)),""))</f>
        <v/>
      </c>
      <c r="C282" s="17" t="str">
        <f aca="false">IF(A282="","",YEAR(A282)&amp;"-"&amp;TEXT(MONTH(A282),"00"))</f>
        <v/>
      </c>
      <c r="D282" s="26"/>
      <c r="E282" s="26"/>
      <c r="F282" s="26"/>
      <c r="G282" s="26"/>
      <c r="H282" s="27"/>
      <c r="I282" s="29"/>
      <c r="J282" s="26"/>
      <c r="K282" s="26"/>
      <c r="L282" s="27"/>
      <c r="M282" s="26"/>
      <c r="N282" s="26"/>
      <c r="O282" s="26"/>
    </row>
    <row r="283" customFormat="false" ht="15" hidden="false" customHeight="false" outlineLevel="0" collapsed="false">
      <c r="A283" s="32"/>
      <c r="B283" s="17" t="str">
        <f aca="false">IF(A283="","",IFERROR(INDEX(Calendario!$A$4:$A$107,MATCH(A283,Calendario!$B$4:$B$107,1)),""))</f>
        <v/>
      </c>
      <c r="C283" s="17" t="str">
        <f aca="false">IF(A283="","",YEAR(A283)&amp;"-"&amp;TEXT(MONTH(A283),"00"))</f>
        <v/>
      </c>
      <c r="D283" s="26"/>
      <c r="E283" s="26"/>
      <c r="F283" s="26"/>
      <c r="G283" s="26"/>
      <c r="H283" s="27"/>
      <c r="I283" s="29"/>
      <c r="J283" s="26"/>
      <c r="K283" s="26"/>
      <c r="L283" s="27"/>
      <c r="M283" s="26"/>
      <c r="N283" s="26"/>
      <c r="O283" s="26"/>
    </row>
    <row r="284" customFormat="false" ht="15" hidden="false" customHeight="false" outlineLevel="0" collapsed="false">
      <c r="A284" s="32"/>
      <c r="B284" s="17" t="str">
        <f aca="false">IF(A284="","",IFERROR(INDEX(Calendario!$A$4:$A$107,MATCH(A284,Calendario!$B$4:$B$107,1)),""))</f>
        <v/>
      </c>
      <c r="C284" s="17" t="str">
        <f aca="false">IF(A284="","",YEAR(A284)&amp;"-"&amp;TEXT(MONTH(A284),"00"))</f>
        <v/>
      </c>
      <c r="D284" s="26"/>
      <c r="E284" s="26"/>
      <c r="F284" s="26"/>
      <c r="G284" s="26"/>
      <c r="H284" s="27"/>
      <c r="I284" s="29"/>
      <c r="J284" s="26"/>
      <c r="K284" s="26"/>
      <c r="L284" s="27"/>
      <c r="M284" s="26"/>
      <c r="N284" s="26"/>
      <c r="O284" s="26"/>
    </row>
    <row r="285" customFormat="false" ht="15" hidden="false" customHeight="false" outlineLevel="0" collapsed="false">
      <c r="A285" s="32"/>
      <c r="B285" s="17" t="str">
        <f aca="false">IF(A285="","",IFERROR(INDEX(Calendario!$A$4:$A$107,MATCH(A285,Calendario!$B$4:$B$107,1)),""))</f>
        <v/>
      </c>
      <c r="C285" s="17" t="str">
        <f aca="false">IF(A285="","",YEAR(A285)&amp;"-"&amp;TEXT(MONTH(A285),"00"))</f>
        <v/>
      </c>
      <c r="D285" s="26"/>
      <c r="E285" s="26"/>
      <c r="F285" s="26"/>
      <c r="G285" s="26"/>
      <c r="H285" s="27"/>
      <c r="I285" s="29"/>
      <c r="J285" s="26"/>
      <c r="K285" s="26"/>
      <c r="L285" s="27"/>
      <c r="M285" s="26"/>
      <c r="N285" s="26"/>
      <c r="O285" s="26"/>
    </row>
    <row r="286" customFormat="false" ht="15" hidden="false" customHeight="false" outlineLevel="0" collapsed="false">
      <c r="A286" s="32"/>
      <c r="B286" s="17" t="str">
        <f aca="false">IF(A286="","",IFERROR(INDEX(Calendario!$A$4:$A$107,MATCH(A286,Calendario!$B$4:$B$107,1)),""))</f>
        <v/>
      </c>
      <c r="C286" s="17" t="str">
        <f aca="false">IF(A286="","",YEAR(A286)&amp;"-"&amp;TEXT(MONTH(A286),"00"))</f>
        <v/>
      </c>
      <c r="D286" s="26"/>
      <c r="E286" s="26"/>
      <c r="F286" s="26"/>
      <c r="G286" s="26"/>
      <c r="H286" s="27"/>
      <c r="I286" s="29"/>
      <c r="J286" s="26"/>
      <c r="K286" s="26"/>
      <c r="L286" s="27"/>
      <c r="M286" s="26"/>
      <c r="N286" s="26"/>
      <c r="O286" s="26"/>
    </row>
    <row r="287" customFormat="false" ht="15" hidden="false" customHeight="false" outlineLevel="0" collapsed="false">
      <c r="A287" s="32"/>
      <c r="B287" s="17" t="str">
        <f aca="false">IF(A287="","",IFERROR(INDEX(Calendario!$A$4:$A$107,MATCH(A287,Calendario!$B$4:$B$107,1)),""))</f>
        <v/>
      </c>
      <c r="C287" s="17" t="str">
        <f aca="false">IF(A287="","",YEAR(A287)&amp;"-"&amp;TEXT(MONTH(A287),"00"))</f>
        <v/>
      </c>
      <c r="D287" s="26"/>
      <c r="E287" s="26"/>
      <c r="F287" s="26"/>
      <c r="G287" s="26"/>
      <c r="H287" s="27"/>
      <c r="I287" s="29"/>
      <c r="J287" s="26"/>
      <c r="K287" s="26"/>
      <c r="L287" s="27"/>
      <c r="M287" s="26"/>
      <c r="N287" s="26"/>
      <c r="O287" s="26"/>
    </row>
    <row r="288" customFormat="false" ht="15" hidden="false" customHeight="false" outlineLevel="0" collapsed="false">
      <c r="A288" s="32"/>
      <c r="B288" s="17" t="str">
        <f aca="false">IF(A288="","",IFERROR(INDEX(Calendario!$A$4:$A$107,MATCH(A288,Calendario!$B$4:$B$107,1)),""))</f>
        <v/>
      </c>
      <c r="C288" s="17" t="str">
        <f aca="false">IF(A288="","",YEAR(A288)&amp;"-"&amp;TEXT(MONTH(A288),"00"))</f>
        <v/>
      </c>
      <c r="D288" s="26"/>
      <c r="E288" s="26"/>
      <c r="F288" s="26"/>
      <c r="G288" s="26"/>
      <c r="H288" s="27"/>
      <c r="I288" s="29"/>
      <c r="J288" s="26"/>
      <c r="K288" s="26"/>
      <c r="L288" s="27"/>
      <c r="M288" s="26"/>
      <c r="N288" s="26"/>
      <c r="O288" s="26"/>
    </row>
    <row r="289" customFormat="false" ht="15" hidden="false" customHeight="false" outlineLevel="0" collapsed="false">
      <c r="A289" s="32"/>
      <c r="B289" s="17" t="str">
        <f aca="false">IF(A289="","",IFERROR(INDEX(Calendario!$A$4:$A$107,MATCH(A289,Calendario!$B$4:$B$107,1)),""))</f>
        <v/>
      </c>
      <c r="C289" s="17" t="str">
        <f aca="false">IF(A289="","",YEAR(A289)&amp;"-"&amp;TEXT(MONTH(A289),"00"))</f>
        <v/>
      </c>
      <c r="D289" s="26"/>
      <c r="E289" s="26"/>
      <c r="F289" s="26"/>
      <c r="G289" s="26"/>
      <c r="H289" s="27"/>
      <c r="I289" s="29"/>
      <c r="J289" s="26"/>
      <c r="K289" s="26"/>
      <c r="L289" s="27"/>
      <c r="M289" s="26"/>
      <c r="N289" s="26"/>
      <c r="O289" s="26"/>
    </row>
    <row r="290" customFormat="false" ht="15" hidden="false" customHeight="false" outlineLevel="0" collapsed="false">
      <c r="A290" s="32"/>
      <c r="B290" s="17" t="str">
        <f aca="false">IF(A290="","",IFERROR(INDEX(Calendario!$A$4:$A$107,MATCH(A290,Calendario!$B$4:$B$107,1)),""))</f>
        <v/>
      </c>
      <c r="C290" s="17" t="str">
        <f aca="false">IF(A290="","",YEAR(A290)&amp;"-"&amp;TEXT(MONTH(A290),"00"))</f>
        <v/>
      </c>
      <c r="D290" s="26"/>
      <c r="E290" s="26"/>
      <c r="F290" s="26"/>
      <c r="G290" s="26"/>
      <c r="H290" s="27"/>
      <c r="I290" s="29"/>
      <c r="J290" s="26"/>
      <c r="K290" s="26"/>
      <c r="L290" s="27"/>
      <c r="M290" s="26"/>
      <c r="N290" s="26"/>
      <c r="O290" s="26"/>
    </row>
    <row r="291" customFormat="false" ht="15" hidden="false" customHeight="false" outlineLevel="0" collapsed="false">
      <c r="A291" s="32"/>
      <c r="B291" s="17" t="str">
        <f aca="false">IF(A291="","",IFERROR(INDEX(Calendario!$A$4:$A$107,MATCH(A291,Calendario!$B$4:$B$107,1)),""))</f>
        <v/>
      </c>
      <c r="C291" s="17" t="str">
        <f aca="false">IF(A291="","",YEAR(A291)&amp;"-"&amp;TEXT(MONTH(A291),"00"))</f>
        <v/>
      </c>
      <c r="D291" s="26"/>
      <c r="E291" s="26"/>
      <c r="F291" s="26"/>
      <c r="G291" s="26"/>
      <c r="H291" s="27"/>
      <c r="I291" s="29"/>
      <c r="J291" s="26"/>
      <c r="K291" s="26"/>
      <c r="L291" s="27"/>
      <c r="M291" s="26"/>
      <c r="N291" s="26"/>
      <c r="O291" s="26"/>
    </row>
    <row r="292" customFormat="false" ht="15" hidden="false" customHeight="false" outlineLevel="0" collapsed="false">
      <c r="A292" s="32"/>
      <c r="B292" s="17" t="str">
        <f aca="false">IF(A292="","",IFERROR(INDEX(Calendario!$A$4:$A$107,MATCH(A292,Calendario!$B$4:$B$107,1)),""))</f>
        <v/>
      </c>
      <c r="C292" s="17" t="str">
        <f aca="false">IF(A292="","",YEAR(A292)&amp;"-"&amp;TEXT(MONTH(A292),"00"))</f>
        <v/>
      </c>
      <c r="D292" s="26"/>
      <c r="E292" s="26"/>
      <c r="F292" s="26"/>
      <c r="G292" s="26"/>
      <c r="H292" s="27"/>
      <c r="I292" s="29"/>
      <c r="J292" s="26"/>
      <c r="K292" s="26"/>
      <c r="L292" s="27"/>
      <c r="M292" s="26"/>
      <c r="N292" s="26"/>
      <c r="O292" s="26"/>
    </row>
    <row r="293" customFormat="false" ht="15" hidden="false" customHeight="false" outlineLevel="0" collapsed="false">
      <c r="A293" s="32"/>
      <c r="B293" s="17" t="str">
        <f aca="false">IF(A293="","",IFERROR(INDEX(Calendario!$A$4:$A$107,MATCH(A293,Calendario!$B$4:$B$107,1)),""))</f>
        <v/>
      </c>
      <c r="C293" s="17" t="str">
        <f aca="false">IF(A293="","",YEAR(A293)&amp;"-"&amp;TEXT(MONTH(A293),"00"))</f>
        <v/>
      </c>
      <c r="D293" s="26"/>
      <c r="E293" s="26"/>
      <c r="F293" s="26"/>
      <c r="G293" s="26"/>
      <c r="H293" s="27"/>
      <c r="I293" s="29"/>
      <c r="J293" s="26"/>
      <c r="K293" s="26"/>
      <c r="L293" s="27"/>
      <c r="M293" s="26"/>
      <c r="N293" s="26"/>
      <c r="O293" s="26"/>
    </row>
    <row r="294" customFormat="false" ht="15" hidden="false" customHeight="false" outlineLevel="0" collapsed="false">
      <c r="A294" s="32"/>
      <c r="B294" s="17" t="str">
        <f aca="false">IF(A294="","",IFERROR(INDEX(Calendario!$A$4:$A$107,MATCH(A294,Calendario!$B$4:$B$107,1)),""))</f>
        <v/>
      </c>
      <c r="C294" s="17" t="str">
        <f aca="false">IF(A294="","",YEAR(A294)&amp;"-"&amp;TEXT(MONTH(A294),"00"))</f>
        <v/>
      </c>
      <c r="D294" s="26"/>
      <c r="E294" s="26"/>
      <c r="F294" s="26"/>
      <c r="G294" s="26"/>
      <c r="H294" s="27"/>
      <c r="I294" s="29"/>
      <c r="J294" s="26"/>
      <c r="K294" s="26"/>
      <c r="L294" s="27"/>
      <c r="M294" s="26"/>
      <c r="N294" s="26"/>
      <c r="O294" s="26"/>
    </row>
    <row r="295" customFormat="false" ht="15" hidden="false" customHeight="false" outlineLevel="0" collapsed="false">
      <c r="A295" s="32"/>
      <c r="B295" s="17" t="str">
        <f aca="false">IF(A295="","",IFERROR(INDEX(Calendario!$A$4:$A$107,MATCH(A295,Calendario!$B$4:$B$107,1)),""))</f>
        <v/>
      </c>
      <c r="C295" s="17" t="str">
        <f aca="false">IF(A295="","",YEAR(A295)&amp;"-"&amp;TEXT(MONTH(A295),"00"))</f>
        <v/>
      </c>
      <c r="D295" s="26"/>
      <c r="E295" s="26"/>
      <c r="F295" s="26"/>
      <c r="G295" s="26"/>
      <c r="H295" s="27"/>
      <c r="I295" s="29"/>
      <c r="J295" s="26"/>
      <c r="K295" s="26"/>
      <c r="L295" s="27"/>
      <c r="M295" s="26"/>
      <c r="N295" s="26"/>
      <c r="O295" s="26"/>
    </row>
    <row r="296" customFormat="false" ht="15" hidden="false" customHeight="false" outlineLevel="0" collapsed="false">
      <c r="A296" s="32"/>
      <c r="B296" s="17" t="str">
        <f aca="false">IF(A296="","",IFERROR(INDEX(Calendario!$A$4:$A$107,MATCH(A296,Calendario!$B$4:$B$107,1)),""))</f>
        <v/>
      </c>
      <c r="C296" s="17" t="str">
        <f aca="false">IF(A296="","",YEAR(A296)&amp;"-"&amp;TEXT(MONTH(A296),"00"))</f>
        <v/>
      </c>
      <c r="D296" s="26"/>
      <c r="E296" s="26"/>
      <c r="F296" s="26"/>
      <c r="G296" s="26"/>
      <c r="H296" s="27"/>
      <c r="I296" s="29"/>
      <c r="J296" s="26"/>
      <c r="K296" s="26"/>
      <c r="L296" s="27"/>
      <c r="M296" s="26"/>
      <c r="N296" s="26"/>
      <c r="O296" s="26"/>
    </row>
    <row r="297" customFormat="false" ht="15" hidden="false" customHeight="false" outlineLevel="0" collapsed="false">
      <c r="A297" s="32"/>
      <c r="B297" s="17" t="str">
        <f aca="false">IF(A297="","",IFERROR(INDEX(Calendario!$A$4:$A$107,MATCH(A297,Calendario!$B$4:$B$107,1)),""))</f>
        <v/>
      </c>
      <c r="C297" s="17" t="str">
        <f aca="false">IF(A297="","",YEAR(A297)&amp;"-"&amp;TEXT(MONTH(A297),"00"))</f>
        <v/>
      </c>
      <c r="D297" s="26"/>
      <c r="E297" s="26"/>
      <c r="F297" s="26"/>
      <c r="G297" s="26"/>
      <c r="H297" s="27"/>
      <c r="I297" s="29"/>
      <c r="J297" s="26"/>
      <c r="K297" s="26"/>
      <c r="L297" s="27"/>
      <c r="M297" s="26"/>
      <c r="N297" s="26"/>
      <c r="O297" s="26"/>
    </row>
    <row r="298" customFormat="false" ht="15" hidden="false" customHeight="false" outlineLevel="0" collapsed="false">
      <c r="A298" s="32"/>
      <c r="B298" s="17" t="str">
        <f aca="false">IF(A298="","",IFERROR(INDEX(Calendario!$A$4:$A$107,MATCH(A298,Calendario!$B$4:$B$107,1)),""))</f>
        <v/>
      </c>
      <c r="C298" s="17" t="str">
        <f aca="false">IF(A298="","",YEAR(A298)&amp;"-"&amp;TEXT(MONTH(A298),"00"))</f>
        <v/>
      </c>
      <c r="D298" s="26"/>
      <c r="E298" s="26"/>
      <c r="F298" s="26"/>
      <c r="G298" s="26"/>
      <c r="H298" s="27"/>
      <c r="I298" s="29"/>
      <c r="J298" s="26"/>
      <c r="K298" s="26"/>
      <c r="L298" s="27"/>
      <c r="M298" s="26"/>
      <c r="N298" s="26"/>
      <c r="O298" s="26"/>
    </row>
    <row r="299" customFormat="false" ht="15" hidden="false" customHeight="false" outlineLevel="0" collapsed="false">
      <c r="A299" s="32"/>
      <c r="B299" s="17" t="str">
        <f aca="false">IF(A299="","",IFERROR(INDEX(Calendario!$A$4:$A$107,MATCH(A299,Calendario!$B$4:$B$107,1)),""))</f>
        <v/>
      </c>
      <c r="C299" s="17" t="str">
        <f aca="false">IF(A299="","",YEAR(A299)&amp;"-"&amp;TEXT(MONTH(A299),"00"))</f>
        <v/>
      </c>
      <c r="D299" s="26"/>
      <c r="E299" s="26"/>
      <c r="F299" s="26"/>
      <c r="G299" s="26"/>
      <c r="H299" s="27"/>
      <c r="I299" s="29"/>
      <c r="J299" s="26"/>
      <c r="K299" s="26"/>
      <c r="L299" s="27"/>
      <c r="M299" s="26"/>
      <c r="N299" s="26"/>
      <c r="O299" s="26"/>
    </row>
    <row r="300" customFormat="false" ht="15" hidden="false" customHeight="false" outlineLevel="0" collapsed="false">
      <c r="A300" s="32"/>
      <c r="B300" s="17" t="str">
        <f aca="false">IF(A300="","",IFERROR(INDEX(Calendario!$A$4:$A$107,MATCH(A300,Calendario!$B$4:$B$107,1)),""))</f>
        <v/>
      </c>
      <c r="C300" s="17" t="str">
        <f aca="false">IF(A300="","",YEAR(A300)&amp;"-"&amp;TEXT(MONTH(A300),"00"))</f>
        <v/>
      </c>
      <c r="D300" s="26"/>
      <c r="E300" s="26"/>
      <c r="F300" s="26"/>
      <c r="G300" s="26"/>
      <c r="H300" s="27"/>
      <c r="I300" s="29"/>
      <c r="J300" s="26"/>
      <c r="K300" s="26"/>
      <c r="L300" s="27"/>
      <c r="M300" s="26"/>
      <c r="N300" s="26"/>
      <c r="O300" s="26"/>
    </row>
    <row r="301" customFormat="false" ht="15" hidden="false" customHeight="false" outlineLevel="0" collapsed="false">
      <c r="A301" s="32"/>
      <c r="B301" s="17" t="str">
        <f aca="false">IF(A301="","",IFERROR(INDEX(Calendario!$A$4:$A$107,MATCH(A301,Calendario!$B$4:$B$107,1)),""))</f>
        <v/>
      </c>
      <c r="C301" s="17" t="str">
        <f aca="false">IF(A301="","",YEAR(A301)&amp;"-"&amp;TEXT(MONTH(A301),"00"))</f>
        <v/>
      </c>
      <c r="D301" s="26"/>
      <c r="E301" s="26"/>
      <c r="F301" s="26"/>
      <c r="G301" s="26"/>
      <c r="H301" s="27"/>
      <c r="I301" s="29"/>
      <c r="J301" s="26"/>
      <c r="K301" s="26"/>
      <c r="L301" s="27"/>
      <c r="M301" s="26"/>
      <c r="N301" s="26"/>
      <c r="O301" s="26"/>
    </row>
    <row r="302" customFormat="false" ht="15" hidden="false" customHeight="false" outlineLevel="0" collapsed="false">
      <c r="A302" s="32"/>
      <c r="B302" s="17" t="str">
        <f aca="false">IF(A302="","",IFERROR(INDEX(Calendario!$A$4:$A$107,MATCH(A302,Calendario!$B$4:$B$107,1)),""))</f>
        <v/>
      </c>
      <c r="C302" s="17" t="str">
        <f aca="false">IF(A302="","",YEAR(A302)&amp;"-"&amp;TEXT(MONTH(A302),"00"))</f>
        <v/>
      </c>
      <c r="D302" s="26"/>
      <c r="E302" s="26"/>
      <c r="F302" s="26"/>
      <c r="G302" s="26"/>
      <c r="H302" s="27"/>
      <c r="I302" s="29"/>
      <c r="J302" s="26"/>
      <c r="K302" s="26"/>
      <c r="L302" s="27"/>
      <c r="M302" s="26"/>
      <c r="N302" s="26"/>
      <c r="O302" s="26"/>
    </row>
    <row r="303" customFormat="false" ht="15" hidden="false" customHeight="false" outlineLevel="0" collapsed="false">
      <c r="A303" s="32"/>
      <c r="B303" s="17" t="str">
        <f aca="false">IF(A303="","",IFERROR(INDEX(Calendario!$A$4:$A$107,MATCH(A303,Calendario!$B$4:$B$107,1)),""))</f>
        <v/>
      </c>
      <c r="C303" s="17" t="str">
        <f aca="false">IF(A303="","",YEAR(A303)&amp;"-"&amp;TEXT(MONTH(A303),"00"))</f>
        <v/>
      </c>
      <c r="D303" s="26"/>
      <c r="E303" s="26"/>
      <c r="F303" s="26"/>
      <c r="G303" s="26"/>
      <c r="H303" s="27"/>
      <c r="I303" s="29"/>
      <c r="J303" s="26"/>
      <c r="K303" s="26"/>
      <c r="L303" s="27"/>
      <c r="M303" s="26"/>
      <c r="N303" s="26"/>
      <c r="O303" s="26"/>
    </row>
    <row r="304" customFormat="false" ht="15" hidden="false" customHeight="false" outlineLevel="0" collapsed="false">
      <c r="A304" s="32"/>
      <c r="B304" s="17" t="str">
        <f aca="false">IF(A304="","",IFERROR(INDEX(Calendario!$A$4:$A$107,MATCH(A304,Calendario!$B$4:$B$107,1)),""))</f>
        <v/>
      </c>
      <c r="C304" s="17" t="str">
        <f aca="false">IF(A304="","",YEAR(A304)&amp;"-"&amp;TEXT(MONTH(A304),"00"))</f>
        <v/>
      </c>
      <c r="D304" s="26"/>
      <c r="E304" s="26"/>
      <c r="F304" s="26"/>
      <c r="G304" s="26"/>
      <c r="H304" s="27"/>
      <c r="I304" s="29"/>
      <c r="J304" s="26"/>
      <c r="K304" s="26"/>
      <c r="L304" s="27"/>
      <c r="M304" s="26"/>
      <c r="N304" s="26"/>
      <c r="O304" s="26"/>
    </row>
    <row r="305" customFormat="false" ht="15" hidden="false" customHeight="false" outlineLevel="0" collapsed="false">
      <c r="A305" s="32"/>
      <c r="B305" s="17" t="str">
        <f aca="false">IF(A305="","",IFERROR(INDEX(Calendario!$A$4:$A$107,MATCH(A305,Calendario!$B$4:$B$107,1)),""))</f>
        <v/>
      </c>
      <c r="C305" s="17" t="str">
        <f aca="false">IF(A305="","",YEAR(A305)&amp;"-"&amp;TEXT(MONTH(A305),"00"))</f>
        <v/>
      </c>
      <c r="D305" s="26"/>
      <c r="E305" s="26"/>
      <c r="F305" s="26"/>
      <c r="G305" s="26"/>
      <c r="H305" s="27"/>
      <c r="I305" s="29"/>
      <c r="J305" s="26"/>
      <c r="K305" s="26"/>
      <c r="L305" s="27"/>
      <c r="M305" s="26"/>
      <c r="N305" s="26"/>
      <c r="O305" s="26"/>
    </row>
    <row r="306" customFormat="false" ht="15" hidden="false" customHeight="false" outlineLevel="0" collapsed="false">
      <c r="A306" s="32"/>
      <c r="B306" s="17" t="str">
        <f aca="false">IF(A306="","",IFERROR(INDEX(Calendario!$A$4:$A$107,MATCH(A306,Calendario!$B$4:$B$107,1)),""))</f>
        <v/>
      </c>
      <c r="C306" s="17" t="str">
        <f aca="false">IF(A306="","",YEAR(A306)&amp;"-"&amp;TEXT(MONTH(A306),"00"))</f>
        <v/>
      </c>
      <c r="D306" s="26"/>
      <c r="E306" s="26"/>
      <c r="F306" s="26"/>
      <c r="G306" s="26"/>
      <c r="H306" s="27"/>
      <c r="I306" s="29"/>
      <c r="J306" s="26"/>
      <c r="K306" s="26"/>
      <c r="L306" s="27"/>
      <c r="M306" s="26"/>
      <c r="N306" s="26"/>
      <c r="O306" s="26"/>
    </row>
    <row r="307" customFormat="false" ht="15" hidden="false" customHeight="false" outlineLevel="0" collapsed="false">
      <c r="A307" s="32"/>
      <c r="B307" s="17" t="str">
        <f aca="false">IF(A307="","",IFERROR(INDEX(Calendario!$A$4:$A$107,MATCH(A307,Calendario!$B$4:$B$107,1)),""))</f>
        <v/>
      </c>
      <c r="C307" s="17" t="str">
        <f aca="false">IF(A307="","",YEAR(A307)&amp;"-"&amp;TEXT(MONTH(A307),"00"))</f>
        <v/>
      </c>
      <c r="D307" s="26"/>
      <c r="E307" s="26"/>
      <c r="F307" s="26"/>
      <c r="G307" s="26"/>
      <c r="H307" s="27"/>
      <c r="I307" s="29"/>
      <c r="J307" s="26"/>
      <c r="K307" s="26"/>
      <c r="L307" s="27"/>
      <c r="M307" s="26"/>
      <c r="N307" s="26"/>
      <c r="O307" s="26"/>
    </row>
    <row r="308" customFormat="false" ht="15" hidden="false" customHeight="false" outlineLevel="0" collapsed="false">
      <c r="A308" s="32"/>
      <c r="B308" s="17" t="str">
        <f aca="false">IF(A308="","",IFERROR(INDEX(Calendario!$A$4:$A$107,MATCH(A308,Calendario!$B$4:$B$107,1)),""))</f>
        <v/>
      </c>
      <c r="C308" s="17" t="str">
        <f aca="false">IF(A308="","",YEAR(A308)&amp;"-"&amp;TEXT(MONTH(A308),"00"))</f>
        <v/>
      </c>
      <c r="D308" s="26"/>
      <c r="E308" s="26"/>
      <c r="F308" s="26"/>
      <c r="G308" s="26"/>
      <c r="H308" s="27"/>
      <c r="I308" s="29"/>
      <c r="J308" s="26"/>
      <c r="K308" s="26"/>
      <c r="L308" s="27"/>
      <c r="M308" s="26"/>
      <c r="N308" s="26"/>
      <c r="O308" s="26"/>
    </row>
    <row r="309" customFormat="false" ht="15" hidden="false" customHeight="false" outlineLevel="0" collapsed="false">
      <c r="A309" s="32"/>
      <c r="B309" s="17" t="str">
        <f aca="false">IF(A309="","",IFERROR(INDEX(Calendario!$A$4:$A$107,MATCH(A309,Calendario!$B$4:$B$107,1)),""))</f>
        <v/>
      </c>
      <c r="C309" s="17" t="str">
        <f aca="false">IF(A309="","",YEAR(A309)&amp;"-"&amp;TEXT(MONTH(A309),"00"))</f>
        <v/>
      </c>
      <c r="D309" s="26"/>
      <c r="E309" s="26"/>
      <c r="F309" s="26"/>
      <c r="G309" s="26"/>
      <c r="H309" s="27"/>
      <c r="I309" s="29"/>
      <c r="J309" s="26"/>
      <c r="K309" s="26"/>
      <c r="L309" s="27"/>
      <c r="M309" s="26"/>
      <c r="N309" s="26"/>
      <c r="O309" s="26"/>
    </row>
    <row r="310" customFormat="false" ht="15" hidden="false" customHeight="false" outlineLevel="0" collapsed="false">
      <c r="A310" s="32"/>
      <c r="B310" s="17" t="str">
        <f aca="false">IF(A310="","",IFERROR(INDEX(Calendario!$A$4:$A$107,MATCH(A310,Calendario!$B$4:$B$107,1)),""))</f>
        <v/>
      </c>
      <c r="C310" s="17" t="str">
        <f aca="false">IF(A310="","",YEAR(A310)&amp;"-"&amp;TEXT(MONTH(A310),"00"))</f>
        <v/>
      </c>
      <c r="D310" s="26"/>
      <c r="E310" s="26"/>
      <c r="F310" s="26"/>
      <c r="G310" s="26"/>
      <c r="H310" s="27"/>
      <c r="I310" s="29"/>
      <c r="J310" s="26"/>
      <c r="K310" s="26"/>
      <c r="L310" s="27"/>
      <c r="M310" s="26"/>
      <c r="N310" s="26"/>
      <c r="O310" s="26"/>
    </row>
    <row r="311" customFormat="false" ht="15" hidden="false" customHeight="false" outlineLevel="0" collapsed="false">
      <c r="A311" s="32"/>
      <c r="B311" s="17" t="str">
        <f aca="false">IF(A311="","",IFERROR(INDEX(Calendario!$A$4:$A$107,MATCH(A311,Calendario!$B$4:$B$107,1)),""))</f>
        <v/>
      </c>
      <c r="C311" s="17" t="str">
        <f aca="false">IF(A311="","",YEAR(A311)&amp;"-"&amp;TEXT(MONTH(A311),"00"))</f>
        <v/>
      </c>
      <c r="D311" s="26"/>
      <c r="E311" s="26"/>
      <c r="F311" s="26"/>
      <c r="G311" s="26"/>
      <c r="H311" s="27"/>
      <c r="I311" s="29"/>
      <c r="J311" s="26"/>
      <c r="K311" s="26"/>
      <c r="L311" s="27"/>
      <c r="M311" s="26"/>
      <c r="N311" s="26"/>
      <c r="O311" s="26"/>
    </row>
    <row r="312" customFormat="false" ht="15" hidden="false" customHeight="false" outlineLevel="0" collapsed="false">
      <c r="A312" s="32"/>
      <c r="B312" s="17" t="str">
        <f aca="false">IF(A312="","",IFERROR(INDEX(Calendario!$A$4:$A$107,MATCH(A312,Calendario!$B$4:$B$107,1)),""))</f>
        <v/>
      </c>
      <c r="C312" s="17" t="str">
        <f aca="false">IF(A312="","",YEAR(A312)&amp;"-"&amp;TEXT(MONTH(A312),"00"))</f>
        <v/>
      </c>
      <c r="D312" s="26"/>
      <c r="E312" s="26"/>
      <c r="F312" s="26"/>
      <c r="G312" s="26"/>
      <c r="H312" s="27"/>
      <c r="I312" s="29"/>
      <c r="J312" s="26"/>
      <c r="K312" s="26"/>
      <c r="L312" s="27"/>
      <c r="M312" s="26"/>
      <c r="N312" s="26"/>
      <c r="O312" s="26"/>
    </row>
    <row r="313" customFormat="false" ht="15" hidden="false" customHeight="false" outlineLevel="0" collapsed="false">
      <c r="A313" s="32"/>
      <c r="B313" s="17" t="str">
        <f aca="false">IF(A313="","",IFERROR(INDEX(Calendario!$A$4:$A$107,MATCH(A313,Calendario!$B$4:$B$107,1)),""))</f>
        <v/>
      </c>
      <c r="C313" s="17" t="str">
        <f aca="false">IF(A313="","",YEAR(A313)&amp;"-"&amp;TEXT(MONTH(A313),"00"))</f>
        <v/>
      </c>
      <c r="D313" s="26"/>
      <c r="E313" s="26"/>
      <c r="F313" s="26"/>
      <c r="G313" s="26"/>
      <c r="H313" s="27"/>
      <c r="I313" s="29"/>
      <c r="J313" s="26"/>
      <c r="K313" s="26"/>
      <c r="L313" s="27"/>
      <c r="M313" s="26"/>
      <c r="N313" s="26"/>
      <c r="O313" s="26"/>
    </row>
    <row r="314" customFormat="false" ht="15" hidden="false" customHeight="false" outlineLevel="0" collapsed="false">
      <c r="A314" s="32"/>
      <c r="B314" s="17" t="str">
        <f aca="false">IF(A314="","",IFERROR(INDEX(Calendario!$A$4:$A$107,MATCH(A314,Calendario!$B$4:$B$107,1)),""))</f>
        <v/>
      </c>
      <c r="C314" s="17" t="str">
        <f aca="false">IF(A314="","",YEAR(A314)&amp;"-"&amp;TEXT(MONTH(A314),"00"))</f>
        <v/>
      </c>
      <c r="D314" s="26"/>
      <c r="E314" s="26"/>
      <c r="F314" s="26"/>
      <c r="G314" s="26"/>
      <c r="H314" s="27"/>
      <c r="I314" s="29"/>
      <c r="J314" s="26"/>
      <c r="K314" s="26"/>
      <c r="L314" s="27"/>
      <c r="M314" s="26"/>
      <c r="N314" s="26"/>
      <c r="O314" s="26"/>
    </row>
    <row r="315" customFormat="false" ht="15" hidden="false" customHeight="false" outlineLevel="0" collapsed="false">
      <c r="A315" s="32"/>
      <c r="B315" s="17" t="str">
        <f aca="false">IF(A315="","",IFERROR(INDEX(Calendario!$A$4:$A$107,MATCH(A315,Calendario!$B$4:$B$107,1)),""))</f>
        <v/>
      </c>
      <c r="C315" s="17" t="str">
        <f aca="false">IF(A315="","",YEAR(A315)&amp;"-"&amp;TEXT(MONTH(A315),"00"))</f>
        <v/>
      </c>
      <c r="D315" s="26"/>
      <c r="E315" s="26"/>
      <c r="F315" s="26"/>
      <c r="G315" s="26"/>
      <c r="H315" s="27"/>
      <c r="I315" s="29"/>
      <c r="J315" s="26"/>
      <c r="K315" s="26"/>
      <c r="L315" s="27"/>
      <c r="M315" s="26"/>
      <c r="N315" s="26"/>
      <c r="O315" s="26"/>
    </row>
    <row r="316" customFormat="false" ht="15" hidden="false" customHeight="false" outlineLevel="0" collapsed="false">
      <c r="A316" s="32"/>
      <c r="B316" s="17" t="str">
        <f aca="false">IF(A316="","",IFERROR(INDEX(Calendario!$A$4:$A$107,MATCH(A316,Calendario!$B$4:$B$107,1)),""))</f>
        <v/>
      </c>
      <c r="C316" s="17" t="str">
        <f aca="false">IF(A316="","",YEAR(A316)&amp;"-"&amp;TEXT(MONTH(A316),"00"))</f>
        <v/>
      </c>
      <c r="D316" s="26"/>
      <c r="E316" s="26"/>
      <c r="F316" s="26"/>
      <c r="G316" s="26"/>
      <c r="H316" s="27"/>
      <c r="I316" s="29"/>
      <c r="J316" s="26"/>
      <c r="K316" s="26"/>
      <c r="L316" s="27"/>
      <c r="M316" s="26"/>
      <c r="N316" s="26"/>
      <c r="O316" s="26"/>
    </row>
    <row r="317" customFormat="false" ht="15" hidden="false" customHeight="false" outlineLevel="0" collapsed="false">
      <c r="A317" s="32"/>
      <c r="B317" s="17" t="str">
        <f aca="false">IF(A317="","",IFERROR(INDEX(Calendario!$A$4:$A$107,MATCH(A317,Calendario!$B$4:$B$107,1)),""))</f>
        <v/>
      </c>
      <c r="C317" s="17" t="str">
        <f aca="false">IF(A317="","",YEAR(A317)&amp;"-"&amp;TEXT(MONTH(A317),"00"))</f>
        <v/>
      </c>
      <c r="D317" s="26"/>
      <c r="E317" s="26"/>
      <c r="F317" s="26"/>
      <c r="G317" s="26"/>
      <c r="H317" s="27"/>
      <c r="I317" s="29"/>
      <c r="J317" s="26"/>
      <c r="K317" s="26"/>
      <c r="L317" s="27"/>
      <c r="M317" s="26"/>
      <c r="N317" s="26"/>
      <c r="O317" s="26"/>
    </row>
    <row r="318" customFormat="false" ht="15" hidden="false" customHeight="false" outlineLevel="0" collapsed="false">
      <c r="A318" s="32"/>
      <c r="B318" s="17" t="str">
        <f aca="false">IF(A318="","",IFERROR(INDEX(Calendario!$A$4:$A$107,MATCH(A318,Calendario!$B$4:$B$107,1)),""))</f>
        <v/>
      </c>
      <c r="C318" s="17" t="str">
        <f aca="false">IF(A318="","",YEAR(A318)&amp;"-"&amp;TEXT(MONTH(A318),"00"))</f>
        <v/>
      </c>
      <c r="D318" s="26"/>
      <c r="E318" s="26"/>
      <c r="F318" s="26"/>
      <c r="G318" s="26"/>
      <c r="H318" s="27"/>
      <c r="I318" s="29"/>
      <c r="J318" s="26"/>
      <c r="K318" s="26"/>
      <c r="L318" s="27"/>
      <c r="M318" s="26"/>
      <c r="N318" s="26"/>
      <c r="O318" s="26"/>
    </row>
    <row r="319" customFormat="false" ht="15" hidden="false" customHeight="false" outlineLevel="0" collapsed="false">
      <c r="A319" s="32"/>
      <c r="B319" s="17" t="str">
        <f aca="false">IF(A319="","",IFERROR(INDEX(Calendario!$A$4:$A$107,MATCH(A319,Calendario!$B$4:$B$107,1)),""))</f>
        <v/>
      </c>
      <c r="C319" s="17" t="str">
        <f aca="false">IF(A319="","",YEAR(A319)&amp;"-"&amp;TEXT(MONTH(A319),"00"))</f>
        <v/>
      </c>
      <c r="D319" s="26"/>
      <c r="E319" s="26"/>
      <c r="F319" s="26"/>
      <c r="G319" s="26"/>
      <c r="H319" s="27"/>
      <c r="I319" s="29"/>
      <c r="J319" s="26"/>
      <c r="K319" s="26"/>
      <c r="L319" s="27"/>
      <c r="M319" s="26"/>
      <c r="N319" s="26"/>
      <c r="O319" s="26"/>
    </row>
    <row r="320" customFormat="false" ht="15" hidden="false" customHeight="false" outlineLevel="0" collapsed="false">
      <c r="A320" s="32"/>
      <c r="B320" s="17" t="str">
        <f aca="false">IF(A320="","",IFERROR(INDEX(Calendario!$A$4:$A$107,MATCH(A320,Calendario!$B$4:$B$107,1)),""))</f>
        <v/>
      </c>
      <c r="C320" s="17" t="str">
        <f aca="false">IF(A320="","",YEAR(A320)&amp;"-"&amp;TEXT(MONTH(A320),"00"))</f>
        <v/>
      </c>
      <c r="D320" s="26"/>
      <c r="E320" s="26"/>
      <c r="F320" s="26"/>
      <c r="G320" s="26"/>
      <c r="H320" s="27"/>
      <c r="I320" s="29"/>
      <c r="J320" s="26"/>
      <c r="K320" s="26"/>
      <c r="L320" s="27"/>
      <c r="M320" s="26"/>
      <c r="N320" s="26"/>
      <c r="O320" s="26"/>
    </row>
    <row r="321" customFormat="false" ht="15" hidden="false" customHeight="false" outlineLevel="0" collapsed="false">
      <c r="A321" s="32"/>
      <c r="B321" s="17" t="str">
        <f aca="false">IF(A321="","",IFERROR(INDEX(Calendario!$A$4:$A$107,MATCH(A321,Calendario!$B$4:$B$107,1)),""))</f>
        <v/>
      </c>
      <c r="C321" s="17" t="str">
        <f aca="false">IF(A321="","",YEAR(A321)&amp;"-"&amp;TEXT(MONTH(A321),"00"))</f>
        <v/>
      </c>
      <c r="D321" s="26"/>
      <c r="E321" s="26"/>
      <c r="F321" s="26"/>
      <c r="G321" s="26"/>
      <c r="H321" s="27"/>
      <c r="I321" s="29"/>
      <c r="J321" s="26"/>
      <c r="K321" s="26"/>
      <c r="L321" s="27"/>
      <c r="M321" s="26"/>
      <c r="N321" s="26"/>
      <c r="O321" s="26"/>
    </row>
    <row r="322" customFormat="false" ht="15" hidden="false" customHeight="false" outlineLevel="0" collapsed="false">
      <c r="A322" s="32"/>
      <c r="B322" s="17" t="str">
        <f aca="false">IF(A322="","",IFERROR(INDEX(Calendario!$A$4:$A$107,MATCH(A322,Calendario!$B$4:$B$107,1)),""))</f>
        <v/>
      </c>
      <c r="C322" s="17" t="str">
        <f aca="false">IF(A322="","",YEAR(A322)&amp;"-"&amp;TEXT(MONTH(A322),"00"))</f>
        <v/>
      </c>
      <c r="D322" s="26"/>
      <c r="E322" s="26"/>
      <c r="F322" s="26"/>
      <c r="G322" s="26"/>
      <c r="H322" s="27"/>
      <c r="I322" s="29"/>
      <c r="J322" s="26"/>
      <c r="K322" s="26"/>
      <c r="L322" s="27"/>
      <c r="M322" s="26"/>
      <c r="N322" s="26"/>
      <c r="O322" s="26"/>
    </row>
    <row r="323" customFormat="false" ht="15" hidden="false" customHeight="false" outlineLevel="0" collapsed="false">
      <c r="A323" s="32"/>
      <c r="B323" s="17" t="str">
        <f aca="false">IF(A323="","",IFERROR(INDEX(Calendario!$A$4:$A$107,MATCH(A323,Calendario!$B$4:$B$107,1)),""))</f>
        <v/>
      </c>
      <c r="C323" s="17" t="str">
        <f aca="false">IF(A323="","",YEAR(A323)&amp;"-"&amp;TEXT(MONTH(A323),"00"))</f>
        <v/>
      </c>
      <c r="D323" s="26"/>
      <c r="E323" s="26"/>
      <c r="F323" s="26"/>
      <c r="G323" s="26"/>
      <c r="H323" s="27"/>
      <c r="I323" s="29"/>
      <c r="J323" s="26"/>
      <c r="K323" s="26"/>
      <c r="L323" s="27"/>
      <c r="M323" s="26"/>
      <c r="N323" s="26"/>
      <c r="O323" s="26"/>
    </row>
    <row r="324" customFormat="false" ht="15" hidden="false" customHeight="false" outlineLevel="0" collapsed="false">
      <c r="A324" s="32"/>
      <c r="B324" s="17" t="str">
        <f aca="false">IF(A324="","",IFERROR(INDEX(Calendario!$A$4:$A$107,MATCH(A324,Calendario!$B$4:$B$107,1)),""))</f>
        <v/>
      </c>
      <c r="C324" s="17" t="str">
        <f aca="false">IF(A324="","",YEAR(A324)&amp;"-"&amp;TEXT(MONTH(A324),"00"))</f>
        <v/>
      </c>
      <c r="D324" s="26"/>
      <c r="E324" s="26"/>
      <c r="F324" s="26"/>
      <c r="G324" s="26"/>
      <c r="H324" s="27"/>
      <c r="I324" s="29"/>
      <c r="J324" s="26"/>
      <c r="K324" s="26"/>
      <c r="L324" s="27"/>
      <c r="M324" s="26"/>
      <c r="N324" s="26"/>
      <c r="O324" s="26"/>
    </row>
    <row r="325" customFormat="false" ht="15" hidden="false" customHeight="false" outlineLevel="0" collapsed="false">
      <c r="A325" s="32"/>
      <c r="B325" s="17" t="str">
        <f aca="false">IF(A325="","",IFERROR(INDEX(Calendario!$A$4:$A$107,MATCH(A325,Calendario!$B$4:$B$107,1)),""))</f>
        <v/>
      </c>
      <c r="C325" s="17" t="str">
        <f aca="false">IF(A325="","",YEAR(A325)&amp;"-"&amp;TEXT(MONTH(A325),"00"))</f>
        <v/>
      </c>
      <c r="D325" s="26"/>
      <c r="E325" s="26"/>
      <c r="F325" s="26"/>
      <c r="G325" s="26"/>
      <c r="H325" s="27"/>
      <c r="I325" s="29"/>
      <c r="J325" s="26"/>
      <c r="K325" s="26"/>
      <c r="L325" s="27"/>
      <c r="M325" s="26"/>
      <c r="N325" s="26"/>
      <c r="O325" s="26"/>
    </row>
    <row r="326" customFormat="false" ht="15" hidden="false" customHeight="false" outlineLevel="0" collapsed="false">
      <c r="A326" s="32"/>
      <c r="B326" s="17" t="str">
        <f aca="false">IF(A326="","",IFERROR(INDEX(Calendario!$A$4:$A$107,MATCH(A326,Calendario!$B$4:$B$107,1)),""))</f>
        <v/>
      </c>
      <c r="C326" s="17" t="str">
        <f aca="false">IF(A326="","",YEAR(A326)&amp;"-"&amp;TEXT(MONTH(A326),"00"))</f>
        <v/>
      </c>
      <c r="D326" s="26"/>
      <c r="E326" s="26"/>
      <c r="F326" s="26"/>
      <c r="G326" s="26"/>
      <c r="H326" s="27"/>
      <c r="I326" s="29"/>
      <c r="J326" s="26"/>
      <c r="K326" s="26"/>
      <c r="L326" s="27"/>
      <c r="M326" s="26"/>
      <c r="N326" s="26"/>
      <c r="O326" s="26"/>
    </row>
    <row r="327" customFormat="false" ht="15" hidden="false" customHeight="false" outlineLevel="0" collapsed="false">
      <c r="A327" s="32"/>
      <c r="B327" s="17" t="str">
        <f aca="false">IF(A327="","",IFERROR(INDEX(Calendario!$A$4:$A$107,MATCH(A327,Calendario!$B$4:$B$107,1)),""))</f>
        <v/>
      </c>
      <c r="C327" s="17" t="str">
        <f aca="false">IF(A327="","",YEAR(A327)&amp;"-"&amp;TEXT(MONTH(A327),"00"))</f>
        <v/>
      </c>
      <c r="D327" s="26"/>
      <c r="E327" s="26"/>
      <c r="F327" s="26"/>
      <c r="G327" s="26"/>
      <c r="H327" s="27"/>
      <c r="I327" s="29"/>
      <c r="J327" s="26"/>
      <c r="K327" s="26"/>
      <c r="L327" s="27"/>
      <c r="M327" s="26"/>
      <c r="N327" s="26"/>
      <c r="O327" s="26"/>
    </row>
    <row r="328" customFormat="false" ht="15" hidden="false" customHeight="false" outlineLevel="0" collapsed="false">
      <c r="A328" s="32"/>
      <c r="B328" s="17" t="str">
        <f aca="false">IF(A328="","",IFERROR(INDEX(Calendario!$A$4:$A$107,MATCH(A328,Calendario!$B$4:$B$107,1)),""))</f>
        <v/>
      </c>
      <c r="C328" s="17" t="str">
        <f aca="false">IF(A328="","",YEAR(A328)&amp;"-"&amp;TEXT(MONTH(A328),"00"))</f>
        <v/>
      </c>
      <c r="D328" s="26"/>
      <c r="E328" s="26"/>
      <c r="F328" s="26"/>
      <c r="G328" s="26"/>
      <c r="H328" s="27"/>
      <c r="I328" s="29"/>
      <c r="J328" s="26"/>
      <c r="K328" s="26"/>
      <c r="L328" s="27"/>
      <c r="M328" s="26"/>
      <c r="N328" s="26"/>
      <c r="O328" s="26"/>
    </row>
    <row r="329" customFormat="false" ht="15" hidden="false" customHeight="false" outlineLevel="0" collapsed="false">
      <c r="A329" s="32"/>
      <c r="B329" s="17" t="str">
        <f aca="false">IF(A329="","",IFERROR(INDEX(Calendario!$A$4:$A$107,MATCH(A329,Calendario!$B$4:$B$107,1)),""))</f>
        <v/>
      </c>
      <c r="C329" s="17" t="str">
        <f aca="false">IF(A329="","",YEAR(A329)&amp;"-"&amp;TEXT(MONTH(A329),"00"))</f>
        <v/>
      </c>
      <c r="D329" s="26"/>
      <c r="E329" s="26"/>
      <c r="F329" s="26"/>
      <c r="G329" s="26"/>
      <c r="H329" s="27"/>
      <c r="I329" s="29"/>
      <c r="J329" s="26"/>
      <c r="K329" s="26"/>
      <c r="L329" s="27"/>
      <c r="M329" s="26"/>
      <c r="N329" s="26"/>
      <c r="O329" s="26"/>
    </row>
    <row r="330" customFormat="false" ht="15" hidden="false" customHeight="false" outlineLevel="0" collapsed="false">
      <c r="A330" s="32"/>
      <c r="B330" s="17" t="str">
        <f aca="false">IF(A330="","",IFERROR(INDEX(Calendario!$A$4:$A$107,MATCH(A330,Calendario!$B$4:$B$107,1)),""))</f>
        <v/>
      </c>
      <c r="C330" s="17" t="str">
        <f aca="false">IF(A330="","",YEAR(A330)&amp;"-"&amp;TEXT(MONTH(A330),"00"))</f>
        <v/>
      </c>
      <c r="D330" s="26"/>
      <c r="E330" s="26"/>
      <c r="F330" s="26"/>
      <c r="G330" s="26"/>
      <c r="H330" s="27"/>
      <c r="I330" s="29"/>
      <c r="J330" s="26"/>
      <c r="K330" s="26"/>
      <c r="L330" s="27"/>
      <c r="M330" s="26"/>
      <c r="N330" s="26"/>
      <c r="O330" s="26"/>
    </row>
    <row r="331" customFormat="false" ht="15" hidden="false" customHeight="false" outlineLevel="0" collapsed="false">
      <c r="A331" s="32"/>
      <c r="B331" s="17" t="str">
        <f aca="false">IF(A331="","",IFERROR(INDEX(Calendario!$A$4:$A$107,MATCH(A331,Calendario!$B$4:$B$107,1)),""))</f>
        <v/>
      </c>
      <c r="C331" s="17" t="str">
        <f aca="false">IF(A331="","",YEAR(A331)&amp;"-"&amp;TEXT(MONTH(A331),"00"))</f>
        <v/>
      </c>
      <c r="D331" s="26"/>
      <c r="E331" s="26"/>
      <c r="F331" s="26"/>
      <c r="G331" s="26"/>
      <c r="H331" s="27"/>
      <c r="I331" s="29"/>
      <c r="J331" s="26"/>
      <c r="K331" s="26"/>
      <c r="L331" s="27"/>
      <c r="M331" s="26"/>
      <c r="N331" s="26"/>
      <c r="O331" s="26"/>
    </row>
    <row r="332" customFormat="false" ht="15" hidden="false" customHeight="false" outlineLevel="0" collapsed="false">
      <c r="A332" s="32"/>
      <c r="B332" s="17" t="str">
        <f aca="false">IF(A332="","",IFERROR(INDEX(Calendario!$A$4:$A$107,MATCH(A332,Calendario!$B$4:$B$107,1)),""))</f>
        <v/>
      </c>
      <c r="C332" s="17" t="str">
        <f aca="false">IF(A332="","",YEAR(A332)&amp;"-"&amp;TEXT(MONTH(A332),"00"))</f>
        <v/>
      </c>
      <c r="D332" s="26"/>
      <c r="E332" s="26"/>
      <c r="F332" s="26"/>
      <c r="G332" s="26"/>
      <c r="H332" s="27"/>
      <c r="I332" s="29"/>
      <c r="J332" s="26"/>
      <c r="K332" s="26"/>
      <c r="L332" s="27"/>
      <c r="M332" s="26"/>
      <c r="N332" s="26"/>
      <c r="O332" s="26"/>
    </row>
    <row r="333" customFormat="false" ht="15" hidden="false" customHeight="false" outlineLevel="0" collapsed="false">
      <c r="A333" s="32"/>
      <c r="B333" s="17" t="str">
        <f aca="false">IF(A333="","",IFERROR(INDEX(Calendario!$A$4:$A$107,MATCH(A333,Calendario!$B$4:$B$107,1)),""))</f>
        <v/>
      </c>
      <c r="C333" s="17" t="str">
        <f aca="false">IF(A333="","",YEAR(A333)&amp;"-"&amp;TEXT(MONTH(A333),"00"))</f>
        <v/>
      </c>
      <c r="D333" s="26"/>
      <c r="E333" s="26"/>
      <c r="F333" s="26"/>
      <c r="G333" s="26"/>
      <c r="H333" s="27"/>
      <c r="I333" s="29"/>
      <c r="J333" s="26"/>
      <c r="K333" s="26"/>
      <c r="L333" s="27"/>
      <c r="M333" s="26"/>
      <c r="N333" s="26"/>
      <c r="O333" s="26"/>
    </row>
    <row r="334" customFormat="false" ht="15" hidden="false" customHeight="false" outlineLevel="0" collapsed="false">
      <c r="A334" s="32"/>
      <c r="B334" s="17" t="str">
        <f aca="false">IF(A334="","",IFERROR(INDEX(Calendario!$A$4:$A$107,MATCH(A334,Calendario!$B$4:$B$107,1)),""))</f>
        <v/>
      </c>
      <c r="C334" s="17" t="str">
        <f aca="false">IF(A334="","",YEAR(A334)&amp;"-"&amp;TEXT(MONTH(A334),"00"))</f>
        <v/>
      </c>
      <c r="D334" s="26"/>
      <c r="E334" s="26"/>
      <c r="F334" s="26"/>
      <c r="G334" s="26"/>
      <c r="H334" s="27"/>
      <c r="I334" s="29"/>
      <c r="J334" s="26"/>
      <c r="K334" s="26"/>
      <c r="L334" s="27"/>
      <c r="M334" s="26"/>
      <c r="N334" s="26"/>
      <c r="O334" s="26"/>
    </row>
    <row r="335" customFormat="false" ht="15" hidden="false" customHeight="false" outlineLevel="0" collapsed="false">
      <c r="A335" s="32"/>
      <c r="B335" s="17" t="str">
        <f aca="false">IF(A335="","",IFERROR(INDEX(Calendario!$A$4:$A$107,MATCH(A335,Calendario!$B$4:$B$107,1)),""))</f>
        <v/>
      </c>
      <c r="C335" s="17" t="str">
        <f aca="false">IF(A335="","",YEAR(A335)&amp;"-"&amp;TEXT(MONTH(A335),"00"))</f>
        <v/>
      </c>
      <c r="D335" s="26"/>
      <c r="E335" s="26"/>
      <c r="F335" s="26"/>
      <c r="G335" s="26"/>
      <c r="H335" s="27"/>
      <c r="I335" s="29"/>
      <c r="J335" s="26"/>
      <c r="K335" s="26"/>
      <c r="L335" s="27"/>
      <c r="M335" s="26"/>
      <c r="N335" s="26"/>
      <c r="O335" s="26"/>
    </row>
    <row r="336" customFormat="false" ht="15" hidden="false" customHeight="false" outlineLevel="0" collapsed="false">
      <c r="A336" s="32"/>
      <c r="B336" s="17" t="str">
        <f aca="false">IF(A336="","",IFERROR(INDEX(Calendario!$A$4:$A$107,MATCH(A336,Calendario!$B$4:$B$107,1)),""))</f>
        <v/>
      </c>
      <c r="C336" s="17" t="str">
        <f aca="false">IF(A336="","",YEAR(A336)&amp;"-"&amp;TEXT(MONTH(A336),"00"))</f>
        <v/>
      </c>
      <c r="D336" s="26"/>
      <c r="E336" s="26"/>
      <c r="F336" s="26"/>
      <c r="G336" s="26"/>
      <c r="H336" s="27"/>
      <c r="I336" s="29"/>
      <c r="J336" s="26"/>
      <c r="K336" s="26"/>
      <c r="L336" s="27"/>
      <c r="M336" s="26"/>
      <c r="N336" s="26"/>
      <c r="O336" s="26"/>
    </row>
    <row r="337" customFormat="false" ht="15" hidden="false" customHeight="false" outlineLevel="0" collapsed="false">
      <c r="A337" s="32"/>
      <c r="B337" s="17" t="str">
        <f aca="false">IF(A337="","",IFERROR(INDEX(Calendario!$A$4:$A$107,MATCH(A337,Calendario!$B$4:$B$107,1)),""))</f>
        <v/>
      </c>
      <c r="C337" s="17" t="str">
        <f aca="false">IF(A337="","",YEAR(A337)&amp;"-"&amp;TEXT(MONTH(A337),"00"))</f>
        <v/>
      </c>
      <c r="D337" s="26"/>
      <c r="E337" s="26"/>
      <c r="F337" s="26"/>
      <c r="G337" s="26"/>
      <c r="H337" s="27"/>
      <c r="I337" s="29"/>
      <c r="J337" s="26"/>
      <c r="K337" s="26"/>
      <c r="L337" s="27"/>
      <c r="M337" s="26"/>
      <c r="N337" s="26"/>
      <c r="O337" s="26"/>
    </row>
    <row r="338" customFormat="false" ht="15" hidden="false" customHeight="false" outlineLevel="0" collapsed="false">
      <c r="A338" s="32"/>
      <c r="B338" s="17" t="str">
        <f aca="false">IF(A338="","",IFERROR(INDEX(Calendario!$A$4:$A$107,MATCH(A338,Calendario!$B$4:$B$107,1)),""))</f>
        <v/>
      </c>
      <c r="C338" s="17" t="str">
        <f aca="false">IF(A338="","",YEAR(A338)&amp;"-"&amp;TEXT(MONTH(A338),"00"))</f>
        <v/>
      </c>
      <c r="D338" s="26"/>
      <c r="E338" s="26"/>
      <c r="F338" s="26"/>
      <c r="G338" s="26"/>
      <c r="H338" s="27"/>
      <c r="I338" s="29"/>
      <c r="J338" s="26"/>
      <c r="K338" s="26"/>
      <c r="L338" s="27"/>
      <c r="M338" s="26"/>
      <c r="N338" s="26"/>
      <c r="O338" s="26"/>
    </row>
    <row r="339" customFormat="false" ht="15" hidden="false" customHeight="false" outlineLevel="0" collapsed="false">
      <c r="A339" s="32"/>
      <c r="B339" s="17" t="str">
        <f aca="false">IF(A339="","",IFERROR(INDEX(Calendario!$A$4:$A$107,MATCH(A339,Calendario!$B$4:$B$107,1)),""))</f>
        <v/>
      </c>
      <c r="C339" s="17" t="str">
        <f aca="false">IF(A339="","",YEAR(A339)&amp;"-"&amp;TEXT(MONTH(A339),"00"))</f>
        <v/>
      </c>
      <c r="D339" s="26"/>
      <c r="E339" s="26"/>
      <c r="F339" s="26"/>
      <c r="G339" s="26"/>
      <c r="H339" s="27"/>
      <c r="I339" s="29"/>
      <c r="J339" s="26"/>
      <c r="K339" s="26"/>
      <c r="L339" s="27"/>
      <c r="M339" s="26"/>
      <c r="N339" s="26"/>
      <c r="O339" s="26"/>
    </row>
    <row r="340" customFormat="false" ht="15" hidden="false" customHeight="false" outlineLevel="0" collapsed="false">
      <c r="A340" s="32"/>
      <c r="B340" s="17" t="str">
        <f aca="false">IF(A340="","",IFERROR(INDEX(Calendario!$A$4:$A$107,MATCH(A340,Calendario!$B$4:$B$107,1)),""))</f>
        <v/>
      </c>
      <c r="C340" s="17" t="str">
        <f aca="false">IF(A340="","",YEAR(A340)&amp;"-"&amp;TEXT(MONTH(A340),"00"))</f>
        <v/>
      </c>
      <c r="D340" s="26"/>
      <c r="E340" s="26"/>
      <c r="F340" s="26"/>
      <c r="G340" s="26"/>
      <c r="H340" s="27"/>
      <c r="I340" s="29"/>
      <c r="J340" s="26"/>
      <c r="K340" s="26"/>
      <c r="L340" s="27"/>
      <c r="M340" s="26"/>
      <c r="N340" s="26"/>
      <c r="O340" s="26"/>
    </row>
    <row r="341" customFormat="false" ht="15" hidden="false" customHeight="false" outlineLevel="0" collapsed="false">
      <c r="A341" s="32"/>
      <c r="B341" s="17" t="str">
        <f aca="false">IF(A341="","",IFERROR(INDEX(Calendario!$A$4:$A$107,MATCH(A341,Calendario!$B$4:$B$107,1)),""))</f>
        <v/>
      </c>
      <c r="C341" s="17" t="str">
        <f aca="false">IF(A341="","",YEAR(A341)&amp;"-"&amp;TEXT(MONTH(A341),"00"))</f>
        <v/>
      </c>
      <c r="D341" s="26"/>
      <c r="E341" s="26"/>
      <c r="F341" s="26"/>
      <c r="G341" s="26"/>
      <c r="H341" s="27"/>
      <c r="I341" s="29"/>
      <c r="J341" s="26"/>
      <c r="K341" s="26"/>
      <c r="L341" s="27"/>
      <c r="M341" s="26"/>
      <c r="N341" s="26"/>
      <c r="O341" s="26"/>
    </row>
    <row r="342" customFormat="false" ht="15" hidden="false" customHeight="false" outlineLevel="0" collapsed="false">
      <c r="A342" s="32"/>
      <c r="B342" s="17" t="str">
        <f aca="false">IF(A342="","",IFERROR(INDEX(Calendario!$A$4:$A$107,MATCH(A342,Calendario!$B$4:$B$107,1)),""))</f>
        <v/>
      </c>
      <c r="C342" s="17" t="str">
        <f aca="false">IF(A342="","",YEAR(A342)&amp;"-"&amp;TEXT(MONTH(A342),"00"))</f>
        <v/>
      </c>
      <c r="D342" s="26"/>
      <c r="E342" s="26"/>
      <c r="F342" s="26"/>
      <c r="G342" s="26"/>
      <c r="H342" s="27"/>
      <c r="I342" s="29"/>
      <c r="J342" s="26"/>
      <c r="K342" s="26"/>
      <c r="L342" s="27"/>
      <c r="M342" s="26"/>
      <c r="N342" s="26"/>
      <c r="O342" s="26"/>
    </row>
    <row r="343" customFormat="false" ht="15" hidden="false" customHeight="false" outlineLevel="0" collapsed="false">
      <c r="A343" s="32"/>
      <c r="B343" s="17" t="str">
        <f aca="false">IF(A343="","",IFERROR(INDEX(Calendario!$A$4:$A$107,MATCH(A343,Calendario!$B$4:$B$107,1)),""))</f>
        <v/>
      </c>
      <c r="C343" s="17" t="str">
        <f aca="false">IF(A343="","",YEAR(A343)&amp;"-"&amp;TEXT(MONTH(A343),"00"))</f>
        <v/>
      </c>
      <c r="D343" s="26"/>
      <c r="E343" s="26"/>
      <c r="F343" s="26"/>
      <c r="G343" s="26"/>
      <c r="H343" s="27"/>
      <c r="I343" s="29"/>
      <c r="J343" s="26"/>
      <c r="K343" s="26"/>
      <c r="L343" s="27"/>
      <c r="M343" s="26"/>
      <c r="N343" s="26"/>
      <c r="O343" s="26"/>
    </row>
    <row r="344" customFormat="false" ht="15" hidden="false" customHeight="false" outlineLevel="0" collapsed="false">
      <c r="A344" s="32"/>
      <c r="B344" s="17" t="str">
        <f aca="false">IF(A344="","",IFERROR(INDEX(Calendario!$A$4:$A$107,MATCH(A344,Calendario!$B$4:$B$107,1)),""))</f>
        <v/>
      </c>
      <c r="C344" s="17" t="str">
        <f aca="false">IF(A344="","",YEAR(A344)&amp;"-"&amp;TEXT(MONTH(A344),"00"))</f>
        <v/>
      </c>
      <c r="D344" s="26"/>
      <c r="E344" s="26"/>
      <c r="F344" s="26"/>
      <c r="G344" s="26"/>
      <c r="H344" s="27"/>
      <c r="I344" s="29"/>
      <c r="J344" s="26"/>
      <c r="K344" s="26"/>
      <c r="L344" s="27"/>
      <c r="M344" s="26"/>
      <c r="N344" s="26"/>
      <c r="O344" s="26"/>
    </row>
    <row r="345" customFormat="false" ht="15" hidden="false" customHeight="false" outlineLevel="0" collapsed="false">
      <c r="A345" s="32"/>
      <c r="B345" s="17" t="str">
        <f aca="false">IF(A345="","",IFERROR(INDEX(Calendario!$A$4:$A$107,MATCH(A345,Calendario!$B$4:$B$107,1)),""))</f>
        <v/>
      </c>
      <c r="C345" s="17" t="str">
        <f aca="false">IF(A345="","",YEAR(A345)&amp;"-"&amp;TEXT(MONTH(A345),"00"))</f>
        <v/>
      </c>
      <c r="D345" s="26"/>
      <c r="E345" s="26"/>
      <c r="F345" s="26"/>
      <c r="G345" s="26"/>
      <c r="H345" s="27"/>
      <c r="I345" s="29"/>
      <c r="J345" s="26"/>
      <c r="K345" s="26"/>
      <c r="L345" s="27"/>
      <c r="M345" s="26"/>
      <c r="N345" s="26"/>
      <c r="O345" s="26"/>
    </row>
    <row r="346" customFormat="false" ht="15" hidden="false" customHeight="false" outlineLevel="0" collapsed="false">
      <c r="A346" s="32"/>
      <c r="B346" s="17" t="str">
        <f aca="false">IF(A346="","",IFERROR(INDEX(Calendario!$A$4:$A$107,MATCH(A346,Calendario!$B$4:$B$107,1)),""))</f>
        <v/>
      </c>
      <c r="C346" s="17" t="str">
        <f aca="false">IF(A346="","",YEAR(A346)&amp;"-"&amp;TEXT(MONTH(A346),"00"))</f>
        <v/>
      </c>
      <c r="D346" s="26"/>
      <c r="E346" s="26"/>
      <c r="F346" s="26"/>
      <c r="G346" s="26"/>
      <c r="H346" s="27"/>
      <c r="I346" s="29"/>
      <c r="J346" s="26"/>
      <c r="K346" s="26"/>
      <c r="L346" s="27"/>
      <c r="M346" s="26"/>
      <c r="N346" s="26"/>
      <c r="O346" s="26"/>
    </row>
    <row r="347" customFormat="false" ht="15" hidden="false" customHeight="false" outlineLevel="0" collapsed="false">
      <c r="A347" s="32"/>
      <c r="B347" s="17" t="str">
        <f aca="false">IF(A347="","",IFERROR(INDEX(Calendario!$A$4:$A$107,MATCH(A347,Calendario!$B$4:$B$107,1)),""))</f>
        <v/>
      </c>
      <c r="C347" s="17" t="str">
        <f aca="false">IF(A347="","",YEAR(A347)&amp;"-"&amp;TEXT(MONTH(A347),"00"))</f>
        <v/>
      </c>
      <c r="D347" s="26"/>
      <c r="E347" s="26"/>
      <c r="F347" s="26"/>
      <c r="G347" s="26"/>
      <c r="H347" s="27"/>
      <c r="I347" s="29"/>
      <c r="J347" s="26"/>
      <c r="K347" s="26"/>
      <c r="L347" s="27"/>
      <c r="M347" s="26"/>
      <c r="N347" s="26"/>
      <c r="O347" s="26"/>
    </row>
    <row r="348" customFormat="false" ht="15" hidden="false" customHeight="false" outlineLevel="0" collapsed="false">
      <c r="A348" s="32"/>
      <c r="B348" s="17" t="str">
        <f aca="false">IF(A348="","",IFERROR(INDEX(Calendario!$A$4:$A$107,MATCH(A348,Calendario!$B$4:$B$107,1)),""))</f>
        <v/>
      </c>
      <c r="C348" s="17" t="str">
        <f aca="false">IF(A348="","",YEAR(A348)&amp;"-"&amp;TEXT(MONTH(A348),"00"))</f>
        <v/>
      </c>
      <c r="D348" s="26"/>
      <c r="E348" s="26"/>
      <c r="F348" s="26"/>
      <c r="G348" s="26"/>
      <c r="H348" s="27"/>
      <c r="I348" s="29"/>
      <c r="J348" s="26"/>
      <c r="K348" s="26"/>
      <c r="L348" s="27"/>
      <c r="M348" s="26"/>
      <c r="N348" s="26"/>
      <c r="O348" s="26"/>
    </row>
    <row r="349" customFormat="false" ht="15" hidden="false" customHeight="false" outlineLevel="0" collapsed="false">
      <c r="A349" s="32"/>
      <c r="B349" s="17" t="str">
        <f aca="false">IF(A349="","",IFERROR(INDEX(Calendario!$A$4:$A$107,MATCH(A349,Calendario!$B$4:$B$107,1)),""))</f>
        <v/>
      </c>
      <c r="C349" s="17" t="str">
        <f aca="false">IF(A349="","",YEAR(A349)&amp;"-"&amp;TEXT(MONTH(A349),"00"))</f>
        <v/>
      </c>
      <c r="D349" s="26"/>
      <c r="E349" s="26"/>
      <c r="F349" s="26"/>
      <c r="G349" s="26"/>
      <c r="H349" s="27"/>
      <c r="I349" s="29"/>
      <c r="J349" s="26"/>
      <c r="K349" s="26"/>
      <c r="L349" s="27"/>
      <c r="M349" s="26"/>
      <c r="N349" s="26"/>
      <c r="O349" s="26"/>
    </row>
    <row r="350" customFormat="false" ht="15" hidden="false" customHeight="false" outlineLevel="0" collapsed="false">
      <c r="A350" s="32"/>
      <c r="B350" s="17" t="str">
        <f aca="false">IF(A350="","",IFERROR(INDEX(Calendario!$A$4:$A$107,MATCH(A350,Calendario!$B$4:$B$107,1)),""))</f>
        <v/>
      </c>
      <c r="C350" s="17" t="str">
        <f aca="false">IF(A350="","",YEAR(A350)&amp;"-"&amp;TEXT(MONTH(A350),"00"))</f>
        <v/>
      </c>
      <c r="D350" s="26"/>
      <c r="E350" s="26"/>
      <c r="F350" s="26"/>
      <c r="G350" s="26"/>
      <c r="H350" s="27"/>
      <c r="I350" s="29"/>
      <c r="J350" s="26"/>
      <c r="K350" s="26"/>
      <c r="L350" s="27"/>
      <c r="M350" s="26"/>
      <c r="N350" s="26"/>
      <c r="O350" s="26"/>
    </row>
    <row r="351" customFormat="false" ht="15" hidden="false" customHeight="false" outlineLevel="0" collapsed="false">
      <c r="A351" s="32"/>
      <c r="B351" s="17" t="str">
        <f aca="false">IF(A351="","",IFERROR(INDEX(Calendario!$A$4:$A$107,MATCH(A351,Calendario!$B$4:$B$107,1)),""))</f>
        <v/>
      </c>
      <c r="C351" s="17" t="str">
        <f aca="false">IF(A351="","",YEAR(A351)&amp;"-"&amp;TEXT(MONTH(A351),"00"))</f>
        <v/>
      </c>
      <c r="D351" s="26"/>
      <c r="E351" s="26"/>
      <c r="F351" s="26"/>
      <c r="G351" s="26"/>
      <c r="H351" s="27"/>
      <c r="I351" s="29"/>
      <c r="J351" s="26"/>
      <c r="K351" s="26"/>
      <c r="L351" s="27"/>
      <c r="M351" s="26"/>
      <c r="N351" s="26"/>
      <c r="O351" s="26"/>
    </row>
    <row r="352" customFormat="false" ht="15" hidden="false" customHeight="false" outlineLevel="0" collapsed="false">
      <c r="A352" s="32"/>
      <c r="B352" s="17" t="str">
        <f aca="false">IF(A352="","",IFERROR(INDEX(Calendario!$A$4:$A$107,MATCH(A352,Calendario!$B$4:$B$107,1)),""))</f>
        <v/>
      </c>
      <c r="C352" s="17" t="str">
        <f aca="false">IF(A352="","",YEAR(A352)&amp;"-"&amp;TEXT(MONTH(A352),"00"))</f>
        <v/>
      </c>
      <c r="D352" s="26"/>
      <c r="E352" s="26"/>
      <c r="F352" s="26"/>
      <c r="G352" s="26"/>
      <c r="H352" s="27"/>
      <c r="I352" s="29"/>
      <c r="J352" s="26"/>
      <c r="K352" s="26"/>
      <c r="L352" s="27"/>
      <c r="M352" s="26"/>
      <c r="N352" s="26"/>
      <c r="O352" s="26"/>
    </row>
    <row r="353" customFormat="false" ht="15" hidden="false" customHeight="false" outlineLevel="0" collapsed="false">
      <c r="A353" s="32"/>
      <c r="B353" s="17" t="str">
        <f aca="false">IF(A353="","",IFERROR(INDEX(Calendario!$A$4:$A$107,MATCH(A353,Calendario!$B$4:$B$107,1)),""))</f>
        <v/>
      </c>
      <c r="C353" s="17" t="str">
        <f aca="false">IF(A353="","",YEAR(A353)&amp;"-"&amp;TEXT(MONTH(A353),"00"))</f>
        <v/>
      </c>
      <c r="D353" s="26"/>
      <c r="E353" s="26"/>
      <c r="F353" s="26"/>
      <c r="G353" s="26"/>
      <c r="H353" s="27"/>
      <c r="I353" s="29"/>
      <c r="J353" s="26"/>
      <c r="K353" s="26"/>
      <c r="L353" s="27"/>
      <c r="M353" s="26"/>
      <c r="N353" s="26"/>
      <c r="O353" s="26"/>
    </row>
    <row r="354" customFormat="false" ht="15" hidden="false" customHeight="false" outlineLevel="0" collapsed="false">
      <c r="A354" s="32"/>
      <c r="B354" s="17" t="str">
        <f aca="false">IF(A354="","",IFERROR(INDEX(Calendario!$A$4:$A$107,MATCH(A354,Calendario!$B$4:$B$107,1)),""))</f>
        <v/>
      </c>
      <c r="C354" s="17" t="str">
        <f aca="false">IF(A354="","",YEAR(A354)&amp;"-"&amp;TEXT(MONTH(A354),"00"))</f>
        <v/>
      </c>
      <c r="D354" s="26"/>
      <c r="E354" s="26"/>
      <c r="F354" s="26"/>
      <c r="G354" s="26"/>
      <c r="H354" s="27"/>
      <c r="I354" s="29"/>
      <c r="J354" s="26"/>
      <c r="K354" s="26"/>
      <c r="L354" s="27"/>
      <c r="M354" s="26"/>
      <c r="N354" s="26"/>
      <c r="O354" s="26"/>
    </row>
    <row r="355" customFormat="false" ht="15" hidden="false" customHeight="false" outlineLevel="0" collapsed="false">
      <c r="A355" s="32"/>
      <c r="B355" s="17" t="str">
        <f aca="false">IF(A355="","",IFERROR(INDEX(Calendario!$A$4:$A$107,MATCH(A355,Calendario!$B$4:$B$107,1)),""))</f>
        <v/>
      </c>
      <c r="C355" s="17" t="str">
        <f aca="false">IF(A355="","",YEAR(A355)&amp;"-"&amp;TEXT(MONTH(A355),"00"))</f>
        <v/>
      </c>
      <c r="D355" s="26"/>
      <c r="E355" s="26"/>
      <c r="F355" s="26"/>
      <c r="G355" s="26"/>
      <c r="H355" s="27"/>
      <c r="I355" s="29"/>
      <c r="J355" s="26"/>
      <c r="K355" s="26"/>
      <c r="L355" s="27"/>
      <c r="M355" s="26"/>
      <c r="N355" s="26"/>
      <c r="O355" s="26"/>
    </row>
    <row r="356" customFormat="false" ht="15" hidden="false" customHeight="false" outlineLevel="0" collapsed="false">
      <c r="A356" s="32"/>
      <c r="B356" s="17" t="str">
        <f aca="false">IF(A356="","",IFERROR(INDEX(Calendario!$A$4:$A$107,MATCH(A356,Calendario!$B$4:$B$107,1)),""))</f>
        <v/>
      </c>
      <c r="C356" s="17" t="str">
        <f aca="false">IF(A356="","",YEAR(A356)&amp;"-"&amp;TEXT(MONTH(A356),"00"))</f>
        <v/>
      </c>
      <c r="D356" s="26"/>
      <c r="E356" s="26"/>
      <c r="F356" s="26"/>
      <c r="G356" s="26"/>
      <c r="H356" s="27"/>
      <c r="I356" s="29"/>
      <c r="J356" s="26"/>
      <c r="K356" s="26"/>
      <c r="L356" s="27"/>
      <c r="M356" s="26"/>
      <c r="N356" s="26"/>
      <c r="O356" s="26"/>
    </row>
    <row r="357" customFormat="false" ht="15" hidden="false" customHeight="false" outlineLevel="0" collapsed="false">
      <c r="A357" s="32"/>
      <c r="B357" s="17" t="str">
        <f aca="false">IF(A357="","",IFERROR(INDEX(Calendario!$A$4:$A$107,MATCH(A357,Calendario!$B$4:$B$107,1)),""))</f>
        <v/>
      </c>
      <c r="C357" s="17" t="str">
        <f aca="false">IF(A357="","",YEAR(A357)&amp;"-"&amp;TEXT(MONTH(A357),"00"))</f>
        <v/>
      </c>
      <c r="D357" s="26"/>
      <c r="E357" s="26"/>
      <c r="F357" s="26"/>
      <c r="G357" s="26"/>
      <c r="H357" s="27"/>
      <c r="I357" s="29"/>
      <c r="J357" s="26"/>
      <c r="K357" s="26"/>
      <c r="L357" s="27"/>
      <c r="M357" s="26"/>
      <c r="N357" s="26"/>
      <c r="O357" s="26"/>
    </row>
    <row r="358" customFormat="false" ht="15" hidden="false" customHeight="false" outlineLevel="0" collapsed="false">
      <c r="A358" s="32"/>
      <c r="B358" s="17" t="str">
        <f aca="false">IF(A358="","",IFERROR(INDEX(Calendario!$A$4:$A$107,MATCH(A358,Calendario!$B$4:$B$107,1)),""))</f>
        <v/>
      </c>
      <c r="C358" s="17" t="str">
        <f aca="false">IF(A358="","",YEAR(A358)&amp;"-"&amp;TEXT(MONTH(A358),"00"))</f>
        <v/>
      </c>
      <c r="D358" s="26"/>
      <c r="E358" s="26"/>
      <c r="F358" s="26"/>
      <c r="G358" s="26"/>
      <c r="H358" s="27"/>
      <c r="I358" s="29"/>
      <c r="J358" s="26"/>
      <c r="K358" s="26"/>
      <c r="L358" s="27"/>
      <c r="M358" s="26"/>
      <c r="N358" s="26"/>
      <c r="O358" s="26"/>
    </row>
    <row r="359" customFormat="false" ht="15" hidden="false" customHeight="false" outlineLevel="0" collapsed="false">
      <c r="A359" s="32"/>
      <c r="B359" s="17" t="str">
        <f aca="false">IF(A359="","",IFERROR(INDEX(Calendario!$A$4:$A$107,MATCH(A359,Calendario!$B$4:$B$107,1)),""))</f>
        <v/>
      </c>
      <c r="C359" s="17" t="str">
        <f aca="false">IF(A359="","",YEAR(A359)&amp;"-"&amp;TEXT(MONTH(A359),"00"))</f>
        <v/>
      </c>
      <c r="D359" s="26"/>
      <c r="E359" s="26"/>
      <c r="F359" s="26"/>
      <c r="G359" s="26"/>
      <c r="H359" s="27"/>
      <c r="I359" s="29"/>
      <c r="J359" s="26"/>
      <c r="K359" s="26"/>
      <c r="L359" s="27"/>
      <c r="M359" s="26"/>
      <c r="N359" s="26"/>
      <c r="O359" s="26"/>
    </row>
    <row r="360" customFormat="false" ht="15" hidden="false" customHeight="false" outlineLevel="0" collapsed="false">
      <c r="A360" s="32"/>
      <c r="B360" s="17" t="str">
        <f aca="false">IF(A360="","",IFERROR(INDEX(Calendario!$A$4:$A$107,MATCH(A360,Calendario!$B$4:$B$107,1)),""))</f>
        <v/>
      </c>
      <c r="C360" s="17" t="str">
        <f aca="false">IF(A360="","",YEAR(A360)&amp;"-"&amp;TEXT(MONTH(A360),"00"))</f>
        <v/>
      </c>
      <c r="D360" s="26"/>
      <c r="E360" s="26"/>
      <c r="F360" s="26"/>
      <c r="G360" s="26"/>
      <c r="H360" s="27"/>
      <c r="I360" s="29"/>
      <c r="J360" s="26"/>
      <c r="K360" s="26"/>
      <c r="L360" s="27"/>
      <c r="M360" s="26"/>
      <c r="N360" s="26"/>
      <c r="O360" s="26"/>
    </row>
    <row r="361" customFormat="false" ht="15" hidden="false" customHeight="false" outlineLevel="0" collapsed="false">
      <c r="A361" s="32"/>
      <c r="B361" s="17" t="str">
        <f aca="false">IF(A361="","",IFERROR(INDEX(Calendario!$A$4:$A$107,MATCH(A361,Calendario!$B$4:$B$107,1)),""))</f>
        <v/>
      </c>
      <c r="C361" s="17" t="str">
        <f aca="false">IF(A361="","",YEAR(A361)&amp;"-"&amp;TEXT(MONTH(A361),"00"))</f>
        <v/>
      </c>
      <c r="D361" s="26"/>
      <c r="E361" s="26"/>
      <c r="F361" s="26"/>
      <c r="G361" s="26"/>
      <c r="H361" s="27"/>
      <c r="I361" s="29"/>
      <c r="J361" s="26"/>
      <c r="K361" s="26"/>
      <c r="L361" s="27"/>
      <c r="M361" s="26"/>
      <c r="N361" s="26"/>
      <c r="O361" s="26"/>
    </row>
    <row r="362" customFormat="false" ht="15" hidden="false" customHeight="false" outlineLevel="0" collapsed="false">
      <c r="A362" s="32"/>
      <c r="B362" s="17" t="str">
        <f aca="false">IF(A362="","",IFERROR(INDEX(Calendario!$A$4:$A$107,MATCH(A362,Calendario!$B$4:$B$107,1)),""))</f>
        <v/>
      </c>
      <c r="C362" s="17" t="str">
        <f aca="false">IF(A362="","",YEAR(A362)&amp;"-"&amp;TEXT(MONTH(A362),"00"))</f>
        <v/>
      </c>
      <c r="D362" s="26"/>
      <c r="E362" s="26"/>
      <c r="F362" s="26"/>
      <c r="G362" s="26"/>
      <c r="H362" s="27"/>
      <c r="I362" s="29"/>
      <c r="J362" s="26"/>
      <c r="K362" s="26"/>
      <c r="L362" s="27"/>
      <c r="M362" s="26"/>
      <c r="N362" s="26"/>
      <c r="O362" s="26"/>
    </row>
    <row r="363" customFormat="false" ht="15" hidden="false" customHeight="false" outlineLevel="0" collapsed="false">
      <c r="A363" s="32"/>
      <c r="B363" s="17" t="str">
        <f aca="false">IF(A363="","",IFERROR(INDEX(Calendario!$A$4:$A$107,MATCH(A363,Calendario!$B$4:$B$107,1)),""))</f>
        <v/>
      </c>
      <c r="C363" s="17" t="str">
        <f aca="false">IF(A363="","",YEAR(A363)&amp;"-"&amp;TEXT(MONTH(A363),"00"))</f>
        <v/>
      </c>
      <c r="D363" s="26"/>
      <c r="E363" s="26"/>
      <c r="F363" s="26"/>
      <c r="G363" s="26"/>
      <c r="H363" s="27"/>
      <c r="I363" s="29"/>
      <c r="J363" s="26"/>
      <c r="K363" s="26"/>
      <c r="L363" s="27"/>
      <c r="M363" s="26"/>
      <c r="N363" s="26"/>
      <c r="O363" s="26"/>
    </row>
    <row r="364" customFormat="false" ht="15" hidden="false" customHeight="false" outlineLevel="0" collapsed="false">
      <c r="A364" s="32"/>
      <c r="B364" s="17" t="str">
        <f aca="false">IF(A364="","",IFERROR(INDEX(Calendario!$A$4:$A$107,MATCH(A364,Calendario!$B$4:$B$107,1)),""))</f>
        <v/>
      </c>
      <c r="C364" s="17" t="str">
        <f aca="false">IF(A364="","",YEAR(A364)&amp;"-"&amp;TEXT(MONTH(A364),"00"))</f>
        <v/>
      </c>
      <c r="D364" s="26"/>
      <c r="E364" s="26"/>
      <c r="F364" s="26"/>
      <c r="G364" s="26"/>
      <c r="H364" s="27"/>
      <c r="I364" s="29"/>
      <c r="J364" s="26"/>
      <c r="K364" s="26"/>
      <c r="L364" s="27"/>
      <c r="M364" s="26"/>
      <c r="N364" s="26"/>
      <c r="O364" s="26"/>
    </row>
    <row r="365" customFormat="false" ht="15" hidden="false" customHeight="false" outlineLevel="0" collapsed="false">
      <c r="A365" s="32"/>
      <c r="B365" s="17" t="str">
        <f aca="false">IF(A365="","",IFERROR(INDEX(Calendario!$A$4:$A$107,MATCH(A365,Calendario!$B$4:$B$107,1)),""))</f>
        <v/>
      </c>
      <c r="C365" s="17" t="str">
        <f aca="false">IF(A365="","",YEAR(A365)&amp;"-"&amp;TEXT(MONTH(A365),"00"))</f>
        <v/>
      </c>
      <c r="D365" s="26"/>
      <c r="E365" s="26"/>
      <c r="F365" s="26"/>
      <c r="G365" s="26"/>
      <c r="H365" s="27"/>
      <c r="I365" s="29"/>
      <c r="J365" s="26"/>
      <c r="K365" s="26"/>
      <c r="L365" s="27"/>
      <c r="M365" s="26"/>
      <c r="N365" s="26"/>
      <c r="O365" s="26"/>
    </row>
    <row r="366" customFormat="false" ht="15" hidden="false" customHeight="false" outlineLevel="0" collapsed="false">
      <c r="A366" s="32"/>
      <c r="B366" s="17" t="str">
        <f aca="false">IF(A366="","",IFERROR(INDEX(Calendario!$A$4:$A$107,MATCH(A366,Calendario!$B$4:$B$107,1)),""))</f>
        <v/>
      </c>
      <c r="C366" s="17" t="str">
        <f aca="false">IF(A366="","",YEAR(A366)&amp;"-"&amp;TEXT(MONTH(A366),"00"))</f>
        <v/>
      </c>
      <c r="D366" s="26"/>
      <c r="E366" s="26"/>
      <c r="F366" s="26"/>
      <c r="G366" s="26"/>
      <c r="H366" s="27"/>
      <c r="I366" s="29"/>
      <c r="J366" s="26"/>
      <c r="K366" s="26"/>
      <c r="L366" s="27"/>
      <c r="M366" s="26"/>
      <c r="N366" s="26"/>
      <c r="O366" s="26"/>
    </row>
    <row r="367" customFormat="false" ht="15" hidden="false" customHeight="false" outlineLevel="0" collapsed="false">
      <c r="A367" s="32"/>
      <c r="B367" s="17" t="str">
        <f aca="false">IF(A367="","",IFERROR(INDEX(Calendario!$A$4:$A$107,MATCH(A367,Calendario!$B$4:$B$107,1)),""))</f>
        <v/>
      </c>
      <c r="C367" s="17" t="str">
        <f aca="false">IF(A367="","",YEAR(A367)&amp;"-"&amp;TEXT(MONTH(A367),"00"))</f>
        <v/>
      </c>
      <c r="D367" s="26"/>
      <c r="E367" s="26"/>
      <c r="F367" s="26"/>
      <c r="G367" s="26"/>
      <c r="H367" s="27"/>
      <c r="I367" s="29"/>
      <c r="J367" s="26"/>
      <c r="K367" s="26"/>
      <c r="L367" s="27"/>
      <c r="M367" s="26"/>
      <c r="N367" s="26"/>
      <c r="O367" s="26"/>
    </row>
    <row r="368" customFormat="false" ht="15" hidden="false" customHeight="false" outlineLevel="0" collapsed="false">
      <c r="A368" s="32"/>
      <c r="B368" s="17" t="str">
        <f aca="false">IF(A368="","",IFERROR(INDEX(Calendario!$A$4:$A$107,MATCH(A368,Calendario!$B$4:$B$107,1)),""))</f>
        <v/>
      </c>
      <c r="C368" s="17" t="str">
        <f aca="false">IF(A368="","",YEAR(A368)&amp;"-"&amp;TEXT(MONTH(A368),"00"))</f>
        <v/>
      </c>
      <c r="D368" s="26"/>
      <c r="E368" s="26"/>
      <c r="F368" s="26"/>
      <c r="G368" s="26"/>
      <c r="H368" s="27"/>
      <c r="I368" s="29"/>
      <c r="J368" s="26"/>
      <c r="K368" s="26"/>
      <c r="L368" s="27"/>
      <c r="M368" s="26"/>
      <c r="N368" s="26"/>
      <c r="O368" s="26"/>
    </row>
    <row r="369" customFormat="false" ht="15" hidden="false" customHeight="false" outlineLevel="0" collapsed="false">
      <c r="A369" s="32"/>
      <c r="B369" s="17" t="str">
        <f aca="false">IF(A369="","",IFERROR(INDEX(Calendario!$A$4:$A$107,MATCH(A369,Calendario!$B$4:$B$107,1)),""))</f>
        <v/>
      </c>
      <c r="C369" s="17" t="str">
        <f aca="false">IF(A369="","",YEAR(A369)&amp;"-"&amp;TEXT(MONTH(A369),"00"))</f>
        <v/>
      </c>
      <c r="D369" s="26"/>
      <c r="E369" s="26"/>
      <c r="F369" s="26"/>
      <c r="G369" s="26"/>
      <c r="H369" s="27"/>
      <c r="I369" s="29"/>
      <c r="J369" s="26"/>
      <c r="K369" s="26"/>
      <c r="L369" s="27"/>
      <c r="M369" s="26"/>
      <c r="N369" s="26"/>
      <c r="O369" s="26"/>
    </row>
    <row r="370" customFormat="false" ht="15" hidden="false" customHeight="false" outlineLevel="0" collapsed="false">
      <c r="A370" s="32"/>
      <c r="B370" s="17" t="str">
        <f aca="false">IF(A370="","",IFERROR(INDEX(Calendario!$A$4:$A$107,MATCH(A370,Calendario!$B$4:$B$107,1)),""))</f>
        <v/>
      </c>
      <c r="C370" s="17" t="str">
        <f aca="false">IF(A370="","",YEAR(A370)&amp;"-"&amp;TEXT(MONTH(A370),"00"))</f>
        <v/>
      </c>
      <c r="D370" s="26"/>
      <c r="E370" s="26"/>
      <c r="F370" s="26"/>
      <c r="G370" s="26"/>
      <c r="H370" s="27"/>
      <c r="I370" s="29"/>
      <c r="J370" s="26"/>
      <c r="K370" s="26"/>
      <c r="L370" s="27"/>
      <c r="M370" s="26"/>
      <c r="N370" s="26"/>
      <c r="O370" s="26"/>
    </row>
    <row r="371" customFormat="false" ht="15" hidden="false" customHeight="false" outlineLevel="0" collapsed="false">
      <c r="A371" s="32"/>
      <c r="B371" s="17" t="str">
        <f aca="false">IF(A371="","",IFERROR(INDEX(Calendario!$A$4:$A$107,MATCH(A371,Calendario!$B$4:$B$107,1)),""))</f>
        <v/>
      </c>
      <c r="C371" s="17" t="str">
        <f aca="false">IF(A371="","",YEAR(A371)&amp;"-"&amp;TEXT(MONTH(A371),"00"))</f>
        <v/>
      </c>
      <c r="D371" s="26"/>
      <c r="E371" s="26"/>
      <c r="F371" s="26"/>
      <c r="G371" s="26"/>
      <c r="H371" s="27"/>
      <c r="I371" s="29"/>
      <c r="J371" s="26"/>
      <c r="K371" s="26"/>
      <c r="L371" s="27"/>
      <c r="M371" s="26"/>
      <c r="N371" s="26"/>
      <c r="O371" s="26"/>
    </row>
    <row r="372" customFormat="false" ht="15" hidden="false" customHeight="false" outlineLevel="0" collapsed="false">
      <c r="A372" s="32"/>
      <c r="B372" s="17" t="str">
        <f aca="false">IF(A372="","",IFERROR(INDEX(Calendario!$A$4:$A$107,MATCH(A372,Calendario!$B$4:$B$107,1)),""))</f>
        <v/>
      </c>
      <c r="C372" s="17" t="str">
        <f aca="false">IF(A372="","",YEAR(A372)&amp;"-"&amp;TEXT(MONTH(A372),"00"))</f>
        <v/>
      </c>
      <c r="D372" s="26"/>
      <c r="E372" s="26"/>
      <c r="F372" s="26"/>
      <c r="G372" s="26"/>
      <c r="H372" s="27"/>
      <c r="I372" s="29"/>
      <c r="J372" s="26"/>
      <c r="K372" s="26"/>
      <c r="L372" s="27"/>
      <c r="M372" s="26"/>
      <c r="N372" s="26"/>
      <c r="O372" s="26"/>
    </row>
    <row r="373" customFormat="false" ht="15" hidden="false" customHeight="false" outlineLevel="0" collapsed="false">
      <c r="A373" s="32"/>
      <c r="B373" s="17" t="str">
        <f aca="false">IF(A373="","",IFERROR(INDEX(Calendario!$A$4:$A$107,MATCH(A373,Calendario!$B$4:$B$107,1)),""))</f>
        <v/>
      </c>
      <c r="C373" s="17" t="str">
        <f aca="false">IF(A373="","",YEAR(A373)&amp;"-"&amp;TEXT(MONTH(A373),"00"))</f>
        <v/>
      </c>
      <c r="D373" s="26"/>
      <c r="E373" s="26"/>
      <c r="F373" s="26"/>
      <c r="G373" s="26"/>
      <c r="H373" s="27"/>
      <c r="I373" s="29"/>
      <c r="J373" s="26"/>
      <c r="K373" s="26"/>
      <c r="L373" s="27"/>
      <c r="M373" s="26"/>
      <c r="N373" s="26"/>
      <c r="O373" s="26"/>
    </row>
    <row r="374" customFormat="false" ht="15" hidden="false" customHeight="false" outlineLevel="0" collapsed="false">
      <c r="A374" s="32"/>
      <c r="B374" s="17" t="str">
        <f aca="false">IF(A374="","",IFERROR(INDEX(Calendario!$A$4:$A$107,MATCH(A374,Calendario!$B$4:$B$107,1)),""))</f>
        <v/>
      </c>
      <c r="C374" s="17" t="str">
        <f aca="false">IF(A374="","",YEAR(A374)&amp;"-"&amp;TEXT(MONTH(A374),"00"))</f>
        <v/>
      </c>
      <c r="D374" s="26"/>
      <c r="E374" s="26"/>
      <c r="F374" s="26"/>
      <c r="G374" s="26"/>
      <c r="H374" s="27"/>
      <c r="I374" s="29"/>
      <c r="J374" s="26"/>
      <c r="K374" s="26"/>
      <c r="L374" s="27"/>
      <c r="M374" s="26"/>
      <c r="N374" s="26"/>
      <c r="O374" s="26"/>
    </row>
    <row r="375" customFormat="false" ht="15" hidden="false" customHeight="false" outlineLevel="0" collapsed="false">
      <c r="A375" s="32"/>
      <c r="B375" s="17" t="str">
        <f aca="false">IF(A375="","",IFERROR(INDEX(Calendario!$A$4:$A$107,MATCH(A375,Calendario!$B$4:$B$107,1)),""))</f>
        <v/>
      </c>
      <c r="C375" s="17" t="str">
        <f aca="false">IF(A375="","",YEAR(A375)&amp;"-"&amp;TEXT(MONTH(A375),"00"))</f>
        <v/>
      </c>
      <c r="D375" s="26"/>
      <c r="E375" s="26"/>
      <c r="F375" s="26"/>
      <c r="G375" s="26"/>
      <c r="H375" s="27"/>
      <c r="I375" s="29"/>
      <c r="J375" s="26"/>
      <c r="K375" s="26"/>
      <c r="L375" s="27"/>
      <c r="M375" s="26"/>
      <c r="N375" s="26"/>
      <c r="O375" s="26"/>
    </row>
    <row r="376" customFormat="false" ht="15" hidden="false" customHeight="false" outlineLevel="0" collapsed="false">
      <c r="A376" s="32"/>
      <c r="B376" s="17" t="str">
        <f aca="false">IF(A376="","",IFERROR(INDEX(Calendario!$A$4:$A$107,MATCH(A376,Calendario!$B$4:$B$107,1)),""))</f>
        <v/>
      </c>
      <c r="C376" s="17" t="str">
        <f aca="false">IF(A376="","",YEAR(A376)&amp;"-"&amp;TEXT(MONTH(A376),"00"))</f>
        <v/>
      </c>
      <c r="D376" s="26"/>
      <c r="E376" s="26"/>
      <c r="F376" s="26"/>
      <c r="G376" s="26"/>
      <c r="H376" s="27"/>
      <c r="I376" s="29"/>
      <c r="J376" s="26"/>
      <c r="K376" s="26"/>
      <c r="L376" s="27"/>
      <c r="M376" s="26"/>
      <c r="N376" s="26"/>
      <c r="O376" s="26"/>
    </row>
    <row r="377" customFormat="false" ht="15" hidden="false" customHeight="false" outlineLevel="0" collapsed="false">
      <c r="A377" s="32"/>
      <c r="B377" s="17" t="str">
        <f aca="false">IF(A377="","",IFERROR(INDEX(Calendario!$A$4:$A$107,MATCH(A377,Calendario!$B$4:$B$107,1)),""))</f>
        <v/>
      </c>
      <c r="C377" s="17" t="str">
        <f aca="false">IF(A377="","",YEAR(A377)&amp;"-"&amp;TEXT(MONTH(A377),"00"))</f>
        <v/>
      </c>
      <c r="D377" s="26"/>
      <c r="E377" s="26"/>
      <c r="F377" s="26"/>
      <c r="G377" s="26"/>
      <c r="H377" s="27"/>
      <c r="I377" s="29"/>
      <c r="J377" s="26"/>
      <c r="K377" s="26"/>
      <c r="L377" s="27"/>
      <c r="M377" s="26"/>
      <c r="N377" s="26"/>
      <c r="O377" s="26"/>
    </row>
    <row r="378" customFormat="false" ht="15" hidden="false" customHeight="false" outlineLevel="0" collapsed="false">
      <c r="A378" s="32"/>
      <c r="B378" s="17" t="str">
        <f aca="false">IF(A378="","",IFERROR(INDEX(Calendario!$A$4:$A$107,MATCH(A378,Calendario!$B$4:$B$107,1)),""))</f>
        <v/>
      </c>
      <c r="C378" s="17" t="str">
        <f aca="false">IF(A378="","",YEAR(A378)&amp;"-"&amp;TEXT(MONTH(A378),"00"))</f>
        <v/>
      </c>
      <c r="D378" s="26"/>
      <c r="E378" s="26"/>
      <c r="F378" s="26"/>
      <c r="G378" s="26"/>
      <c r="H378" s="27"/>
      <c r="I378" s="29"/>
      <c r="J378" s="26"/>
      <c r="K378" s="26"/>
      <c r="L378" s="27"/>
      <c r="M378" s="26"/>
      <c r="N378" s="26"/>
      <c r="O378" s="26"/>
    </row>
    <row r="379" customFormat="false" ht="15" hidden="false" customHeight="false" outlineLevel="0" collapsed="false">
      <c r="A379" s="32"/>
      <c r="B379" s="17" t="str">
        <f aca="false">IF(A379="","",IFERROR(INDEX(Calendario!$A$4:$A$107,MATCH(A379,Calendario!$B$4:$B$107,1)),""))</f>
        <v/>
      </c>
      <c r="C379" s="17" t="str">
        <f aca="false">IF(A379="","",YEAR(A379)&amp;"-"&amp;TEXT(MONTH(A379),"00"))</f>
        <v/>
      </c>
      <c r="D379" s="26"/>
      <c r="E379" s="26"/>
      <c r="F379" s="26"/>
      <c r="G379" s="26"/>
      <c r="H379" s="27"/>
      <c r="I379" s="29"/>
      <c r="J379" s="26"/>
      <c r="K379" s="26"/>
      <c r="L379" s="27"/>
      <c r="M379" s="26"/>
      <c r="N379" s="26"/>
      <c r="O379" s="26"/>
    </row>
    <row r="380" customFormat="false" ht="15" hidden="false" customHeight="false" outlineLevel="0" collapsed="false">
      <c r="A380" s="32"/>
      <c r="B380" s="17" t="str">
        <f aca="false">IF(A380="","",IFERROR(INDEX(Calendario!$A$4:$A$107,MATCH(A380,Calendario!$B$4:$B$107,1)),""))</f>
        <v/>
      </c>
      <c r="C380" s="17" t="str">
        <f aca="false">IF(A380="","",YEAR(A380)&amp;"-"&amp;TEXT(MONTH(A380),"00"))</f>
        <v/>
      </c>
      <c r="D380" s="26"/>
      <c r="E380" s="26"/>
      <c r="F380" s="26"/>
      <c r="G380" s="26"/>
      <c r="H380" s="27"/>
      <c r="I380" s="29"/>
      <c r="J380" s="26"/>
      <c r="K380" s="26"/>
      <c r="L380" s="27"/>
      <c r="M380" s="26"/>
      <c r="N380" s="26"/>
      <c r="O380" s="26"/>
    </row>
    <row r="381" customFormat="false" ht="15" hidden="false" customHeight="false" outlineLevel="0" collapsed="false">
      <c r="A381" s="32"/>
      <c r="B381" s="17" t="str">
        <f aca="false">IF(A381="","",IFERROR(INDEX(Calendario!$A$4:$A$107,MATCH(A381,Calendario!$B$4:$B$107,1)),""))</f>
        <v/>
      </c>
      <c r="C381" s="17" t="str">
        <f aca="false">IF(A381="","",YEAR(A381)&amp;"-"&amp;TEXT(MONTH(A381),"00"))</f>
        <v/>
      </c>
      <c r="D381" s="26"/>
      <c r="E381" s="26"/>
      <c r="F381" s="26"/>
      <c r="G381" s="26"/>
      <c r="H381" s="27"/>
      <c r="I381" s="29"/>
      <c r="J381" s="26"/>
      <c r="K381" s="26"/>
      <c r="L381" s="27"/>
      <c r="M381" s="26"/>
      <c r="N381" s="26"/>
      <c r="O381" s="26"/>
    </row>
    <row r="382" customFormat="false" ht="15" hidden="false" customHeight="false" outlineLevel="0" collapsed="false">
      <c r="A382" s="32"/>
      <c r="B382" s="17" t="str">
        <f aca="false">IF(A382="","",IFERROR(INDEX(Calendario!$A$4:$A$107,MATCH(A382,Calendario!$B$4:$B$107,1)),""))</f>
        <v/>
      </c>
      <c r="C382" s="17" t="str">
        <f aca="false">IF(A382="","",YEAR(A382)&amp;"-"&amp;TEXT(MONTH(A382),"00"))</f>
        <v/>
      </c>
      <c r="D382" s="26"/>
      <c r="E382" s="26"/>
      <c r="F382" s="26"/>
      <c r="G382" s="26"/>
      <c r="H382" s="27"/>
      <c r="I382" s="29"/>
      <c r="J382" s="26"/>
      <c r="K382" s="26"/>
      <c r="L382" s="27"/>
      <c r="M382" s="26"/>
      <c r="N382" s="26"/>
      <c r="O382" s="26"/>
    </row>
    <row r="383" customFormat="false" ht="15" hidden="false" customHeight="false" outlineLevel="0" collapsed="false">
      <c r="A383" s="32"/>
      <c r="B383" s="17" t="str">
        <f aca="false">IF(A383="","",IFERROR(INDEX(Calendario!$A$4:$A$107,MATCH(A383,Calendario!$B$4:$B$107,1)),""))</f>
        <v/>
      </c>
      <c r="C383" s="17" t="str">
        <f aca="false">IF(A383="","",YEAR(A383)&amp;"-"&amp;TEXT(MONTH(A383),"00"))</f>
        <v/>
      </c>
      <c r="D383" s="26"/>
      <c r="E383" s="26"/>
      <c r="F383" s="26"/>
      <c r="G383" s="26"/>
      <c r="H383" s="27"/>
      <c r="I383" s="29"/>
      <c r="J383" s="26"/>
      <c r="K383" s="26"/>
      <c r="L383" s="27"/>
      <c r="M383" s="26"/>
      <c r="N383" s="26"/>
      <c r="O383" s="26"/>
    </row>
    <row r="384" customFormat="false" ht="15" hidden="false" customHeight="false" outlineLevel="0" collapsed="false">
      <c r="A384" s="32"/>
      <c r="B384" s="17" t="str">
        <f aca="false">IF(A384="","",IFERROR(INDEX(Calendario!$A$4:$A$107,MATCH(A384,Calendario!$B$4:$B$107,1)),""))</f>
        <v/>
      </c>
      <c r="C384" s="17" t="str">
        <f aca="false">IF(A384="","",YEAR(A384)&amp;"-"&amp;TEXT(MONTH(A384),"00"))</f>
        <v/>
      </c>
      <c r="D384" s="26"/>
      <c r="E384" s="26"/>
      <c r="F384" s="26"/>
      <c r="G384" s="26"/>
      <c r="H384" s="27"/>
      <c r="I384" s="29"/>
      <c r="J384" s="26"/>
      <c r="K384" s="26"/>
      <c r="L384" s="27"/>
      <c r="M384" s="26"/>
      <c r="N384" s="26"/>
      <c r="O384" s="26"/>
    </row>
    <row r="385" customFormat="false" ht="15" hidden="false" customHeight="false" outlineLevel="0" collapsed="false">
      <c r="A385" s="32"/>
      <c r="B385" s="17" t="str">
        <f aca="false">IF(A385="","",IFERROR(INDEX(Calendario!$A$4:$A$107,MATCH(A385,Calendario!$B$4:$B$107,1)),""))</f>
        <v/>
      </c>
      <c r="C385" s="17" t="str">
        <f aca="false">IF(A385="","",YEAR(A385)&amp;"-"&amp;TEXT(MONTH(A385),"00"))</f>
        <v/>
      </c>
      <c r="D385" s="26"/>
      <c r="E385" s="26"/>
      <c r="F385" s="26"/>
      <c r="G385" s="26"/>
      <c r="H385" s="27"/>
      <c r="I385" s="29"/>
      <c r="J385" s="26"/>
      <c r="K385" s="26"/>
      <c r="L385" s="27"/>
      <c r="M385" s="26"/>
      <c r="N385" s="26"/>
      <c r="O385" s="26"/>
    </row>
    <row r="386" customFormat="false" ht="15" hidden="false" customHeight="false" outlineLevel="0" collapsed="false">
      <c r="A386" s="32"/>
      <c r="B386" s="17" t="str">
        <f aca="false">IF(A386="","",IFERROR(INDEX(Calendario!$A$4:$A$107,MATCH(A386,Calendario!$B$4:$B$107,1)),""))</f>
        <v/>
      </c>
      <c r="C386" s="17" t="str">
        <f aca="false">IF(A386="","",YEAR(A386)&amp;"-"&amp;TEXT(MONTH(A386),"00"))</f>
        <v/>
      </c>
      <c r="D386" s="26"/>
      <c r="E386" s="26"/>
      <c r="F386" s="26"/>
      <c r="G386" s="26"/>
      <c r="H386" s="27"/>
      <c r="I386" s="29"/>
      <c r="J386" s="26"/>
      <c r="K386" s="26"/>
      <c r="L386" s="27"/>
      <c r="M386" s="26"/>
      <c r="N386" s="26"/>
      <c r="O386" s="26"/>
    </row>
    <row r="387" customFormat="false" ht="15" hidden="false" customHeight="false" outlineLevel="0" collapsed="false">
      <c r="A387" s="32"/>
      <c r="B387" s="17" t="str">
        <f aca="false">IF(A387="","",IFERROR(INDEX(Calendario!$A$4:$A$107,MATCH(A387,Calendario!$B$4:$B$107,1)),""))</f>
        <v/>
      </c>
      <c r="C387" s="17" t="str">
        <f aca="false">IF(A387="","",YEAR(A387)&amp;"-"&amp;TEXT(MONTH(A387),"00"))</f>
        <v/>
      </c>
      <c r="D387" s="26"/>
      <c r="E387" s="26"/>
      <c r="F387" s="26"/>
      <c r="G387" s="26"/>
      <c r="H387" s="27"/>
      <c r="I387" s="29"/>
      <c r="J387" s="26"/>
      <c r="K387" s="26"/>
      <c r="L387" s="27"/>
      <c r="M387" s="26"/>
      <c r="N387" s="26"/>
      <c r="O387" s="26"/>
    </row>
    <row r="388" customFormat="false" ht="15" hidden="false" customHeight="false" outlineLevel="0" collapsed="false">
      <c r="A388" s="32"/>
      <c r="B388" s="17" t="str">
        <f aca="false">IF(A388="","",IFERROR(INDEX(Calendario!$A$4:$A$107,MATCH(A388,Calendario!$B$4:$B$107,1)),""))</f>
        <v/>
      </c>
      <c r="C388" s="17" t="str">
        <f aca="false">IF(A388="","",YEAR(A388)&amp;"-"&amp;TEXT(MONTH(A388),"00"))</f>
        <v/>
      </c>
      <c r="D388" s="26"/>
      <c r="E388" s="26"/>
      <c r="F388" s="26"/>
      <c r="G388" s="26"/>
      <c r="H388" s="27"/>
      <c r="I388" s="29"/>
      <c r="J388" s="26"/>
      <c r="K388" s="26"/>
      <c r="L388" s="27"/>
      <c r="M388" s="26"/>
      <c r="N388" s="26"/>
      <c r="O388" s="26"/>
    </row>
    <row r="389" customFormat="false" ht="15" hidden="false" customHeight="false" outlineLevel="0" collapsed="false">
      <c r="A389" s="32"/>
      <c r="B389" s="17" t="str">
        <f aca="false">IF(A389="","",IFERROR(INDEX(Calendario!$A$4:$A$107,MATCH(A389,Calendario!$B$4:$B$107,1)),""))</f>
        <v/>
      </c>
      <c r="C389" s="17" t="str">
        <f aca="false">IF(A389="","",YEAR(A389)&amp;"-"&amp;TEXT(MONTH(A389),"00"))</f>
        <v/>
      </c>
      <c r="D389" s="26"/>
      <c r="E389" s="26"/>
      <c r="F389" s="26"/>
      <c r="G389" s="26"/>
      <c r="H389" s="27"/>
      <c r="I389" s="29"/>
      <c r="J389" s="26"/>
      <c r="K389" s="26"/>
      <c r="L389" s="27"/>
      <c r="M389" s="26"/>
      <c r="N389" s="26"/>
      <c r="O389" s="26"/>
    </row>
    <row r="390" customFormat="false" ht="15" hidden="false" customHeight="false" outlineLevel="0" collapsed="false">
      <c r="A390" s="32"/>
      <c r="B390" s="17" t="str">
        <f aca="false">IF(A390="","",IFERROR(INDEX(Calendario!$A$4:$A$107,MATCH(A390,Calendario!$B$4:$B$107,1)),""))</f>
        <v/>
      </c>
      <c r="C390" s="17" t="str">
        <f aca="false">IF(A390="","",YEAR(A390)&amp;"-"&amp;TEXT(MONTH(A390),"00"))</f>
        <v/>
      </c>
      <c r="D390" s="26"/>
      <c r="E390" s="26"/>
      <c r="F390" s="26"/>
      <c r="G390" s="26"/>
      <c r="H390" s="27"/>
      <c r="I390" s="29"/>
      <c r="J390" s="26"/>
      <c r="K390" s="26"/>
      <c r="L390" s="27"/>
      <c r="M390" s="26"/>
      <c r="N390" s="26"/>
      <c r="O390" s="26"/>
    </row>
    <row r="391" customFormat="false" ht="15" hidden="false" customHeight="false" outlineLevel="0" collapsed="false">
      <c r="A391" s="32"/>
      <c r="B391" s="17" t="str">
        <f aca="false">IF(A391="","",IFERROR(INDEX(Calendario!$A$4:$A$107,MATCH(A391,Calendario!$B$4:$B$107,1)),""))</f>
        <v/>
      </c>
      <c r="C391" s="17" t="str">
        <f aca="false">IF(A391="","",YEAR(A391)&amp;"-"&amp;TEXT(MONTH(A391),"00"))</f>
        <v/>
      </c>
      <c r="D391" s="26"/>
      <c r="E391" s="26"/>
      <c r="F391" s="26"/>
      <c r="G391" s="26"/>
      <c r="H391" s="27"/>
      <c r="I391" s="29"/>
      <c r="J391" s="26"/>
      <c r="K391" s="26"/>
      <c r="L391" s="27"/>
      <c r="M391" s="26"/>
      <c r="N391" s="26"/>
      <c r="O391" s="26"/>
    </row>
    <row r="392" customFormat="false" ht="15" hidden="false" customHeight="false" outlineLevel="0" collapsed="false">
      <c r="A392" s="32"/>
      <c r="B392" s="17" t="str">
        <f aca="false">IF(A392="","",IFERROR(INDEX(Calendario!$A$4:$A$107,MATCH(A392,Calendario!$B$4:$B$107,1)),""))</f>
        <v/>
      </c>
      <c r="C392" s="17" t="str">
        <f aca="false">IF(A392="","",YEAR(A392)&amp;"-"&amp;TEXT(MONTH(A392),"00"))</f>
        <v/>
      </c>
      <c r="D392" s="26"/>
      <c r="E392" s="26"/>
      <c r="F392" s="26"/>
      <c r="G392" s="26"/>
      <c r="H392" s="27"/>
      <c r="I392" s="29"/>
      <c r="J392" s="26"/>
      <c r="K392" s="26"/>
      <c r="L392" s="27"/>
      <c r="M392" s="26"/>
      <c r="N392" s="26"/>
      <c r="O392" s="26"/>
    </row>
    <row r="393" customFormat="false" ht="15" hidden="false" customHeight="false" outlineLevel="0" collapsed="false">
      <c r="A393" s="32"/>
      <c r="B393" s="17" t="str">
        <f aca="false">IF(A393="","",IFERROR(INDEX(Calendario!$A$4:$A$107,MATCH(A393,Calendario!$B$4:$B$107,1)),""))</f>
        <v/>
      </c>
      <c r="C393" s="17" t="str">
        <f aca="false">IF(A393="","",YEAR(A393)&amp;"-"&amp;TEXT(MONTH(A393),"00"))</f>
        <v/>
      </c>
      <c r="D393" s="26"/>
      <c r="E393" s="26"/>
      <c r="F393" s="26"/>
      <c r="G393" s="26"/>
      <c r="H393" s="27"/>
      <c r="I393" s="29"/>
      <c r="J393" s="26"/>
      <c r="K393" s="26"/>
      <c r="L393" s="27"/>
      <c r="M393" s="26"/>
      <c r="N393" s="26"/>
      <c r="O393" s="26"/>
    </row>
    <row r="394" customFormat="false" ht="15" hidden="false" customHeight="false" outlineLevel="0" collapsed="false">
      <c r="A394" s="32"/>
      <c r="B394" s="17" t="str">
        <f aca="false">IF(A394="","",IFERROR(INDEX(Calendario!$A$4:$A$107,MATCH(A394,Calendario!$B$4:$B$107,1)),""))</f>
        <v/>
      </c>
      <c r="C394" s="17" t="str">
        <f aca="false">IF(A394="","",YEAR(A394)&amp;"-"&amp;TEXT(MONTH(A394),"00"))</f>
        <v/>
      </c>
      <c r="D394" s="26"/>
      <c r="E394" s="26"/>
      <c r="F394" s="26"/>
      <c r="G394" s="26"/>
      <c r="H394" s="27"/>
      <c r="I394" s="29"/>
      <c r="J394" s="26"/>
      <c r="K394" s="26"/>
      <c r="L394" s="27"/>
      <c r="M394" s="26"/>
      <c r="N394" s="26"/>
      <c r="O394" s="26"/>
    </row>
    <row r="395" customFormat="false" ht="15" hidden="false" customHeight="false" outlineLevel="0" collapsed="false">
      <c r="A395" s="32"/>
      <c r="B395" s="17" t="str">
        <f aca="false">IF(A395="","",IFERROR(INDEX(Calendario!$A$4:$A$107,MATCH(A395,Calendario!$B$4:$B$107,1)),""))</f>
        <v/>
      </c>
      <c r="C395" s="17" t="str">
        <f aca="false">IF(A395="","",YEAR(A395)&amp;"-"&amp;TEXT(MONTH(A395),"00"))</f>
        <v/>
      </c>
      <c r="D395" s="26"/>
      <c r="E395" s="26"/>
      <c r="F395" s="26"/>
      <c r="G395" s="26"/>
      <c r="H395" s="27"/>
      <c r="I395" s="29"/>
      <c r="J395" s="26"/>
      <c r="K395" s="26"/>
      <c r="L395" s="27"/>
      <c r="M395" s="26"/>
      <c r="N395" s="26"/>
      <c r="O395" s="26"/>
    </row>
    <row r="396" customFormat="false" ht="15" hidden="false" customHeight="false" outlineLevel="0" collapsed="false">
      <c r="A396" s="32"/>
      <c r="B396" s="17" t="str">
        <f aca="false">IF(A396="","",IFERROR(INDEX(Calendario!$A$4:$A$107,MATCH(A396,Calendario!$B$4:$B$107,1)),""))</f>
        <v/>
      </c>
      <c r="C396" s="17" t="str">
        <f aca="false">IF(A396="","",YEAR(A396)&amp;"-"&amp;TEXT(MONTH(A396),"00"))</f>
        <v/>
      </c>
      <c r="D396" s="26"/>
      <c r="E396" s="26"/>
      <c r="F396" s="26"/>
      <c r="G396" s="26"/>
      <c r="H396" s="27"/>
      <c r="I396" s="29"/>
      <c r="J396" s="26"/>
      <c r="K396" s="26"/>
      <c r="L396" s="27"/>
      <c r="M396" s="26"/>
      <c r="N396" s="26"/>
      <c r="O396" s="26"/>
    </row>
    <row r="397" customFormat="false" ht="15" hidden="false" customHeight="false" outlineLevel="0" collapsed="false">
      <c r="A397" s="32"/>
      <c r="B397" s="17" t="str">
        <f aca="false">IF(A397="","",IFERROR(INDEX(Calendario!$A$4:$A$107,MATCH(A397,Calendario!$B$4:$B$107,1)),""))</f>
        <v/>
      </c>
      <c r="C397" s="17" t="str">
        <f aca="false">IF(A397="","",YEAR(A397)&amp;"-"&amp;TEXT(MONTH(A397),"00"))</f>
        <v/>
      </c>
      <c r="D397" s="26"/>
      <c r="E397" s="26"/>
      <c r="F397" s="26"/>
      <c r="G397" s="26"/>
      <c r="H397" s="27"/>
      <c r="I397" s="29"/>
      <c r="J397" s="26"/>
      <c r="K397" s="26"/>
      <c r="L397" s="27"/>
      <c r="M397" s="26"/>
      <c r="N397" s="26"/>
      <c r="O397" s="26"/>
    </row>
    <row r="398" customFormat="false" ht="15" hidden="false" customHeight="false" outlineLevel="0" collapsed="false">
      <c r="A398" s="32"/>
      <c r="B398" s="17" t="str">
        <f aca="false">IF(A398="","",IFERROR(INDEX(Calendario!$A$4:$A$107,MATCH(A398,Calendario!$B$4:$B$107,1)),""))</f>
        <v/>
      </c>
      <c r="C398" s="17" t="str">
        <f aca="false">IF(A398="","",YEAR(A398)&amp;"-"&amp;TEXT(MONTH(A398),"00"))</f>
        <v/>
      </c>
      <c r="D398" s="26"/>
      <c r="E398" s="26"/>
      <c r="F398" s="26"/>
      <c r="G398" s="26"/>
      <c r="H398" s="27"/>
      <c r="I398" s="29"/>
      <c r="J398" s="26"/>
      <c r="K398" s="26"/>
      <c r="L398" s="27"/>
      <c r="M398" s="26"/>
      <c r="N398" s="26"/>
      <c r="O398" s="26"/>
    </row>
    <row r="399" customFormat="false" ht="15" hidden="false" customHeight="false" outlineLevel="0" collapsed="false">
      <c r="A399" s="32"/>
      <c r="B399" s="17" t="str">
        <f aca="false">IF(A399="","",IFERROR(INDEX(Calendario!$A$4:$A$107,MATCH(A399,Calendario!$B$4:$B$107,1)),""))</f>
        <v/>
      </c>
      <c r="C399" s="17" t="str">
        <f aca="false">IF(A399="","",YEAR(A399)&amp;"-"&amp;TEXT(MONTH(A399),"00"))</f>
        <v/>
      </c>
      <c r="D399" s="26"/>
      <c r="E399" s="26"/>
      <c r="F399" s="26"/>
      <c r="G399" s="26"/>
      <c r="H399" s="27"/>
      <c r="I399" s="29"/>
      <c r="J399" s="26"/>
      <c r="K399" s="26"/>
      <c r="L399" s="27"/>
      <c r="M399" s="26"/>
      <c r="N399" s="26"/>
      <c r="O399" s="26"/>
    </row>
    <row r="400" customFormat="false" ht="15" hidden="false" customHeight="false" outlineLevel="0" collapsed="false">
      <c r="A400" s="32"/>
      <c r="B400" s="17" t="str">
        <f aca="false">IF(A400="","",IFERROR(INDEX(Calendario!$A$4:$A$107,MATCH(A400,Calendario!$B$4:$B$107,1)),""))</f>
        <v/>
      </c>
      <c r="C400" s="17" t="str">
        <f aca="false">IF(A400="","",YEAR(A400)&amp;"-"&amp;TEXT(MONTH(A400),"00"))</f>
        <v/>
      </c>
      <c r="D400" s="26"/>
      <c r="E400" s="26"/>
      <c r="F400" s="26"/>
      <c r="G400" s="26"/>
      <c r="H400" s="27"/>
      <c r="I400" s="29"/>
      <c r="J400" s="26"/>
      <c r="K400" s="26"/>
      <c r="L400" s="27"/>
      <c r="M400" s="26"/>
      <c r="N400" s="26"/>
      <c r="O400" s="26"/>
    </row>
    <row r="401" customFormat="false" ht="15" hidden="false" customHeight="false" outlineLevel="0" collapsed="false">
      <c r="A401" s="32"/>
      <c r="B401" s="17" t="str">
        <f aca="false">IF(A401="","",IFERROR(INDEX(Calendario!$A$4:$A$107,MATCH(A401,Calendario!$B$4:$B$107,1)),""))</f>
        <v/>
      </c>
      <c r="C401" s="17" t="str">
        <f aca="false">IF(A401="","",YEAR(A401)&amp;"-"&amp;TEXT(MONTH(A401),"00"))</f>
        <v/>
      </c>
      <c r="D401" s="26"/>
      <c r="E401" s="26"/>
      <c r="F401" s="26"/>
      <c r="G401" s="26"/>
      <c r="H401" s="27"/>
      <c r="I401" s="29"/>
      <c r="J401" s="26"/>
      <c r="K401" s="26"/>
      <c r="L401" s="27"/>
      <c r="M401" s="26"/>
      <c r="N401" s="26"/>
      <c r="O401" s="26"/>
    </row>
    <row r="402" customFormat="false" ht="15" hidden="false" customHeight="false" outlineLevel="0" collapsed="false">
      <c r="A402" s="32"/>
      <c r="B402" s="17" t="str">
        <f aca="false">IF(A402="","",IFERROR(INDEX(Calendario!$A$4:$A$107,MATCH(A402,Calendario!$B$4:$B$107,1)),""))</f>
        <v/>
      </c>
      <c r="C402" s="17" t="str">
        <f aca="false">IF(A402="","",YEAR(A402)&amp;"-"&amp;TEXT(MONTH(A402),"00"))</f>
        <v/>
      </c>
      <c r="D402" s="26"/>
      <c r="E402" s="26"/>
      <c r="F402" s="26"/>
      <c r="G402" s="26"/>
      <c r="H402" s="27"/>
      <c r="I402" s="29"/>
      <c r="J402" s="26"/>
      <c r="K402" s="26"/>
      <c r="L402" s="27"/>
      <c r="M402" s="26"/>
      <c r="N402" s="26"/>
      <c r="O402" s="26"/>
    </row>
    <row r="403" customFormat="false" ht="15" hidden="false" customHeight="false" outlineLevel="0" collapsed="false">
      <c r="A403" s="32"/>
      <c r="B403" s="17" t="str">
        <f aca="false">IF(A403="","",IFERROR(INDEX(Calendario!$A$4:$A$107,MATCH(A403,Calendario!$B$4:$B$107,1)),""))</f>
        <v/>
      </c>
      <c r="C403" s="17" t="str">
        <f aca="false">IF(A403="","",YEAR(A403)&amp;"-"&amp;TEXT(MONTH(A403),"00"))</f>
        <v/>
      </c>
      <c r="D403" s="26"/>
      <c r="E403" s="26"/>
      <c r="F403" s="26"/>
      <c r="G403" s="26"/>
      <c r="H403" s="27"/>
      <c r="I403" s="29"/>
      <c r="J403" s="26"/>
      <c r="K403" s="26"/>
      <c r="L403" s="27"/>
      <c r="M403" s="26"/>
      <c r="N403" s="26"/>
      <c r="O403" s="26"/>
    </row>
    <row r="404" customFormat="false" ht="15" hidden="false" customHeight="false" outlineLevel="0" collapsed="false">
      <c r="A404" s="32"/>
      <c r="B404" s="17" t="str">
        <f aca="false">IF(A404="","",IFERROR(INDEX(Calendario!$A$4:$A$107,MATCH(A404,Calendario!$B$4:$B$107,1)),""))</f>
        <v/>
      </c>
      <c r="C404" s="17" t="str">
        <f aca="false">IF(A404="","",YEAR(A404)&amp;"-"&amp;TEXT(MONTH(A404),"00"))</f>
        <v/>
      </c>
      <c r="D404" s="26"/>
      <c r="E404" s="26"/>
      <c r="F404" s="26"/>
      <c r="G404" s="26"/>
      <c r="H404" s="27"/>
      <c r="I404" s="29"/>
      <c r="J404" s="26"/>
      <c r="K404" s="26"/>
      <c r="L404" s="27"/>
      <c r="M404" s="26"/>
      <c r="N404" s="26"/>
      <c r="O404" s="26"/>
    </row>
    <row r="405" customFormat="false" ht="15" hidden="false" customHeight="false" outlineLevel="0" collapsed="false">
      <c r="A405" s="32"/>
      <c r="B405" s="17" t="str">
        <f aca="false">IF(A405="","",IFERROR(INDEX(Calendario!$A$4:$A$107,MATCH(A405,Calendario!$B$4:$B$107,1)),""))</f>
        <v/>
      </c>
      <c r="C405" s="17" t="str">
        <f aca="false">IF(A405="","",YEAR(A405)&amp;"-"&amp;TEXT(MONTH(A405),"00"))</f>
        <v/>
      </c>
      <c r="D405" s="26"/>
      <c r="E405" s="26"/>
      <c r="F405" s="26"/>
      <c r="G405" s="26"/>
      <c r="H405" s="27"/>
      <c r="I405" s="29"/>
      <c r="J405" s="26"/>
      <c r="K405" s="26"/>
      <c r="L405" s="27"/>
      <c r="M405" s="26"/>
      <c r="N405" s="26"/>
      <c r="O405" s="26"/>
    </row>
    <row r="406" customFormat="false" ht="15" hidden="false" customHeight="false" outlineLevel="0" collapsed="false">
      <c r="A406" s="32"/>
      <c r="B406" s="17" t="str">
        <f aca="false">IF(A406="","",IFERROR(INDEX(Calendario!$A$4:$A$107,MATCH(A406,Calendario!$B$4:$B$107,1)),""))</f>
        <v/>
      </c>
      <c r="C406" s="17" t="str">
        <f aca="false">IF(A406="","",YEAR(A406)&amp;"-"&amp;TEXT(MONTH(A406),"00"))</f>
        <v/>
      </c>
      <c r="D406" s="26"/>
      <c r="E406" s="26"/>
      <c r="F406" s="26"/>
      <c r="G406" s="26"/>
      <c r="H406" s="27"/>
      <c r="I406" s="29"/>
      <c r="J406" s="26"/>
      <c r="K406" s="26"/>
      <c r="L406" s="27"/>
      <c r="M406" s="26"/>
      <c r="N406" s="26"/>
      <c r="O406" s="26"/>
    </row>
    <row r="407" customFormat="false" ht="15" hidden="false" customHeight="false" outlineLevel="0" collapsed="false">
      <c r="A407" s="32"/>
      <c r="B407" s="17" t="str">
        <f aca="false">IF(A407="","",IFERROR(INDEX(Calendario!$A$4:$A$107,MATCH(A407,Calendario!$B$4:$B$107,1)),""))</f>
        <v/>
      </c>
      <c r="C407" s="17" t="str">
        <f aca="false">IF(A407="","",YEAR(A407)&amp;"-"&amp;TEXT(MONTH(A407),"00"))</f>
        <v/>
      </c>
      <c r="D407" s="26"/>
      <c r="E407" s="26"/>
      <c r="F407" s="26"/>
      <c r="G407" s="26"/>
      <c r="H407" s="27"/>
      <c r="I407" s="29"/>
      <c r="J407" s="26"/>
      <c r="K407" s="26"/>
      <c r="L407" s="27"/>
      <c r="M407" s="26"/>
      <c r="N407" s="26"/>
      <c r="O407" s="26"/>
    </row>
    <row r="408" customFormat="false" ht="15" hidden="false" customHeight="false" outlineLevel="0" collapsed="false">
      <c r="A408" s="32"/>
      <c r="B408" s="17" t="str">
        <f aca="false">IF(A408="","",IFERROR(INDEX(Calendario!$A$4:$A$107,MATCH(A408,Calendario!$B$4:$B$107,1)),""))</f>
        <v/>
      </c>
      <c r="C408" s="17" t="str">
        <f aca="false">IF(A408="","",YEAR(A408)&amp;"-"&amp;TEXT(MONTH(A408),"00"))</f>
        <v/>
      </c>
      <c r="D408" s="26"/>
      <c r="E408" s="26"/>
      <c r="F408" s="26"/>
      <c r="G408" s="26"/>
      <c r="H408" s="27"/>
      <c r="I408" s="29"/>
      <c r="J408" s="26"/>
      <c r="K408" s="26"/>
      <c r="L408" s="27"/>
      <c r="M408" s="26"/>
      <c r="N408" s="26"/>
      <c r="O408" s="26"/>
    </row>
    <row r="409" customFormat="false" ht="15" hidden="false" customHeight="false" outlineLevel="0" collapsed="false">
      <c r="A409" s="32"/>
      <c r="B409" s="17" t="str">
        <f aca="false">IF(A409="","",IFERROR(INDEX(Calendario!$A$4:$A$107,MATCH(A409,Calendario!$B$4:$B$107,1)),""))</f>
        <v/>
      </c>
      <c r="C409" s="17" t="str">
        <f aca="false">IF(A409="","",YEAR(A409)&amp;"-"&amp;TEXT(MONTH(A409),"00"))</f>
        <v/>
      </c>
      <c r="D409" s="26"/>
      <c r="E409" s="26"/>
      <c r="F409" s="26"/>
      <c r="G409" s="26"/>
      <c r="H409" s="27"/>
      <c r="I409" s="29"/>
      <c r="J409" s="26"/>
      <c r="K409" s="26"/>
      <c r="L409" s="27"/>
      <c r="M409" s="26"/>
      <c r="N409" s="26"/>
      <c r="O409" s="26"/>
    </row>
    <row r="410" customFormat="false" ht="15" hidden="false" customHeight="false" outlineLevel="0" collapsed="false">
      <c r="A410" s="32"/>
      <c r="B410" s="17" t="str">
        <f aca="false">IF(A410="","",IFERROR(INDEX(Calendario!$A$4:$A$107,MATCH(A410,Calendario!$B$4:$B$107,1)),""))</f>
        <v/>
      </c>
      <c r="C410" s="17" t="str">
        <f aca="false">IF(A410="","",YEAR(A410)&amp;"-"&amp;TEXT(MONTH(A410),"00"))</f>
        <v/>
      </c>
      <c r="D410" s="26"/>
      <c r="E410" s="26"/>
      <c r="F410" s="26"/>
      <c r="G410" s="26"/>
      <c r="H410" s="27"/>
      <c r="I410" s="29"/>
      <c r="J410" s="26"/>
      <c r="K410" s="26"/>
      <c r="L410" s="27"/>
      <c r="M410" s="26"/>
      <c r="N410" s="26"/>
      <c r="O410" s="26"/>
    </row>
    <row r="411" customFormat="false" ht="15" hidden="false" customHeight="false" outlineLevel="0" collapsed="false">
      <c r="A411" s="32"/>
      <c r="B411" s="17" t="str">
        <f aca="false">IF(A411="","",IFERROR(INDEX(Calendario!$A$4:$A$107,MATCH(A411,Calendario!$B$4:$B$107,1)),""))</f>
        <v/>
      </c>
      <c r="C411" s="17" t="str">
        <f aca="false">IF(A411="","",YEAR(A411)&amp;"-"&amp;TEXT(MONTH(A411),"00"))</f>
        <v/>
      </c>
      <c r="D411" s="26"/>
      <c r="E411" s="26"/>
      <c r="F411" s="26"/>
      <c r="G411" s="26"/>
      <c r="H411" s="27"/>
      <c r="I411" s="29"/>
      <c r="J411" s="26"/>
      <c r="K411" s="26"/>
      <c r="L411" s="27"/>
      <c r="M411" s="26"/>
      <c r="N411" s="26"/>
      <c r="O411" s="26"/>
    </row>
    <row r="412" customFormat="false" ht="15" hidden="false" customHeight="false" outlineLevel="0" collapsed="false">
      <c r="A412" s="32"/>
      <c r="B412" s="17" t="str">
        <f aca="false">IF(A412="","",IFERROR(INDEX(Calendario!$A$4:$A$107,MATCH(A412,Calendario!$B$4:$B$107,1)),""))</f>
        <v/>
      </c>
      <c r="C412" s="17" t="str">
        <f aca="false">IF(A412="","",YEAR(A412)&amp;"-"&amp;TEXT(MONTH(A412),"00"))</f>
        <v/>
      </c>
      <c r="D412" s="26"/>
      <c r="E412" s="26"/>
      <c r="F412" s="26"/>
      <c r="G412" s="26"/>
      <c r="H412" s="27"/>
      <c r="I412" s="29"/>
      <c r="J412" s="26"/>
      <c r="K412" s="26"/>
      <c r="L412" s="27"/>
      <c r="M412" s="26"/>
      <c r="N412" s="26"/>
      <c r="O412" s="26"/>
    </row>
    <row r="413" customFormat="false" ht="15" hidden="false" customHeight="false" outlineLevel="0" collapsed="false">
      <c r="A413" s="32"/>
      <c r="B413" s="17" t="str">
        <f aca="false">IF(A413="","",IFERROR(INDEX(Calendario!$A$4:$A$107,MATCH(A413,Calendario!$B$4:$B$107,1)),""))</f>
        <v/>
      </c>
      <c r="C413" s="17" t="str">
        <f aca="false">IF(A413="","",YEAR(A413)&amp;"-"&amp;TEXT(MONTH(A413),"00"))</f>
        <v/>
      </c>
      <c r="D413" s="26"/>
      <c r="E413" s="26"/>
      <c r="F413" s="26"/>
      <c r="G413" s="26"/>
      <c r="H413" s="27"/>
      <c r="I413" s="29"/>
      <c r="J413" s="26"/>
      <c r="K413" s="26"/>
      <c r="L413" s="27"/>
      <c r="M413" s="26"/>
      <c r="N413" s="26"/>
      <c r="O413" s="26"/>
    </row>
    <row r="414" customFormat="false" ht="15" hidden="false" customHeight="false" outlineLevel="0" collapsed="false">
      <c r="A414" s="32"/>
      <c r="B414" s="17" t="str">
        <f aca="false">IF(A414="","",IFERROR(INDEX(Calendario!$A$4:$A$107,MATCH(A414,Calendario!$B$4:$B$107,1)),""))</f>
        <v/>
      </c>
      <c r="C414" s="17" t="str">
        <f aca="false">IF(A414="","",YEAR(A414)&amp;"-"&amp;TEXT(MONTH(A414),"00"))</f>
        <v/>
      </c>
      <c r="D414" s="26"/>
      <c r="E414" s="26"/>
      <c r="F414" s="26"/>
      <c r="G414" s="26"/>
      <c r="H414" s="27"/>
      <c r="I414" s="29"/>
      <c r="J414" s="26"/>
      <c r="K414" s="26"/>
      <c r="L414" s="27"/>
      <c r="M414" s="26"/>
      <c r="N414" s="26"/>
      <c r="O414" s="26"/>
    </row>
    <row r="415" customFormat="false" ht="15" hidden="false" customHeight="false" outlineLevel="0" collapsed="false">
      <c r="A415" s="32"/>
      <c r="B415" s="17" t="str">
        <f aca="false">IF(A415="","",IFERROR(INDEX(Calendario!$A$4:$A$107,MATCH(A415,Calendario!$B$4:$B$107,1)),""))</f>
        <v/>
      </c>
      <c r="C415" s="17" t="str">
        <f aca="false">IF(A415="","",YEAR(A415)&amp;"-"&amp;TEXT(MONTH(A415),"00"))</f>
        <v/>
      </c>
      <c r="D415" s="26"/>
      <c r="E415" s="26"/>
      <c r="F415" s="26"/>
      <c r="G415" s="26"/>
      <c r="H415" s="27"/>
      <c r="I415" s="29"/>
      <c r="J415" s="26"/>
      <c r="K415" s="26"/>
      <c r="L415" s="27"/>
      <c r="M415" s="26"/>
      <c r="N415" s="26"/>
      <c r="O415" s="26"/>
    </row>
    <row r="416" customFormat="false" ht="15" hidden="false" customHeight="false" outlineLevel="0" collapsed="false">
      <c r="A416" s="32"/>
      <c r="B416" s="17" t="str">
        <f aca="false">IF(A416="","",IFERROR(INDEX(Calendario!$A$4:$A$107,MATCH(A416,Calendario!$B$4:$B$107,1)),""))</f>
        <v/>
      </c>
      <c r="C416" s="17" t="str">
        <f aca="false">IF(A416="","",YEAR(A416)&amp;"-"&amp;TEXT(MONTH(A416),"00"))</f>
        <v/>
      </c>
      <c r="D416" s="26"/>
      <c r="E416" s="26"/>
      <c r="F416" s="26"/>
      <c r="G416" s="26"/>
      <c r="H416" s="27"/>
      <c r="I416" s="29"/>
      <c r="J416" s="26"/>
      <c r="K416" s="26"/>
      <c r="L416" s="27"/>
      <c r="M416" s="26"/>
      <c r="N416" s="26"/>
      <c r="O416" s="26"/>
    </row>
    <row r="417" customFormat="false" ht="15" hidden="false" customHeight="false" outlineLevel="0" collapsed="false">
      <c r="A417" s="32"/>
      <c r="B417" s="17" t="str">
        <f aca="false">IF(A417="","",IFERROR(INDEX(Calendario!$A$4:$A$107,MATCH(A417,Calendario!$B$4:$B$107,1)),""))</f>
        <v/>
      </c>
      <c r="C417" s="17" t="str">
        <f aca="false">IF(A417="","",YEAR(A417)&amp;"-"&amp;TEXT(MONTH(A417),"00"))</f>
        <v/>
      </c>
      <c r="D417" s="26"/>
      <c r="E417" s="26"/>
      <c r="F417" s="26"/>
      <c r="G417" s="26"/>
      <c r="H417" s="27"/>
      <c r="I417" s="29"/>
      <c r="J417" s="26"/>
      <c r="K417" s="26"/>
      <c r="L417" s="27"/>
      <c r="M417" s="26"/>
      <c r="N417" s="26"/>
      <c r="O417" s="26"/>
    </row>
    <row r="418" customFormat="false" ht="15" hidden="false" customHeight="false" outlineLevel="0" collapsed="false">
      <c r="A418" s="32"/>
      <c r="B418" s="17" t="str">
        <f aca="false">IF(A418="","",IFERROR(INDEX(Calendario!$A$4:$A$107,MATCH(A418,Calendario!$B$4:$B$107,1)),""))</f>
        <v/>
      </c>
      <c r="C418" s="17" t="str">
        <f aca="false">IF(A418="","",YEAR(A418)&amp;"-"&amp;TEXT(MONTH(A418),"00"))</f>
        <v/>
      </c>
      <c r="D418" s="26"/>
      <c r="E418" s="26"/>
      <c r="F418" s="26"/>
      <c r="G418" s="26"/>
      <c r="H418" s="27"/>
      <c r="I418" s="29"/>
      <c r="J418" s="26"/>
      <c r="K418" s="26"/>
      <c r="L418" s="27"/>
      <c r="M418" s="26"/>
      <c r="N418" s="26"/>
      <c r="O418" s="26"/>
    </row>
    <row r="419" customFormat="false" ht="15" hidden="false" customHeight="false" outlineLevel="0" collapsed="false">
      <c r="A419" s="32"/>
      <c r="B419" s="17" t="str">
        <f aca="false">IF(A419="","",IFERROR(INDEX(Calendario!$A$4:$A$107,MATCH(A419,Calendario!$B$4:$B$107,1)),""))</f>
        <v/>
      </c>
      <c r="C419" s="17" t="str">
        <f aca="false">IF(A419="","",YEAR(A419)&amp;"-"&amp;TEXT(MONTH(A419),"00"))</f>
        <v/>
      </c>
      <c r="D419" s="26"/>
      <c r="E419" s="26"/>
      <c r="F419" s="26"/>
      <c r="G419" s="26"/>
      <c r="H419" s="27"/>
      <c r="I419" s="29"/>
      <c r="J419" s="26"/>
      <c r="K419" s="26"/>
      <c r="L419" s="27"/>
      <c r="M419" s="26"/>
      <c r="N419" s="26"/>
      <c r="O419" s="26"/>
    </row>
    <row r="420" customFormat="false" ht="15" hidden="false" customHeight="false" outlineLevel="0" collapsed="false">
      <c r="A420" s="32"/>
      <c r="B420" s="17" t="str">
        <f aca="false">IF(A420="","",IFERROR(INDEX(Calendario!$A$4:$A$107,MATCH(A420,Calendario!$B$4:$B$107,1)),""))</f>
        <v/>
      </c>
      <c r="C420" s="17" t="str">
        <f aca="false">IF(A420="","",YEAR(A420)&amp;"-"&amp;TEXT(MONTH(A420),"00"))</f>
        <v/>
      </c>
      <c r="D420" s="26"/>
      <c r="E420" s="26"/>
      <c r="F420" s="26"/>
      <c r="G420" s="26"/>
      <c r="H420" s="27"/>
      <c r="I420" s="29"/>
      <c r="J420" s="26"/>
      <c r="K420" s="26"/>
      <c r="L420" s="27"/>
      <c r="M420" s="26"/>
      <c r="N420" s="26"/>
      <c r="O420" s="26"/>
    </row>
    <row r="421" customFormat="false" ht="15" hidden="false" customHeight="false" outlineLevel="0" collapsed="false">
      <c r="A421" s="32"/>
      <c r="B421" s="17" t="str">
        <f aca="false">IF(A421="","",IFERROR(INDEX(Calendario!$A$4:$A$107,MATCH(A421,Calendario!$B$4:$B$107,1)),""))</f>
        <v/>
      </c>
      <c r="C421" s="17" t="str">
        <f aca="false">IF(A421="","",YEAR(A421)&amp;"-"&amp;TEXT(MONTH(A421),"00"))</f>
        <v/>
      </c>
      <c r="D421" s="26"/>
      <c r="E421" s="26"/>
      <c r="F421" s="26"/>
      <c r="G421" s="26"/>
      <c r="H421" s="27"/>
      <c r="I421" s="29"/>
      <c r="J421" s="26"/>
      <c r="K421" s="26"/>
      <c r="L421" s="27"/>
      <c r="M421" s="26"/>
      <c r="N421" s="26"/>
      <c r="O421" s="26"/>
    </row>
    <row r="422" customFormat="false" ht="15" hidden="false" customHeight="false" outlineLevel="0" collapsed="false">
      <c r="A422" s="32"/>
      <c r="B422" s="17" t="str">
        <f aca="false">IF(A422="","",IFERROR(INDEX(Calendario!$A$4:$A$107,MATCH(A422,Calendario!$B$4:$B$107,1)),""))</f>
        <v/>
      </c>
      <c r="C422" s="17" t="str">
        <f aca="false">IF(A422="","",YEAR(A422)&amp;"-"&amp;TEXT(MONTH(A422),"00"))</f>
        <v/>
      </c>
      <c r="D422" s="26"/>
      <c r="E422" s="26"/>
      <c r="F422" s="26"/>
      <c r="G422" s="26"/>
      <c r="H422" s="27"/>
      <c r="I422" s="29"/>
      <c r="J422" s="26"/>
      <c r="K422" s="26"/>
      <c r="L422" s="27"/>
      <c r="M422" s="26"/>
      <c r="N422" s="26"/>
      <c r="O422" s="26"/>
    </row>
    <row r="423" customFormat="false" ht="15" hidden="false" customHeight="false" outlineLevel="0" collapsed="false">
      <c r="A423" s="32"/>
      <c r="B423" s="17" t="str">
        <f aca="false">IF(A423="","",IFERROR(INDEX(Calendario!$A$4:$A$107,MATCH(A423,Calendario!$B$4:$B$107,1)),""))</f>
        <v/>
      </c>
      <c r="C423" s="17" t="str">
        <f aca="false">IF(A423="","",YEAR(A423)&amp;"-"&amp;TEXT(MONTH(A423),"00"))</f>
        <v/>
      </c>
      <c r="D423" s="26"/>
      <c r="E423" s="26"/>
      <c r="F423" s="26"/>
      <c r="G423" s="26"/>
      <c r="H423" s="27"/>
      <c r="I423" s="29"/>
      <c r="J423" s="26"/>
      <c r="K423" s="26"/>
      <c r="L423" s="27"/>
      <c r="M423" s="26"/>
      <c r="N423" s="26"/>
      <c r="O423" s="26"/>
    </row>
    <row r="424" customFormat="false" ht="15" hidden="false" customHeight="false" outlineLevel="0" collapsed="false">
      <c r="A424" s="32"/>
      <c r="B424" s="17" t="str">
        <f aca="false">IF(A424="","",IFERROR(INDEX(Calendario!$A$4:$A$107,MATCH(A424,Calendario!$B$4:$B$107,1)),""))</f>
        <v/>
      </c>
      <c r="C424" s="17" t="str">
        <f aca="false">IF(A424="","",YEAR(A424)&amp;"-"&amp;TEXT(MONTH(A424),"00"))</f>
        <v/>
      </c>
      <c r="D424" s="26"/>
      <c r="E424" s="26"/>
      <c r="F424" s="26"/>
      <c r="G424" s="26"/>
      <c r="H424" s="27"/>
      <c r="I424" s="29"/>
      <c r="J424" s="26"/>
      <c r="K424" s="26"/>
      <c r="L424" s="27"/>
      <c r="M424" s="26"/>
      <c r="N424" s="26"/>
      <c r="O424" s="26"/>
    </row>
    <row r="425" customFormat="false" ht="15" hidden="false" customHeight="false" outlineLevel="0" collapsed="false">
      <c r="A425" s="32"/>
      <c r="B425" s="17" t="str">
        <f aca="false">IF(A425="","",IFERROR(INDEX(Calendario!$A$4:$A$107,MATCH(A425,Calendario!$B$4:$B$107,1)),""))</f>
        <v/>
      </c>
      <c r="C425" s="17" t="str">
        <f aca="false">IF(A425="","",YEAR(A425)&amp;"-"&amp;TEXT(MONTH(A425),"00"))</f>
        <v/>
      </c>
      <c r="D425" s="26"/>
      <c r="E425" s="26"/>
      <c r="F425" s="26"/>
      <c r="G425" s="26"/>
      <c r="H425" s="27"/>
      <c r="I425" s="29"/>
      <c r="J425" s="26"/>
      <c r="K425" s="26"/>
      <c r="L425" s="27"/>
      <c r="M425" s="26"/>
      <c r="N425" s="26"/>
      <c r="O425" s="26"/>
    </row>
    <row r="426" customFormat="false" ht="15" hidden="false" customHeight="false" outlineLevel="0" collapsed="false">
      <c r="A426" s="32"/>
      <c r="B426" s="17" t="str">
        <f aca="false">IF(A426="","",IFERROR(INDEX(Calendario!$A$4:$A$107,MATCH(A426,Calendario!$B$4:$B$107,1)),""))</f>
        <v/>
      </c>
      <c r="C426" s="17" t="str">
        <f aca="false">IF(A426="","",YEAR(A426)&amp;"-"&amp;TEXT(MONTH(A426),"00"))</f>
        <v/>
      </c>
      <c r="D426" s="26"/>
      <c r="E426" s="26"/>
      <c r="F426" s="26"/>
      <c r="G426" s="26"/>
      <c r="H426" s="27"/>
      <c r="I426" s="29"/>
      <c r="J426" s="26"/>
      <c r="K426" s="26"/>
      <c r="L426" s="27"/>
      <c r="M426" s="26"/>
      <c r="N426" s="26"/>
      <c r="O426" s="26"/>
    </row>
    <row r="427" customFormat="false" ht="15" hidden="false" customHeight="false" outlineLevel="0" collapsed="false">
      <c r="A427" s="32"/>
      <c r="B427" s="17" t="str">
        <f aca="false">IF(A427="","",IFERROR(INDEX(Calendario!$A$4:$A$107,MATCH(A427,Calendario!$B$4:$B$107,1)),""))</f>
        <v/>
      </c>
      <c r="C427" s="17" t="str">
        <f aca="false">IF(A427="","",YEAR(A427)&amp;"-"&amp;TEXT(MONTH(A427),"00"))</f>
        <v/>
      </c>
      <c r="D427" s="26"/>
      <c r="E427" s="26"/>
      <c r="F427" s="26"/>
      <c r="G427" s="26"/>
      <c r="H427" s="27"/>
      <c r="I427" s="29"/>
      <c r="J427" s="26"/>
      <c r="K427" s="26"/>
      <c r="L427" s="27"/>
      <c r="M427" s="26"/>
      <c r="N427" s="26"/>
      <c r="O427" s="26"/>
    </row>
    <row r="428" customFormat="false" ht="15" hidden="false" customHeight="false" outlineLevel="0" collapsed="false">
      <c r="A428" s="32"/>
      <c r="B428" s="17" t="str">
        <f aca="false">IF(A428="","",IFERROR(INDEX(Calendario!$A$4:$A$107,MATCH(A428,Calendario!$B$4:$B$107,1)),""))</f>
        <v/>
      </c>
      <c r="C428" s="17" t="str">
        <f aca="false">IF(A428="","",YEAR(A428)&amp;"-"&amp;TEXT(MONTH(A428),"00"))</f>
        <v/>
      </c>
      <c r="D428" s="26"/>
      <c r="E428" s="26"/>
      <c r="F428" s="26"/>
      <c r="G428" s="26"/>
      <c r="H428" s="27"/>
      <c r="I428" s="29"/>
      <c r="J428" s="26"/>
      <c r="K428" s="26"/>
      <c r="L428" s="27"/>
      <c r="M428" s="26"/>
      <c r="N428" s="26"/>
      <c r="O428" s="26"/>
    </row>
    <row r="429" customFormat="false" ht="15" hidden="false" customHeight="false" outlineLevel="0" collapsed="false">
      <c r="A429" s="32"/>
      <c r="B429" s="17" t="str">
        <f aca="false">IF(A429="","",IFERROR(INDEX(Calendario!$A$4:$A$107,MATCH(A429,Calendario!$B$4:$B$107,1)),""))</f>
        <v/>
      </c>
      <c r="C429" s="17" t="str">
        <f aca="false">IF(A429="","",YEAR(A429)&amp;"-"&amp;TEXT(MONTH(A429),"00"))</f>
        <v/>
      </c>
      <c r="D429" s="26"/>
      <c r="E429" s="26"/>
      <c r="F429" s="26"/>
      <c r="G429" s="26"/>
      <c r="H429" s="27"/>
      <c r="I429" s="29"/>
      <c r="J429" s="26"/>
      <c r="K429" s="26"/>
      <c r="L429" s="27"/>
      <c r="M429" s="26"/>
      <c r="N429" s="26"/>
      <c r="O429" s="26"/>
    </row>
    <row r="430" customFormat="false" ht="15" hidden="false" customHeight="false" outlineLevel="0" collapsed="false">
      <c r="A430" s="32"/>
      <c r="B430" s="17" t="str">
        <f aca="false">IF(A430="","",IFERROR(INDEX(Calendario!$A$4:$A$107,MATCH(A430,Calendario!$B$4:$B$107,1)),""))</f>
        <v/>
      </c>
      <c r="C430" s="17" t="str">
        <f aca="false">IF(A430="","",YEAR(A430)&amp;"-"&amp;TEXT(MONTH(A430),"00"))</f>
        <v/>
      </c>
      <c r="D430" s="26"/>
      <c r="E430" s="26"/>
      <c r="F430" s="26"/>
      <c r="G430" s="26"/>
      <c r="H430" s="27"/>
      <c r="I430" s="29"/>
      <c r="J430" s="26"/>
      <c r="K430" s="26"/>
      <c r="L430" s="27"/>
      <c r="M430" s="26"/>
      <c r="N430" s="26"/>
      <c r="O430" s="26"/>
    </row>
    <row r="431" customFormat="false" ht="15" hidden="false" customHeight="false" outlineLevel="0" collapsed="false">
      <c r="A431" s="32"/>
      <c r="B431" s="17" t="str">
        <f aca="false">IF(A431="","",IFERROR(INDEX(Calendario!$A$4:$A$107,MATCH(A431,Calendario!$B$4:$B$107,1)),""))</f>
        <v/>
      </c>
      <c r="C431" s="17" t="str">
        <f aca="false">IF(A431="","",YEAR(A431)&amp;"-"&amp;TEXT(MONTH(A431),"00"))</f>
        <v/>
      </c>
      <c r="D431" s="26"/>
      <c r="E431" s="26"/>
      <c r="F431" s="26"/>
      <c r="G431" s="26"/>
      <c r="H431" s="27"/>
      <c r="I431" s="29"/>
      <c r="J431" s="26"/>
      <c r="K431" s="26"/>
      <c r="L431" s="27"/>
      <c r="M431" s="26"/>
      <c r="N431" s="26"/>
      <c r="O431" s="26"/>
    </row>
    <row r="432" customFormat="false" ht="15" hidden="false" customHeight="false" outlineLevel="0" collapsed="false">
      <c r="A432" s="32"/>
      <c r="B432" s="17" t="str">
        <f aca="false">IF(A432="","",IFERROR(INDEX(Calendario!$A$4:$A$107,MATCH(A432,Calendario!$B$4:$B$107,1)),""))</f>
        <v/>
      </c>
      <c r="C432" s="17" t="str">
        <f aca="false">IF(A432="","",YEAR(A432)&amp;"-"&amp;TEXT(MONTH(A432),"00"))</f>
        <v/>
      </c>
      <c r="D432" s="26"/>
      <c r="E432" s="26"/>
      <c r="F432" s="26"/>
      <c r="G432" s="26"/>
      <c r="H432" s="27"/>
      <c r="I432" s="29"/>
      <c r="J432" s="26"/>
      <c r="K432" s="26"/>
      <c r="L432" s="27"/>
      <c r="M432" s="26"/>
      <c r="N432" s="26"/>
      <c r="O432" s="26"/>
    </row>
    <row r="433" customFormat="false" ht="15" hidden="false" customHeight="false" outlineLevel="0" collapsed="false">
      <c r="A433" s="32"/>
      <c r="B433" s="17" t="str">
        <f aca="false">IF(A433="","",IFERROR(INDEX(Calendario!$A$4:$A$107,MATCH(A433,Calendario!$B$4:$B$107,1)),""))</f>
        <v/>
      </c>
      <c r="C433" s="17" t="str">
        <f aca="false">IF(A433="","",YEAR(A433)&amp;"-"&amp;TEXT(MONTH(A433),"00"))</f>
        <v/>
      </c>
      <c r="D433" s="26"/>
      <c r="E433" s="26"/>
      <c r="F433" s="26"/>
      <c r="G433" s="26"/>
      <c r="H433" s="27"/>
      <c r="I433" s="29"/>
      <c r="J433" s="26"/>
      <c r="K433" s="26"/>
      <c r="L433" s="27"/>
      <c r="M433" s="26"/>
      <c r="N433" s="26"/>
      <c r="O433" s="26"/>
    </row>
    <row r="434" customFormat="false" ht="15" hidden="false" customHeight="false" outlineLevel="0" collapsed="false">
      <c r="A434" s="32"/>
      <c r="B434" s="17" t="str">
        <f aca="false">IF(A434="","",IFERROR(INDEX(Calendario!$A$4:$A$107,MATCH(A434,Calendario!$B$4:$B$107,1)),""))</f>
        <v/>
      </c>
      <c r="C434" s="17" t="str">
        <f aca="false">IF(A434="","",YEAR(A434)&amp;"-"&amp;TEXT(MONTH(A434),"00"))</f>
        <v/>
      </c>
      <c r="D434" s="26"/>
      <c r="E434" s="26"/>
      <c r="F434" s="26"/>
      <c r="G434" s="26"/>
      <c r="H434" s="27"/>
      <c r="I434" s="29"/>
      <c r="J434" s="26"/>
      <c r="K434" s="26"/>
      <c r="L434" s="27"/>
      <c r="M434" s="26"/>
      <c r="N434" s="26"/>
      <c r="O434" s="26"/>
    </row>
    <row r="435" customFormat="false" ht="15" hidden="false" customHeight="false" outlineLevel="0" collapsed="false">
      <c r="A435" s="32"/>
      <c r="B435" s="17" t="str">
        <f aca="false">IF(A435="","",IFERROR(INDEX(Calendario!$A$4:$A$107,MATCH(A435,Calendario!$B$4:$B$107,1)),""))</f>
        <v/>
      </c>
      <c r="C435" s="17" t="str">
        <f aca="false">IF(A435="","",YEAR(A435)&amp;"-"&amp;TEXT(MONTH(A435),"00"))</f>
        <v/>
      </c>
      <c r="D435" s="26"/>
      <c r="E435" s="26"/>
      <c r="F435" s="26"/>
      <c r="G435" s="26"/>
      <c r="H435" s="27"/>
      <c r="I435" s="29"/>
      <c r="J435" s="26"/>
      <c r="K435" s="26"/>
      <c r="L435" s="27"/>
      <c r="M435" s="26"/>
      <c r="N435" s="26"/>
      <c r="O435" s="26"/>
    </row>
    <row r="436" customFormat="false" ht="15" hidden="false" customHeight="false" outlineLevel="0" collapsed="false">
      <c r="A436" s="32"/>
      <c r="B436" s="17" t="str">
        <f aca="false">IF(A436="","",IFERROR(INDEX(Calendario!$A$4:$A$107,MATCH(A436,Calendario!$B$4:$B$107,1)),""))</f>
        <v/>
      </c>
      <c r="C436" s="17" t="str">
        <f aca="false">IF(A436="","",YEAR(A436)&amp;"-"&amp;TEXT(MONTH(A436),"00"))</f>
        <v/>
      </c>
      <c r="D436" s="26"/>
      <c r="E436" s="26"/>
      <c r="F436" s="26"/>
      <c r="G436" s="26"/>
      <c r="H436" s="27"/>
      <c r="I436" s="29"/>
      <c r="J436" s="26"/>
      <c r="K436" s="26"/>
      <c r="L436" s="27"/>
      <c r="M436" s="26"/>
      <c r="N436" s="26"/>
      <c r="O436" s="26"/>
    </row>
    <row r="437" customFormat="false" ht="15" hidden="false" customHeight="false" outlineLevel="0" collapsed="false">
      <c r="A437" s="32"/>
      <c r="B437" s="17" t="str">
        <f aca="false">IF(A437="","",IFERROR(INDEX(Calendario!$A$4:$A$107,MATCH(A437,Calendario!$B$4:$B$107,1)),""))</f>
        <v/>
      </c>
      <c r="C437" s="17" t="str">
        <f aca="false">IF(A437="","",YEAR(A437)&amp;"-"&amp;TEXT(MONTH(A437),"00"))</f>
        <v/>
      </c>
      <c r="D437" s="26"/>
      <c r="E437" s="26"/>
      <c r="F437" s="26"/>
      <c r="G437" s="26"/>
      <c r="H437" s="27"/>
      <c r="I437" s="29"/>
      <c r="J437" s="26"/>
      <c r="K437" s="26"/>
      <c r="L437" s="27"/>
      <c r="M437" s="26"/>
      <c r="N437" s="26"/>
      <c r="O437" s="26"/>
    </row>
    <row r="438" customFormat="false" ht="15" hidden="false" customHeight="false" outlineLevel="0" collapsed="false">
      <c r="A438" s="32"/>
      <c r="B438" s="17" t="str">
        <f aca="false">IF(A438="","",IFERROR(INDEX(Calendario!$A$4:$A$107,MATCH(A438,Calendario!$B$4:$B$107,1)),""))</f>
        <v/>
      </c>
      <c r="C438" s="17" t="str">
        <f aca="false">IF(A438="","",YEAR(A438)&amp;"-"&amp;TEXT(MONTH(A438),"00"))</f>
        <v/>
      </c>
      <c r="D438" s="26"/>
      <c r="E438" s="26"/>
      <c r="F438" s="26"/>
      <c r="G438" s="26"/>
      <c r="H438" s="27"/>
      <c r="I438" s="29"/>
      <c r="J438" s="26"/>
      <c r="K438" s="26"/>
      <c r="L438" s="27"/>
      <c r="M438" s="26"/>
      <c r="N438" s="26"/>
      <c r="O438" s="26"/>
    </row>
    <row r="439" customFormat="false" ht="15" hidden="false" customHeight="false" outlineLevel="0" collapsed="false">
      <c r="A439" s="32"/>
      <c r="B439" s="17" t="str">
        <f aca="false">IF(A439="","",IFERROR(INDEX(Calendario!$A$4:$A$107,MATCH(A439,Calendario!$B$4:$B$107,1)),""))</f>
        <v/>
      </c>
      <c r="C439" s="17" t="str">
        <f aca="false">IF(A439="","",YEAR(A439)&amp;"-"&amp;TEXT(MONTH(A439),"00"))</f>
        <v/>
      </c>
      <c r="D439" s="26"/>
      <c r="E439" s="26"/>
      <c r="F439" s="26"/>
      <c r="G439" s="26"/>
      <c r="H439" s="27"/>
      <c r="I439" s="29"/>
      <c r="J439" s="26"/>
      <c r="K439" s="26"/>
      <c r="L439" s="27"/>
      <c r="M439" s="26"/>
      <c r="N439" s="26"/>
      <c r="O439" s="26"/>
    </row>
    <row r="440" customFormat="false" ht="15" hidden="false" customHeight="false" outlineLevel="0" collapsed="false">
      <c r="A440" s="32"/>
      <c r="B440" s="17" t="str">
        <f aca="false">IF(A440="","",IFERROR(INDEX(Calendario!$A$4:$A$107,MATCH(A440,Calendario!$B$4:$B$107,1)),""))</f>
        <v/>
      </c>
      <c r="C440" s="17" t="str">
        <f aca="false">IF(A440="","",YEAR(A440)&amp;"-"&amp;TEXT(MONTH(A440),"00"))</f>
        <v/>
      </c>
      <c r="D440" s="26"/>
      <c r="E440" s="26"/>
      <c r="F440" s="26"/>
      <c r="G440" s="26"/>
      <c r="H440" s="27"/>
      <c r="I440" s="29"/>
      <c r="J440" s="26"/>
      <c r="K440" s="26"/>
      <c r="L440" s="27"/>
      <c r="M440" s="26"/>
      <c r="N440" s="26"/>
      <c r="O440" s="26"/>
    </row>
    <row r="441" customFormat="false" ht="15" hidden="false" customHeight="false" outlineLevel="0" collapsed="false">
      <c r="A441" s="32"/>
      <c r="B441" s="17" t="str">
        <f aca="false">IF(A441="","",IFERROR(INDEX(Calendario!$A$4:$A$107,MATCH(A441,Calendario!$B$4:$B$107,1)),""))</f>
        <v/>
      </c>
      <c r="C441" s="17" t="str">
        <f aca="false">IF(A441="","",YEAR(A441)&amp;"-"&amp;TEXT(MONTH(A441),"00"))</f>
        <v/>
      </c>
      <c r="D441" s="26"/>
      <c r="E441" s="26"/>
      <c r="F441" s="26"/>
      <c r="G441" s="26"/>
      <c r="H441" s="27"/>
      <c r="I441" s="29"/>
      <c r="J441" s="26"/>
      <c r="K441" s="26"/>
      <c r="L441" s="27"/>
      <c r="M441" s="26"/>
      <c r="N441" s="26"/>
      <c r="O441" s="26"/>
    </row>
    <row r="442" customFormat="false" ht="15" hidden="false" customHeight="false" outlineLevel="0" collapsed="false">
      <c r="A442" s="32"/>
      <c r="B442" s="17" t="str">
        <f aca="false">IF(A442="","",IFERROR(INDEX(Calendario!$A$4:$A$107,MATCH(A442,Calendario!$B$4:$B$107,1)),""))</f>
        <v/>
      </c>
      <c r="C442" s="17" t="str">
        <f aca="false">IF(A442="","",YEAR(A442)&amp;"-"&amp;TEXT(MONTH(A442),"00"))</f>
        <v/>
      </c>
      <c r="D442" s="26"/>
      <c r="E442" s="26"/>
      <c r="F442" s="26"/>
      <c r="G442" s="26"/>
      <c r="H442" s="27"/>
      <c r="I442" s="29"/>
      <c r="J442" s="26"/>
      <c r="K442" s="26"/>
      <c r="L442" s="27"/>
      <c r="M442" s="26"/>
      <c r="N442" s="26"/>
      <c r="O442" s="26"/>
    </row>
    <row r="443" customFormat="false" ht="15" hidden="false" customHeight="false" outlineLevel="0" collapsed="false">
      <c r="A443" s="32"/>
      <c r="B443" s="17" t="str">
        <f aca="false">IF(A443="","",IFERROR(INDEX(Calendario!$A$4:$A$107,MATCH(A443,Calendario!$B$4:$B$107,1)),""))</f>
        <v/>
      </c>
      <c r="C443" s="17" t="str">
        <f aca="false">IF(A443="","",YEAR(A443)&amp;"-"&amp;TEXT(MONTH(A443),"00"))</f>
        <v/>
      </c>
      <c r="D443" s="26"/>
      <c r="E443" s="26"/>
      <c r="F443" s="26"/>
      <c r="G443" s="26"/>
      <c r="H443" s="27"/>
      <c r="I443" s="29"/>
      <c r="J443" s="26"/>
      <c r="K443" s="26"/>
      <c r="L443" s="27"/>
      <c r="M443" s="26"/>
      <c r="N443" s="26"/>
      <c r="O443" s="26"/>
    </row>
    <row r="444" customFormat="false" ht="15" hidden="false" customHeight="false" outlineLevel="0" collapsed="false">
      <c r="A444" s="32"/>
      <c r="B444" s="17" t="str">
        <f aca="false">IF(A444="","",IFERROR(INDEX(Calendario!$A$4:$A$107,MATCH(A444,Calendario!$B$4:$B$107,1)),""))</f>
        <v/>
      </c>
      <c r="C444" s="17" t="str">
        <f aca="false">IF(A444="","",YEAR(A444)&amp;"-"&amp;TEXT(MONTH(A444),"00"))</f>
        <v/>
      </c>
      <c r="D444" s="26"/>
      <c r="E444" s="26"/>
      <c r="F444" s="26"/>
      <c r="G444" s="26"/>
      <c r="H444" s="27"/>
      <c r="I444" s="29"/>
      <c r="J444" s="26"/>
      <c r="K444" s="26"/>
      <c r="L444" s="27"/>
      <c r="M444" s="26"/>
      <c r="N444" s="26"/>
      <c r="O444" s="26"/>
    </row>
    <row r="445" customFormat="false" ht="15" hidden="false" customHeight="false" outlineLevel="0" collapsed="false">
      <c r="A445" s="32"/>
      <c r="B445" s="17" t="str">
        <f aca="false">IF(A445="","",IFERROR(INDEX(Calendario!$A$4:$A$107,MATCH(A445,Calendario!$B$4:$B$107,1)),""))</f>
        <v/>
      </c>
      <c r="C445" s="17" t="str">
        <f aca="false">IF(A445="","",YEAR(A445)&amp;"-"&amp;TEXT(MONTH(A445),"00"))</f>
        <v/>
      </c>
      <c r="D445" s="26"/>
      <c r="E445" s="26"/>
      <c r="F445" s="26"/>
      <c r="G445" s="26"/>
      <c r="H445" s="27"/>
      <c r="I445" s="29"/>
      <c r="J445" s="26"/>
      <c r="K445" s="26"/>
      <c r="L445" s="27"/>
      <c r="M445" s="26"/>
      <c r="N445" s="26"/>
      <c r="O445" s="26"/>
    </row>
    <row r="446" customFormat="false" ht="15" hidden="false" customHeight="false" outlineLevel="0" collapsed="false">
      <c r="A446" s="32"/>
      <c r="B446" s="17" t="str">
        <f aca="false">IF(A446="","",IFERROR(INDEX(Calendario!$A$4:$A$107,MATCH(A446,Calendario!$B$4:$B$107,1)),""))</f>
        <v/>
      </c>
      <c r="C446" s="17" t="str">
        <f aca="false">IF(A446="","",YEAR(A446)&amp;"-"&amp;TEXT(MONTH(A446),"00"))</f>
        <v/>
      </c>
      <c r="D446" s="26"/>
      <c r="E446" s="26"/>
      <c r="F446" s="26"/>
      <c r="G446" s="26"/>
      <c r="H446" s="27"/>
      <c r="I446" s="29"/>
      <c r="J446" s="26"/>
      <c r="K446" s="26"/>
      <c r="L446" s="27"/>
      <c r="M446" s="26"/>
      <c r="N446" s="26"/>
      <c r="O446" s="26"/>
    </row>
    <row r="447" customFormat="false" ht="15" hidden="false" customHeight="false" outlineLevel="0" collapsed="false">
      <c r="A447" s="32"/>
      <c r="B447" s="17" t="str">
        <f aca="false">IF(A447="","",IFERROR(INDEX(Calendario!$A$4:$A$107,MATCH(A447,Calendario!$B$4:$B$107,1)),""))</f>
        <v/>
      </c>
      <c r="C447" s="17" t="str">
        <f aca="false">IF(A447="","",YEAR(A447)&amp;"-"&amp;TEXT(MONTH(A447),"00"))</f>
        <v/>
      </c>
      <c r="D447" s="26"/>
      <c r="E447" s="26"/>
      <c r="F447" s="26"/>
      <c r="G447" s="26"/>
      <c r="H447" s="27"/>
      <c r="I447" s="29"/>
      <c r="J447" s="26"/>
      <c r="K447" s="26"/>
      <c r="L447" s="27"/>
      <c r="M447" s="26"/>
      <c r="N447" s="26"/>
      <c r="O447" s="26"/>
    </row>
    <row r="448" customFormat="false" ht="15" hidden="false" customHeight="false" outlineLevel="0" collapsed="false">
      <c r="A448" s="32"/>
      <c r="B448" s="17" t="str">
        <f aca="false">IF(A448="","",IFERROR(INDEX(Calendario!$A$4:$A$107,MATCH(A448,Calendario!$B$4:$B$107,1)),""))</f>
        <v/>
      </c>
      <c r="C448" s="17" t="str">
        <f aca="false">IF(A448="","",YEAR(A448)&amp;"-"&amp;TEXT(MONTH(A448),"00"))</f>
        <v/>
      </c>
      <c r="D448" s="26"/>
      <c r="E448" s="26"/>
      <c r="F448" s="26"/>
      <c r="G448" s="26"/>
      <c r="H448" s="27"/>
      <c r="I448" s="29"/>
      <c r="J448" s="26"/>
      <c r="K448" s="26"/>
      <c r="L448" s="27"/>
      <c r="M448" s="26"/>
      <c r="N448" s="26"/>
      <c r="O448" s="26"/>
    </row>
    <row r="449" customFormat="false" ht="15" hidden="false" customHeight="false" outlineLevel="0" collapsed="false">
      <c r="A449" s="32"/>
      <c r="B449" s="17" t="str">
        <f aca="false">IF(A449="","",IFERROR(INDEX(Calendario!$A$4:$A$107,MATCH(A449,Calendario!$B$4:$B$107,1)),""))</f>
        <v/>
      </c>
      <c r="C449" s="17" t="str">
        <f aca="false">IF(A449="","",YEAR(A449)&amp;"-"&amp;TEXT(MONTH(A449),"00"))</f>
        <v/>
      </c>
      <c r="D449" s="26"/>
      <c r="E449" s="26"/>
      <c r="F449" s="26"/>
      <c r="G449" s="26"/>
      <c r="H449" s="27"/>
      <c r="I449" s="29"/>
      <c r="J449" s="26"/>
      <c r="K449" s="26"/>
      <c r="L449" s="27"/>
      <c r="M449" s="26"/>
      <c r="N449" s="26"/>
      <c r="O449" s="26"/>
    </row>
    <row r="450" customFormat="false" ht="15" hidden="false" customHeight="false" outlineLevel="0" collapsed="false">
      <c r="A450" s="32"/>
      <c r="B450" s="17" t="str">
        <f aca="false">IF(A450="","",IFERROR(INDEX(Calendario!$A$4:$A$107,MATCH(A450,Calendario!$B$4:$B$107,1)),""))</f>
        <v/>
      </c>
      <c r="C450" s="17" t="str">
        <f aca="false">IF(A450="","",YEAR(A450)&amp;"-"&amp;TEXT(MONTH(A450),"00"))</f>
        <v/>
      </c>
      <c r="D450" s="26"/>
      <c r="E450" s="26"/>
      <c r="F450" s="26"/>
      <c r="G450" s="26"/>
      <c r="H450" s="27"/>
      <c r="I450" s="29"/>
      <c r="J450" s="26"/>
      <c r="K450" s="26"/>
      <c r="L450" s="27"/>
      <c r="M450" s="26"/>
      <c r="N450" s="26"/>
      <c r="O450" s="26"/>
    </row>
    <row r="451" customFormat="false" ht="15" hidden="false" customHeight="false" outlineLevel="0" collapsed="false">
      <c r="A451" s="32"/>
      <c r="B451" s="17" t="str">
        <f aca="false">IF(A451="","",IFERROR(INDEX(Calendario!$A$4:$A$107,MATCH(A451,Calendario!$B$4:$B$107,1)),""))</f>
        <v/>
      </c>
      <c r="C451" s="17" t="str">
        <f aca="false">IF(A451="","",YEAR(A451)&amp;"-"&amp;TEXT(MONTH(A451),"00"))</f>
        <v/>
      </c>
      <c r="D451" s="26"/>
      <c r="E451" s="26"/>
      <c r="F451" s="26"/>
      <c r="G451" s="26"/>
      <c r="H451" s="27"/>
      <c r="I451" s="29"/>
      <c r="J451" s="26"/>
      <c r="K451" s="26"/>
      <c r="L451" s="27"/>
      <c r="M451" s="26"/>
      <c r="N451" s="26"/>
      <c r="O451" s="26"/>
    </row>
    <row r="452" customFormat="false" ht="15" hidden="false" customHeight="false" outlineLevel="0" collapsed="false">
      <c r="A452" s="32"/>
      <c r="B452" s="17" t="str">
        <f aca="false">IF(A452="","",IFERROR(INDEX(Calendario!$A$4:$A$107,MATCH(A452,Calendario!$B$4:$B$107,1)),""))</f>
        <v/>
      </c>
      <c r="C452" s="17" t="str">
        <f aca="false">IF(A452="","",YEAR(A452)&amp;"-"&amp;TEXT(MONTH(A452),"00"))</f>
        <v/>
      </c>
      <c r="D452" s="26"/>
      <c r="E452" s="26"/>
      <c r="F452" s="26"/>
      <c r="G452" s="26"/>
      <c r="H452" s="27"/>
      <c r="I452" s="29"/>
      <c r="J452" s="26"/>
      <c r="K452" s="26"/>
      <c r="L452" s="27"/>
      <c r="M452" s="26"/>
      <c r="N452" s="26"/>
      <c r="O452" s="26"/>
    </row>
    <row r="453" customFormat="false" ht="15" hidden="false" customHeight="false" outlineLevel="0" collapsed="false">
      <c r="A453" s="32"/>
      <c r="B453" s="17" t="str">
        <f aca="false">IF(A453="","",IFERROR(INDEX(Calendario!$A$4:$A$107,MATCH(A453,Calendario!$B$4:$B$107,1)),""))</f>
        <v/>
      </c>
      <c r="C453" s="17" t="str">
        <f aca="false">IF(A453="","",YEAR(A453)&amp;"-"&amp;TEXT(MONTH(A453),"00"))</f>
        <v/>
      </c>
      <c r="D453" s="26"/>
      <c r="E453" s="26"/>
      <c r="F453" s="26"/>
      <c r="G453" s="26"/>
      <c r="H453" s="27"/>
      <c r="I453" s="29"/>
      <c r="J453" s="26"/>
      <c r="K453" s="26"/>
      <c r="L453" s="27"/>
      <c r="M453" s="26"/>
      <c r="N453" s="26"/>
      <c r="O453" s="26"/>
    </row>
    <row r="454" customFormat="false" ht="15" hidden="false" customHeight="false" outlineLevel="0" collapsed="false">
      <c r="A454" s="32"/>
      <c r="B454" s="17" t="str">
        <f aca="false">IF(A454="","",IFERROR(INDEX(Calendario!$A$4:$A$107,MATCH(A454,Calendario!$B$4:$B$107,1)),""))</f>
        <v/>
      </c>
      <c r="C454" s="17" t="str">
        <f aca="false">IF(A454="","",YEAR(A454)&amp;"-"&amp;TEXT(MONTH(A454),"00"))</f>
        <v/>
      </c>
      <c r="D454" s="26"/>
      <c r="E454" s="26"/>
      <c r="F454" s="26"/>
      <c r="G454" s="26"/>
      <c r="H454" s="27"/>
      <c r="I454" s="29"/>
      <c r="J454" s="26"/>
      <c r="K454" s="26"/>
      <c r="L454" s="27"/>
      <c r="M454" s="26"/>
      <c r="N454" s="26"/>
      <c r="O454" s="26"/>
    </row>
    <row r="455" customFormat="false" ht="15" hidden="false" customHeight="false" outlineLevel="0" collapsed="false">
      <c r="A455" s="32"/>
      <c r="B455" s="17" t="str">
        <f aca="false">IF(A455="","",IFERROR(INDEX(Calendario!$A$4:$A$107,MATCH(A455,Calendario!$B$4:$B$107,1)),""))</f>
        <v/>
      </c>
      <c r="C455" s="17" t="str">
        <f aca="false">IF(A455="","",YEAR(A455)&amp;"-"&amp;TEXT(MONTH(A455),"00"))</f>
        <v/>
      </c>
      <c r="D455" s="26"/>
      <c r="E455" s="26"/>
      <c r="F455" s="26"/>
      <c r="G455" s="26"/>
      <c r="H455" s="27"/>
      <c r="I455" s="29"/>
      <c r="J455" s="26"/>
      <c r="K455" s="26"/>
      <c r="L455" s="27"/>
      <c r="M455" s="26"/>
      <c r="N455" s="26"/>
      <c r="O455" s="26"/>
    </row>
    <row r="456" customFormat="false" ht="15" hidden="false" customHeight="false" outlineLevel="0" collapsed="false">
      <c r="A456" s="32"/>
      <c r="B456" s="17" t="str">
        <f aca="false">IF(A456="","",IFERROR(INDEX(Calendario!$A$4:$A$107,MATCH(A456,Calendario!$B$4:$B$107,1)),""))</f>
        <v/>
      </c>
      <c r="C456" s="17" t="str">
        <f aca="false">IF(A456="","",YEAR(A456)&amp;"-"&amp;TEXT(MONTH(A456),"00"))</f>
        <v/>
      </c>
      <c r="D456" s="26"/>
      <c r="E456" s="26"/>
      <c r="F456" s="26"/>
      <c r="G456" s="26"/>
      <c r="H456" s="27"/>
      <c r="I456" s="29"/>
      <c r="J456" s="26"/>
      <c r="K456" s="26"/>
      <c r="L456" s="27"/>
      <c r="M456" s="26"/>
      <c r="N456" s="26"/>
      <c r="O456" s="26"/>
    </row>
    <row r="457" customFormat="false" ht="15" hidden="false" customHeight="false" outlineLevel="0" collapsed="false">
      <c r="A457" s="32"/>
      <c r="B457" s="17" t="str">
        <f aca="false">IF(A457="","",IFERROR(INDEX(Calendario!$A$4:$A$107,MATCH(A457,Calendario!$B$4:$B$107,1)),""))</f>
        <v/>
      </c>
      <c r="C457" s="17" t="str">
        <f aca="false">IF(A457="","",YEAR(A457)&amp;"-"&amp;TEXT(MONTH(A457),"00"))</f>
        <v/>
      </c>
      <c r="D457" s="26"/>
      <c r="E457" s="26"/>
      <c r="F457" s="26"/>
      <c r="G457" s="26"/>
      <c r="H457" s="27"/>
      <c r="I457" s="29"/>
      <c r="J457" s="26"/>
      <c r="K457" s="26"/>
      <c r="L457" s="27"/>
      <c r="M457" s="26"/>
      <c r="N457" s="26"/>
      <c r="O457" s="26"/>
    </row>
    <row r="458" customFormat="false" ht="15" hidden="false" customHeight="false" outlineLevel="0" collapsed="false">
      <c r="A458" s="32"/>
      <c r="B458" s="17" t="str">
        <f aca="false">IF(A458="","",IFERROR(INDEX(Calendario!$A$4:$A$107,MATCH(A458,Calendario!$B$4:$B$107,1)),""))</f>
        <v/>
      </c>
      <c r="C458" s="17" t="str">
        <f aca="false">IF(A458="","",YEAR(A458)&amp;"-"&amp;TEXT(MONTH(A458),"00"))</f>
        <v/>
      </c>
      <c r="D458" s="26"/>
      <c r="E458" s="26"/>
      <c r="F458" s="26"/>
      <c r="G458" s="26"/>
      <c r="H458" s="27"/>
      <c r="I458" s="29"/>
      <c r="J458" s="26"/>
      <c r="K458" s="26"/>
      <c r="L458" s="27"/>
      <c r="M458" s="26"/>
      <c r="N458" s="26"/>
      <c r="O458" s="26"/>
    </row>
    <row r="459" customFormat="false" ht="15" hidden="false" customHeight="false" outlineLevel="0" collapsed="false">
      <c r="A459" s="32"/>
      <c r="B459" s="17" t="str">
        <f aca="false">IF(A459="","",IFERROR(INDEX(Calendario!$A$4:$A$107,MATCH(A459,Calendario!$B$4:$B$107,1)),""))</f>
        <v/>
      </c>
      <c r="C459" s="17" t="str">
        <f aca="false">IF(A459="","",YEAR(A459)&amp;"-"&amp;TEXT(MONTH(A459),"00"))</f>
        <v/>
      </c>
      <c r="D459" s="26"/>
      <c r="E459" s="26"/>
      <c r="F459" s="26"/>
      <c r="G459" s="26"/>
      <c r="H459" s="27"/>
      <c r="I459" s="29"/>
      <c r="J459" s="26"/>
      <c r="K459" s="26"/>
      <c r="L459" s="27"/>
      <c r="M459" s="26"/>
      <c r="N459" s="26"/>
      <c r="O459" s="26"/>
    </row>
    <row r="460" customFormat="false" ht="15" hidden="false" customHeight="false" outlineLevel="0" collapsed="false">
      <c r="A460" s="32"/>
      <c r="B460" s="17" t="str">
        <f aca="false">IF(A460="","",IFERROR(INDEX(Calendario!$A$4:$A$107,MATCH(A460,Calendario!$B$4:$B$107,1)),""))</f>
        <v/>
      </c>
      <c r="C460" s="17" t="str">
        <f aca="false">IF(A460="","",YEAR(A460)&amp;"-"&amp;TEXT(MONTH(A460),"00"))</f>
        <v/>
      </c>
      <c r="D460" s="26"/>
      <c r="E460" s="26"/>
      <c r="F460" s="26"/>
      <c r="G460" s="26"/>
      <c r="H460" s="27"/>
      <c r="I460" s="29"/>
      <c r="J460" s="26"/>
      <c r="K460" s="26"/>
      <c r="L460" s="27"/>
      <c r="M460" s="26"/>
      <c r="N460" s="26"/>
      <c r="O460" s="26"/>
    </row>
    <row r="461" customFormat="false" ht="15" hidden="false" customHeight="false" outlineLevel="0" collapsed="false">
      <c r="A461" s="32"/>
      <c r="B461" s="17" t="str">
        <f aca="false">IF(A461="","",IFERROR(INDEX(Calendario!$A$4:$A$107,MATCH(A461,Calendario!$B$4:$B$107,1)),""))</f>
        <v/>
      </c>
      <c r="C461" s="17" t="str">
        <f aca="false">IF(A461="","",YEAR(A461)&amp;"-"&amp;TEXT(MONTH(A461),"00"))</f>
        <v/>
      </c>
      <c r="D461" s="26"/>
      <c r="E461" s="26"/>
      <c r="F461" s="26"/>
      <c r="G461" s="26"/>
      <c r="H461" s="27"/>
      <c r="I461" s="29"/>
      <c r="J461" s="26"/>
      <c r="K461" s="26"/>
      <c r="L461" s="27"/>
      <c r="M461" s="26"/>
      <c r="N461" s="26"/>
      <c r="O461" s="26"/>
    </row>
    <row r="462" customFormat="false" ht="15" hidden="false" customHeight="false" outlineLevel="0" collapsed="false">
      <c r="A462" s="32"/>
      <c r="B462" s="17" t="str">
        <f aca="false">IF(A462="","",IFERROR(INDEX(Calendario!$A$4:$A$107,MATCH(A462,Calendario!$B$4:$B$107,1)),""))</f>
        <v/>
      </c>
      <c r="C462" s="17" t="str">
        <f aca="false">IF(A462="","",YEAR(A462)&amp;"-"&amp;TEXT(MONTH(A462),"00"))</f>
        <v/>
      </c>
      <c r="D462" s="26"/>
      <c r="E462" s="26"/>
      <c r="F462" s="26"/>
      <c r="G462" s="26"/>
      <c r="H462" s="27"/>
      <c r="I462" s="29"/>
      <c r="J462" s="26"/>
      <c r="K462" s="26"/>
      <c r="L462" s="27"/>
      <c r="M462" s="26"/>
      <c r="N462" s="26"/>
      <c r="O462" s="26"/>
    </row>
    <row r="463" customFormat="false" ht="15" hidden="false" customHeight="false" outlineLevel="0" collapsed="false">
      <c r="A463" s="32"/>
      <c r="B463" s="17" t="str">
        <f aca="false">IF(A463="","",IFERROR(INDEX(Calendario!$A$4:$A$107,MATCH(A463,Calendario!$B$4:$B$107,1)),""))</f>
        <v/>
      </c>
      <c r="C463" s="17" t="str">
        <f aca="false">IF(A463="","",YEAR(A463)&amp;"-"&amp;TEXT(MONTH(A463),"00"))</f>
        <v/>
      </c>
      <c r="D463" s="26"/>
      <c r="E463" s="26"/>
      <c r="F463" s="26"/>
      <c r="G463" s="26"/>
      <c r="H463" s="27"/>
      <c r="I463" s="29"/>
      <c r="J463" s="26"/>
      <c r="K463" s="26"/>
      <c r="L463" s="27"/>
      <c r="M463" s="26"/>
      <c r="N463" s="26"/>
      <c r="O463" s="26"/>
    </row>
    <row r="464" customFormat="false" ht="15" hidden="false" customHeight="false" outlineLevel="0" collapsed="false">
      <c r="A464" s="32"/>
      <c r="B464" s="17" t="str">
        <f aca="false">IF(A464="","",IFERROR(INDEX(Calendario!$A$4:$A$107,MATCH(A464,Calendario!$B$4:$B$107,1)),""))</f>
        <v/>
      </c>
      <c r="C464" s="17" t="str">
        <f aca="false">IF(A464="","",YEAR(A464)&amp;"-"&amp;TEXT(MONTH(A464),"00"))</f>
        <v/>
      </c>
      <c r="D464" s="26"/>
      <c r="E464" s="26"/>
      <c r="F464" s="26"/>
      <c r="G464" s="26"/>
      <c r="H464" s="27"/>
      <c r="I464" s="29"/>
      <c r="J464" s="26"/>
      <c r="K464" s="26"/>
      <c r="L464" s="27"/>
      <c r="M464" s="26"/>
      <c r="N464" s="26"/>
      <c r="O464" s="26"/>
    </row>
    <row r="465" customFormat="false" ht="15" hidden="false" customHeight="false" outlineLevel="0" collapsed="false">
      <c r="A465" s="32"/>
      <c r="B465" s="17" t="str">
        <f aca="false">IF(A465="","",IFERROR(INDEX(Calendario!$A$4:$A$107,MATCH(A465,Calendario!$B$4:$B$107,1)),""))</f>
        <v/>
      </c>
      <c r="C465" s="17" t="str">
        <f aca="false">IF(A465="","",YEAR(A465)&amp;"-"&amp;TEXT(MONTH(A465),"00"))</f>
        <v/>
      </c>
      <c r="D465" s="26"/>
      <c r="E465" s="26"/>
      <c r="F465" s="26"/>
      <c r="G465" s="26"/>
      <c r="H465" s="27"/>
      <c r="I465" s="29"/>
      <c r="J465" s="26"/>
      <c r="K465" s="26"/>
      <c r="L465" s="27"/>
      <c r="M465" s="26"/>
      <c r="N465" s="26"/>
      <c r="O465" s="26"/>
    </row>
    <row r="466" customFormat="false" ht="15" hidden="false" customHeight="false" outlineLevel="0" collapsed="false">
      <c r="A466" s="32"/>
      <c r="B466" s="17" t="str">
        <f aca="false">IF(A466="","",IFERROR(INDEX(Calendario!$A$4:$A$107,MATCH(A466,Calendario!$B$4:$B$107,1)),""))</f>
        <v/>
      </c>
      <c r="C466" s="17" t="str">
        <f aca="false">IF(A466="","",YEAR(A466)&amp;"-"&amp;TEXT(MONTH(A466),"00"))</f>
        <v/>
      </c>
      <c r="D466" s="26"/>
      <c r="E466" s="26"/>
      <c r="F466" s="26"/>
      <c r="G466" s="26"/>
      <c r="H466" s="27"/>
      <c r="I466" s="29"/>
      <c r="J466" s="26"/>
      <c r="K466" s="26"/>
      <c r="L466" s="27"/>
      <c r="M466" s="26"/>
      <c r="N466" s="26"/>
      <c r="O466" s="26"/>
    </row>
    <row r="467" customFormat="false" ht="15" hidden="false" customHeight="false" outlineLevel="0" collapsed="false">
      <c r="A467" s="32"/>
      <c r="B467" s="17" t="str">
        <f aca="false">IF(A467="","",IFERROR(INDEX(Calendario!$A$4:$A$107,MATCH(A467,Calendario!$B$4:$B$107,1)),""))</f>
        <v/>
      </c>
      <c r="C467" s="17" t="str">
        <f aca="false">IF(A467="","",YEAR(A467)&amp;"-"&amp;TEXT(MONTH(A467),"00"))</f>
        <v/>
      </c>
      <c r="D467" s="26"/>
      <c r="E467" s="26"/>
      <c r="F467" s="26"/>
      <c r="G467" s="26"/>
      <c r="H467" s="27"/>
      <c r="I467" s="29"/>
      <c r="J467" s="26"/>
      <c r="K467" s="26"/>
      <c r="L467" s="27"/>
      <c r="M467" s="26"/>
      <c r="N467" s="26"/>
      <c r="O467" s="26"/>
    </row>
    <row r="468" customFormat="false" ht="15" hidden="false" customHeight="false" outlineLevel="0" collapsed="false">
      <c r="A468" s="32"/>
      <c r="B468" s="17" t="str">
        <f aca="false">IF(A468="","",IFERROR(INDEX(Calendario!$A$4:$A$107,MATCH(A468,Calendario!$B$4:$B$107,1)),""))</f>
        <v/>
      </c>
      <c r="C468" s="17" t="str">
        <f aca="false">IF(A468="","",YEAR(A468)&amp;"-"&amp;TEXT(MONTH(A468),"00"))</f>
        <v/>
      </c>
      <c r="D468" s="26"/>
      <c r="E468" s="26"/>
      <c r="F468" s="26"/>
      <c r="G468" s="26"/>
      <c r="H468" s="27"/>
      <c r="I468" s="29"/>
      <c r="J468" s="26"/>
      <c r="K468" s="26"/>
      <c r="L468" s="27"/>
      <c r="M468" s="26"/>
      <c r="N468" s="26"/>
      <c r="O468" s="26"/>
    </row>
    <row r="469" customFormat="false" ht="15" hidden="false" customHeight="false" outlineLevel="0" collapsed="false">
      <c r="A469" s="32"/>
      <c r="B469" s="17" t="str">
        <f aca="false">IF(A469="","",IFERROR(INDEX(Calendario!$A$4:$A$107,MATCH(A469,Calendario!$B$4:$B$107,1)),""))</f>
        <v/>
      </c>
      <c r="C469" s="17" t="str">
        <f aca="false">IF(A469="","",YEAR(A469)&amp;"-"&amp;TEXT(MONTH(A469),"00"))</f>
        <v/>
      </c>
      <c r="D469" s="26"/>
      <c r="E469" s="26"/>
      <c r="F469" s="26"/>
      <c r="G469" s="26"/>
      <c r="H469" s="27"/>
      <c r="I469" s="29"/>
      <c r="J469" s="26"/>
      <c r="K469" s="26"/>
      <c r="L469" s="27"/>
      <c r="M469" s="26"/>
      <c r="N469" s="26"/>
      <c r="O469" s="26"/>
    </row>
    <row r="470" customFormat="false" ht="15" hidden="false" customHeight="false" outlineLevel="0" collapsed="false">
      <c r="A470" s="32"/>
      <c r="B470" s="17" t="str">
        <f aca="false">IF(A470="","",IFERROR(INDEX(Calendario!$A$4:$A$107,MATCH(A470,Calendario!$B$4:$B$107,1)),""))</f>
        <v/>
      </c>
      <c r="C470" s="17" t="str">
        <f aca="false">IF(A470="","",YEAR(A470)&amp;"-"&amp;TEXT(MONTH(A470),"00"))</f>
        <v/>
      </c>
      <c r="D470" s="26"/>
      <c r="E470" s="26"/>
      <c r="F470" s="26"/>
      <c r="G470" s="26"/>
      <c r="H470" s="27"/>
      <c r="I470" s="29"/>
      <c r="J470" s="26"/>
      <c r="K470" s="26"/>
      <c r="L470" s="27"/>
      <c r="M470" s="26"/>
      <c r="N470" s="26"/>
      <c r="O470" s="26"/>
    </row>
    <row r="471" customFormat="false" ht="15" hidden="false" customHeight="false" outlineLevel="0" collapsed="false">
      <c r="A471" s="32"/>
      <c r="B471" s="17" t="str">
        <f aca="false">IF(A471="","",IFERROR(INDEX(Calendario!$A$4:$A$107,MATCH(A471,Calendario!$B$4:$B$107,1)),""))</f>
        <v/>
      </c>
      <c r="C471" s="17" t="str">
        <f aca="false">IF(A471="","",YEAR(A471)&amp;"-"&amp;TEXT(MONTH(A471),"00"))</f>
        <v/>
      </c>
      <c r="D471" s="26"/>
      <c r="E471" s="26"/>
      <c r="F471" s="26"/>
      <c r="G471" s="26"/>
      <c r="H471" s="27"/>
      <c r="I471" s="29"/>
      <c r="J471" s="26"/>
      <c r="K471" s="26"/>
      <c r="L471" s="27"/>
      <c r="M471" s="26"/>
      <c r="N471" s="26"/>
      <c r="O471" s="26"/>
    </row>
    <row r="472" customFormat="false" ht="15" hidden="false" customHeight="false" outlineLevel="0" collapsed="false">
      <c r="A472" s="32"/>
      <c r="B472" s="17" t="str">
        <f aca="false">IF(A472="","",IFERROR(INDEX(Calendario!$A$4:$A$107,MATCH(A472,Calendario!$B$4:$B$107,1)),""))</f>
        <v/>
      </c>
      <c r="C472" s="17" t="str">
        <f aca="false">IF(A472="","",YEAR(A472)&amp;"-"&amp;TEXT(MONTH(A472),"00"))</f>
        <v/>
      </c>
      <c r="D472" s="26"/>
      <c r="E472" s="26"/>
      <c r="F472" s="26"/>
      <c r="G472" s="26"/>
      <c r="H472" s="27"/>
      <c r="I472" s="29"/>
      <c r="J472" s="26"/>
      <c r="K472" s="26"/>
      <c r="L472" s="27"/>
      <c r="M472" s="26"/>
      <c r="N472" s="26"/>
      <c r="O472" s="26"/>
    </row>
    <row r="473" customFormat="false" ht="15" hidden="false" customHeight="false" outlineLevel="0" collapsed="false">
      <c r="A473" s="32"/>
      <c r="B473" s="17" t="str">
        <f aca="false">IF(A473="","",IFERROR(INDEX(Calendario!$A$4:$A$107,MATCH(A473,Calendario!$B$4:$B$107,1)),""))</f>
        <v/>
      </c>
      <c r="C473" s="17" t="str">
        <f aca="false">IF(A473="","",YEAR(A473)&amp;"-"&amp;TEXT(MONTH(A473),"00"))</f>
        <v/>
      </c>
      <c r="D473" s="26"/>
      <c r="E473" s="26"/>
      <c r="F473" s="26"/>
      <c r="G473" s="26"/>
      <c r="H473" s="27"/>
      <c r="I473" s="29"/>
      <c r="J473" s="26"/>
      <c r="K473" s="26"/>
      <c r="L473" s="27"/>
      <c r="M473" s="26"/>
      <c r="N473" s="26"/>
      <c r="O473" s="26"/>
    </row>
    <row r="474" customFormat="false" ht="15" hidden="false" customHeight="false" outlineLevel="0" collapsed="false">
      <c r="A474" s="32"/>
      <c r="B474" s="17" t="str">
        <f aca="false">IF(A474="","",IFERROR(INDEX(Calendario!$A$4:$A$107,MATCH(A474,Calendario!$B$4:$B$107,1)),""))</f>
        <v/>
      </c>
      <c r="C474" s="17" t="str">
        <f aca="false">IF(A474="","",YEAR(A474)&amp;"-"&amp;TEXT(MONTH(A474),"00"))</f>
        <v/>
      </c>
      <c r="D474" s="26"/>
      <c r="E474" s="26"/>
      <c r="F474" s="26"/>
      <c r="G474" s="26"/>
      <c r="H474" s="27"/>
      <c r="I474" s="29"/>
      <c r="J474" s="26"/>
      <c r="K474" s="26"/>
      <c r="L474" s="27"/>
      <c r="M474" s="26"/>
      <c r="N474" s="26"/>
      <c r="O474" s="26"/>
    </row>
    <row r="475" customFormat="false" ht="15" hidden="false" customHeight="false" outlineLevel="0" collapsed="false">
      <c r="A475" s="32"/>
      <c r="B475" s="17" t="str">
        <f aca="false">IF(A475="","",IFERROR(INDEX(Calendario!$A$4:$A$107,MATCH(A475,Calendario!$B$4:$B$107,1)),""))</f>
        <v/>
      </c>
      <c r="C475" s="17" t="str">
        <f aca="false">IF(A475="","",YEAR(A475)&amp;"-"&amp;TEXT(MONTH(A475),"00"))</f>
        <v/>
      </c>
      <c r="D475" s="26"/>
      <c r="E475" s="26"/>
      <c r="F475" s="26"/>
      <c r="G475" s="26"/>
      <c r="H475" s="27"/>
      <c r="I475" s="29"/>
      <c r="J475" s="26"/>
      <c r="K475" s="26"/>
      <c r="L475" s="27"/>
      <c r="M475" s="26"/>
      <c r="N475" s="26"/>
      <c r="O475" s="26"/>
    </row>
    <row r="476" customFormat="false" ht="15" hidden="false" customHeight="false" outlineLevel="0" collapsed="false">
      <c r="A476" s="32"/>
      <c r="B476" s="17" t="str">
        <f aca="false">IF(A476="","",IFERROR(INDEX(Calendario!$A$4:$A$107,MATCH(A476,Calendario!$B$4:$B$107,1)),""))</f>
        <v/>
      </c>
      <c r="C476" s="17" t="str">
        <f aca="false">IF(A476="","",YEAR(A476)&amp;"-"&amp;TEXT(MONTH(A476),"00"))</f>
        <v/>
      </c>
      <c r="D476" s="26"/>
      <c r="E476" s="26"/>
      <c r="F476" s="26"/>
      <c r="G476" s="26"/>
      <c r="H476" s="27"/>
      <c r="I476" s="29"/>
      <c r="J476" s="26"/>
      <c r="K476" s="26"/>
      <c r="L476" s="27"/>
      <c r="M476" s="26"/>
      <c r="N476" s="26"/>
      <c r="O476" s="26"/>
    </row>
    <row r="477" customFormat="false" ht="15" hidden="false" customHeight="false" outlineLevel="0" collapsed="false">
      <c r="A477" s="32"/>
      <c r="B477" s="17" t="str">
        <f aca="false">IF(A477="","",IFERROR(INDEX(Calendario!$A$4:$A$107,MATCH(A477,Calendario!$B$4:$B$107,1)),""))</f>
        <v/>
      </c>
      <c r="C477" s="17" t="str">
        <f aca="false">IF(A477="","",YEAR(A477)&amp;"-"&amp;TEXT(MONTH(A477),"00"))</f>
        <v/>
      </c>
      <c r="D477" s="26"/>
      <c r="E477" s="26"/>
      <c r="F477" s="26"/>
      <c r="G477" s="26"/>
      <c r="H477" s="27"/>
      <c r="I477" s="29"/>
      <c r="J477" s="26"/>
      <c r="K477" s="26"/>
      <c r="L477" s="27"/>
      <c r="M477" s="26"/>
      <c r="N477" s="26"/>
      <c r="O477" s="26"/>
    </row>
    <row r="478" customFormat="false" ht="15" hidden="false" customHeight="false" outlineLevel="0" collapsed="false">
      <c r="A478" s="32"/>
      <c r="B478" s="17" t="str">
        <f aca="false">IF(A478="","",IFERROR(INDEX(Calendario!$A$4:$A$107,MATCH(A478,Calendario!$B$4:$B$107,1)),""))</f>
        <v/>
      </c>
      <c r="C478" s="17" t="str">
        <f aca="false">IF(A478="","",YEAR(A478)&amp;"-"&amp;TEXT(MONTH(A478),"00"))</f>
        <v/>
      </c>
      <c r="D478" s="26"/>
      <c r="E478" s="26"/>
      <c r="F478" s="26"/>
      <c r="G478" s="26"/>
      <c r="H478" s="27"/>
      <c r="I478" s="29"/>
      <c r="J478" s="26"/>
      <c r="K478" s="26"/>
      <c r="L478" s="27"/>
      <c r="M478" s="26"/>
      <c r="N478" s="26"/>
      <c r="O478" s="26"/>
    </row>
    <row r="479" customFormat="false" ht="15" hidden="false" customHeight="false" outlineLevel="0" collapsed="false">
      <c r="A479" s="32"/>
      <c r="B479" s="17" t="str">
        <f aca="false">IF(A479="","",IFERROR(INDEX(Calendario!$A$4:$A$107,MATCH(A479,Calendario!$B$4:$B$107,1)),""))</f>
        <v/>
      </c>
      <c r="C479" s="17" t="str">
        <f aca="false">IF(A479="","",YEAR(A479)&amp;"-"&amp;TEXT(MONTH(A479),"00"))</f>
        <v/>
      </c>
      <c r="D479" s="26"/>
      <c r="E479" s="26"/>
      <c r="F479" s="26"/>
      <c r="G479" s="26"/>
      <c r="H479" s="27"/>
      <c r="I479" s="29"/>
      <c r="J479" s="26"/>
      <c r="K479" s="26"/>
      <c r="L479" s="27"/>
      <c r="M479" s="26"/>
      <c r="N479" s="26"/>
      <c r="O479" s="26"/>
    </row>
    <row r="480" customFormat="false" ht="15" hidden="false" customHeight="false" outlineLevel="0" collapsed="false">
      <c r="A480" s="32"/>
      <c r="B480" s="17" t="str">
        <f aca="false">IF(A480="","",IFERROR(INDEX(Calendario!$A$4:$A$107,MATCH(A480,Calendario!$B$4:$B$107,1)),""))</f>
        <v/>
      </c>
      <c r="C480" s="17" t="str">
        <f aca="false">IF(A480="","",YEAR(A480)&amp;"-"&amp;TEXT(MONTH(A480),"00"))</f>
        <v/>
      </c>
      <c r="D480" s="26"/>
      <c r="E480" s="26"/>
      <c r="F480" s="26"/>
      <c r="G480" s="26"/>
      <c r="H480" s="27"/>
      <c r="I480" s="29"/>
      <c r="J480" s="26"/>
      <c r="K480" s="26"/>
      <c r="L480" s="27"/>
      <c r="M480" s="26"/>
      <c r="N480" s="26"/>
      <c r="O480" s="26"/>
    </row>
    <row r="481" customFormat="false" ht="15" hidden="false" customHeight="false" outlineLevel="0" collapsed="false">
      <c r="A481" s="32"/>
      <c r="B481" s="17" t="str">
        <f aca="false">IF(A481="","",IFERROR(INDEX(Calendario!$A$4:$A$107,MATCH(A481,Calendario!$B$4:$B$107,1)),""))</f>
        <v/>
      </c>
      <c r="C481" s="17" t="str">
        <f aca="false">IF(A481="","",YEAR(A481)&amp;"-"&amp;TEXT(MONTH(A481),"00"))</f>
        <v/>
      </c>
      <c r="D481" s="26"/>
      <c r="E481" s="26"/>
      <c r="F481" s="26"/>
      <c r="G481" s="26"/>
      <c r="H481" s="27"/>
      <c r="I481" s="29"/>
      <c r="J481" s="26"/>
      <c r="K481" s="26"/>
      <c r="L481" s="27"/>
      <c r="M481" s="26"/>
      <c r="N481" s="26"/>
      <c r="O481" s="26"/>
    </row>
    <row r="482" customFormat="false" ht="15" hidden="false" customHeight="false" outlineLevel="0" collapsed="false">
      <c r="A482" s="32"/>
      <c r="B482" s="17" t="str">
        <f aca="false">IF(A482="","",IFERROR(INDEX(Calendario!$A$4:$A$107,MATCH(A482,Calendario!$B$4:$B$107,1)),""))</f>
        <v/>
      </c>
      <c r="C482" s="17" t="str">
        <f aca="false">IF(A482="","",YEAR(A482)&amp;"-"&amp;TEXT(MONTH(A482),"00"))</f>
        <v/>
      </c>
      <c r="D482" s="26"/>
      <c r="E482" s="26"/>
      <c r="F482" s="26"/>
      <c r="G482" s="26"/>
      <c r="H482" s="27"/>
      <c r="I482" s="29"/>
      <c r="J482" s="26"/>
      <c r="K482" s="26"/>
      <c r="L482" s="27"/>
      <c r="M482" s="26"/>
      <c r="N482" s="26"/>
      <c r="O482" s="26"/>
    </row>
    <row r="483" customFormat="false" ht="15" hidden="false" customHeight="false" outlineLevel="0" collapsed="false">
      <c r="A483" s="32"/>
      <c r="B483" s="17" t="str">
        <f aca="false">IF(A483="","",IFERROR(INDEX(Calendario!$A$4:$A$107,MATCH(A483,Calendario!$B$4:$B$107,1)),""))</f>
        <v/>
      </c>
      <c r="C483" s="17" t="str">
        <f aca="false">IF(A483="","",YEAR(A483)&amp;"-"&amp;TEXT(MONTH(A483),"00"))</f>
        <v/>
      </c>
      <c r="D483" s="26"/>
      <c r="E483" s="26"/>
      <c r="F483" s="26"/>
      <c r="G483" s="26"/>
      <c r="H483" s="27"/>
      <c r="I483" s="29"/>
      <c r="J483" s="26"/>
      <c r="K483" s="26"/>
      <c r="L483" s="27"/>
      <c r="M483" s="26"/>
      <c r="N483" s="26"/>
      <c r="O483" s="26"/>
    </row>
    <row r="484" customFormat="false" ht="15" hidden="false" customHeight="false" outlineLevel="0" collapsed="false">
      <c r="A484" s="32"/>
      <c r="B484" s="17" t="str">
        <f aca="false">IF(A484="","",IFERROR(INDEX(Calendario!$A$4:$A$107,MATCH(A484,Calendario!$B$4:$B$107,1)),""))</f>
        <v/>
      </c>
      <c r="C484" s="17" t="str">
        <f aca="false">IF(A484="","",YEAR(A484)&amp;"-"&amp;TEXT(MONTH(A484),"00"))</f>
        <v/>
      </c>
      <c r="D484" s="26"/>
      <c r="E484" s="26"/>
      <c r="F484" s="26"/>
      <c r="G484" s="26"/>
      <c r="H484" s="27"/>
      <c r="I484" s="29"/>
      <c r="J484" s="26"/>
      <c r="K484" s="26"/>
      <c r="L484" s="27"/>
      <c r="M484" s="26"/>
      <c r="N484" s="26"/>
      <c r="O484" s="26"/>
    </row>
    <row r="485" customFormat="false" ht="15" hidden="false" customHeight="false" outlineLevel="0" collapsed="false">
      <c r="A485" s="32"/>
      <c r="B485" s="17" t="str">
        <f aca="false">IF(A485="","",IFERROR(INDEX(Calendario!$A$4:$A$107,MATCH(A485,Calendario!$B$4:$B$107,1)),""))</f>
        <v/>
      </c>
      <c r="C485" s="17" t="str">
        <f aca="false">IF(A485="","",YEAR(A485)&amp;"-"&amp;TEXT(MONTH(A485),"00"))</f>
        <v/>
      </c>
      <c r="D485" s="26"/>
      <c r="E485" s="26"/>
      <c r="F485" s="26"/>
      <c r="G485" s="26"/>
      <c r="H485" s="27"/>
      <c r="I485" s="29"/>
      <c r="J485" s="26"/>
      <c r="K485" s="26"/>
      <c r="L485" s="27"/>
      <c r="M485" s="26"/>
      <c r="N485" s="26"/>
      <c r="O485" s="26"/>
    </row>
    <row r="486" customFormat="false" ht="15" hidden="false" customHeight="false" outlineLevel="0" collapsed="false">
      <c r="A486" s="32"/>
      <c r="B486" s="17" t="str">
        <f aca="false">IF(A486="","",IFERROR(INDEX(Calendario!$A$4:$A$107,MATCH(A486,Calendario!$B$4:$B$107,1)),""))</f>
        <v/>
      </c>
      <c r="C486" s="17" t="str">
        <f aca="false">IF(A486="","",YEAR(A486)&amp;"-"&amp;TEXT(MONTH(A486),"00"))</f>
        <v/>
      </c>
      <c r="D486" s="26"/>
      <c r="E486" s="26"/>
      <c r="F486" s="26"/>
      <c r="G486" s="26"/>
      <c r="H486" s="27"/>
      <c r="I486" s="29"/>
      <c r="J486" s="26"/>
      <c r="K486" s="26"/>
      <c r="L486" s="27"/>
      <c r="M486" s="26"/>
      <c r="N486" s="26"/>
      <c r="O486" s="26"/>
    </row>
    <row r="487" customFormat="false" ht="15" hidden="false" customHeight="false" outlineLevel="0" collapsed="false">
      <c r="A487" s="32"/>
      <c r="B487" s="17" t="str">
        <f aca="false">IF(A487="","",IFERROR(INDEX(Calendario!$A$4:$A$107,MATCH(A487,Calendario!$B$4:$B$107,1)),""))</f>
        <v/>
      </c>
      <c r="C487" s="17" t="str">
        <f aca="false">IF(A487="","",YEAR(A487)&amp;"-"&amp;TEXT(MONTH(A487),"00"))</f>
        <v/>
      </c>
      <c r="D487" s="26"/>
      <c r="E487" s="26"/>
      <c r="F487" s="26"/>
      <c r="G487" s="26"/>
      <c r="H487" s="27"/>
      <c r="I487" s="29"/>
      <c r="J487" s="26"/>
      <c r="K487" s="26"/>
      <c r="L487" s="27"/>
      <c r="M487" s="26"/>
      <c r="N487" s="26"/>
      <c r="O487" s="26"/>
    </row>
    <row r="488" customFormat="false" ht="15" hidden="false" customHeight="false" outlineLevel="0" collapsed="false">
      <c r="A488" s="32"/>
      <c r="B488" s="17" t="str">
        <f aca="false">IF(A488="","",IFERROR(INDEX(Calendario!$A$4:$A$107,MATCH(A488,Calendario!$B$4:$B$107,1)),""))</f>
        <v/>
      </c>
      <c r="C488" s="17" t="str">
        <f aca="false">IF(A488="","",YEAR(A488)&amp;"-"&amp;TEXT(MONTH(A488),"00"))</f>
        <v/>
      </c>
      <c r="D488" s="26"/>
      <c r="E488" s="26"/>
      <c r="F488" s="26"/>
      <c r="G488" s="26"/>
      <c r="H488" s="27"/>
      <c r="I488" s="29"/>
      <c r="J488" s="26"/>
      <c r="K488" s="26"/>
      <c r="L488" s="27"/>
      <c r="M488" s="26"/>
      <c r="N488" s="26"/>
      <c r="O488" s="26"/>
    </row>
    <row r="489" customFormat="false" ht="15" hidden="false" customHeight="false" outlineLevel="0" collapsed="false">
      <c r="A489" s="32"/>
      <c r="B489" s="17" t="str">
        <f aca="false">IF(A489="","",IFERROR(INDEX(Calendario!$A$4:$A$107,MATCH(A489,Calendario!$B$4:$B$107,1)),""))</f>
        <v/>
      </c>
      <c r="C489" s="17" t="str">
        <f aca="false">IF(A489="","",YEAR(A489)&amp;"-"&amp;TEXT(MONTH(A489),"00"))</f>
        <v/>
      </c>
      <c r="D489" s="26"/>
      <c r="E489" s="26"/>
      <c r="F489" s="26"/>
      <c r="G489" s="26"/>
      <c r="H489" s="27"/>
      <c r="I489" s="29"/>
      <c r="J489" s="26"/>
      <c r="K489" s="26"/>
      <c r="L489" s="27"/>
      <c r="M489" s="26"/>
      <c r="N489" s="26"/>
      <c r="O489" s="26"/>
    </row>
    <row r="490" customFormat="false" ht="15" hidden="false" customHeight="false" outlineLevel="0" collapsed="false">
      <c r="A490" s="32"/>
      <c r="B490" s="17" t="str">
        <f aca="false">IF(A490="","",IFERROR(INDEX(Calendario!$A$4:$A$107,MATCH(A490,Calendario!$B$4:$B$107,1)),""))</f>
        <v/>
      </c>
      <c r="C490" s="17" t="str">
        <f aca="false">IF(A490="","",YEAR(A490)&amp;"-"&amp;TEXT(MONTH(A490),"00"))</f>
        <v/>
      </c>
      <c r="D490" s="26"/>
      <c r="E490" s="26"/>
      <c r="F490" s="26"/>
      <c r="G490" s="26"/>
      <c r="H490" s="27"/>
      <c r="I490" s="29"/>
      <c r="J490" s="26"/>
      <c r="K490" s="26"/>
      <c r="L490" s="27"/>
      <c r="M490" s="26"/>
      <c r="N490" s="26"/>
      <c r="O490" s="26"/>
    </row>
    <row r="491" customFormat="false" ht="15" hidden="false" customHeight="false" outlineLevel="0" collapsed="false">
      <c r="A491" s="32"/>
      <c r="B491" s="17" t="str">
        <f aca="false">IF(A491="","",IFERROR(INDEX(Calendario!$A$4:$A$107,MATCH(A491,Calendario!$B$4:$B$107,1)),""))</f>
        <v/>
      </c>
      <c r="C491" s="17" t="str">
        <f aca="false">IF(A491="","",YEAR(A491)&amp;"-"&amp;TEXT(MONTH(A491),"00"))</f>
        <v/>
      </c>
      <c r="D491" s="26"/>
      <c r="E491" s="26"/>
      <c r="F491" s="26"/>
      <c r="G491" s="26"/>
      <c r="H491" s="27"/>
      <c r="I491" s="29"/>
      <c r="J491" s="26"/>
      <c r="K491" s="26"/>
      <c r="L491" s="27"/>
      <c r="M491" s="26"/>
      <c r="N491" s="26"/>
      <c r="O491" s="26"/>
    </row>
    <row r="492" customFormat="false" ht="15" hidden="false" customHeight="false" outlineLevel="0" collapsed="false">
      <c r="A492" s="32"/>
      <c r="B492" s="17" t="str">
        <f aca="false">IF(A492="","",IFERROR(INDEX(Calendario!$A$4:$A$107,MATCH(A492,Calendario!$B$4:$B$107,1)),""))</f>
        <v/>
      </c>
      <c r="C492" s="17" t="str">
        <f aca="false">IF(A492="","",YEAR(A492)&amp;"-"&amp;TEXT(MONTH(A492),"00"))</f>
        <v/>
      </c>
      <c r="D492" s="26"/>
      <c r="E492" s="26"/>
      <c r="F492" s="26"/>
      <c r="G492" s="26"/>
      <c r="H492" s="27"/>
      <c r="I492" s="29"/>
      <c r="J492" s="26"/>
      <c r="K492" s="26"/>
      <c r="L492" s="27"/>
      <c r="M492" s="26"/>
      <c r="N492" s="26"/>
      <c r="O492" s="26"/>
    </row>
    <row r="493" customFormat="false" ht="15" hidden="false" customHeight="false" outlineLevel="0" collapsed="false">
      <c r="A493" s="32"/>
      <c r="B493" s="17" t="str">
        <f aca="false">IF(A493="","",IFERROR(INDEX(Calendario!$A$4:$A$107,MATCH(A493,Calendario!$B$4:$B$107,1)),""))</f>
        <v/>
      </c>
      <c r="C493" s="17" t="str">
        <f aca="false">IF(A493="","",YEAR(A493)&amp;"-"&amp;TEXT(MONTH(A493),"00"))</f>
        <v/>
      </c>
      <c r="D493" s="26"/>
      <c r="E493" s="26"/>
      <c r="F493" s="26"/>
      <c r="G493" s="26"/>
      <c r="H493" s="27"/>
      <c r="I493" s="29"/>
      <c r="J493" s="26"/>
      <c r="K493" s="26"/>
      <c r="L493" s="27"/>
      <c r="M493" s="26"/>
      <c r="N493" s="26"/>
      <c r="O493" s="26"/>
    </row>
    <row r="494" customFormat="false" ht="15" hidden="false" customHeight="false" outlineLevel="0" collapsed="false">
      <c r="A494" s="32"/>
      <c r="B494" s="17" t="str">
        <f aca="false">IF(A494="","",IFERROR(INDEX(Calendario!$A$4:$A$107,MATCH(A494,Calendario!$B$4:$B$107,1)),""))</f>
        <v/>
      </c>
      <c r="C494" s="17" t="str">
        <f aca="false">IF(A494="","",YEAR(A494)&amp;"-"&amp;TEXT(MONTH(A494),"00"))</f>
        <v/>
      </c>
      <c r="D494" s="26"/>
      <c r="E494" s="26"/>
      <c r="F494" s="26"/>
      <c r="G494" s="26"/>
      <c r="H494" s="27"/>
      <c r="I494" s="29"/>
      <c r="J494" s="26"/>
      <c r="K494" s="26"/>
      <c r="L494" s="27"/>
      <c r="M494" s="26"/>
      <c r="N494" s="26"/>
      <c r="O494" s="26"/>
    </row>
    <row r="495" customFormat="false" ht="15" hidden="false" customHeight="false" outlineLevel="0" collapsed="false">
      <c r="A495" s="32"/>
      <c r="B495" s="17" t="str">
        <f aca="false">IF(A495="","",IFERROR(INDEX(Calendario!$A$4:$A$107,MATCH(A495,Calendario!$B$4:$B$107,1)),""))</f>
        <v/>
      </c>
      <c r="C495" s="17" t="str">
        <f aca="false">IF(A495="","",YEAR(A495)&amp;"-"&amp;TEXT(MONTH(A495),"00"))</f>
        <v/>
      </c>
      <c r="D495" s="26"/>
      <c r="E495" s="26"/>
      <c r="F495" s="26"/>
      <c r="G495" s="26"/>
      <c r="H495" s="27"/>
      <c r="I495" s="29"/>
      <c r="J495" s="26"/>
      <c r="K495" s="26"/>
      <c r="L495" s="27"/>
      <c r="M495" s="26"/>
      <c r="N495" s="26"/>
      <c r="O495" s="26"/>
    </row>
    <row r="496" customFormat="false" ht="15" hidden="false" customHeight="false" outlineLevel="0" collapsed="false">
      <c r="A496" s="32"/>
      <c r="B496" s="17" t="str">
        <f aca="false">IF(A496="","",IFERROR(INDEX(Calendario!$A$4:$A$107,MATCH(A496,Calendario!$B$4:$B$107,1)),""))</f>
        <v/>
      </c>
      <c r="C496" s="17" t="str">
        <f aca="false">IF(A496="","",YEAR(A496)&amp;"-"&amp;TEXT(MONTH(A496),"00"))</f>
        <v/>
      </c>
      <c r="D496" s="26"/>
      <c r="E496" s="26"/>
      <c r="F496" s="26"/>
      <c r="G496" s="26"/>
      <c r="H496" s="27"/>
      <c r="I496" s="29"/>
      <c r="J496" s="26"/>
      <c r="K496" s="26"/>
      <c r="L496" s="27"/>
      <c r="M496" s="26"/>
      <c r="N496" s="26"/>
      <c r="O496" s="26"/>
    </row>
    <row r="497" customFormat="false" ht="15" hidden="false" customHeight="false" outlineLevel="0" collapsed="false">
      <c r="A497" s="32"/>
      <c r="B497" s="17" t="str">
        <f aca="false">IF(A497="","",IFERROR(INDEX(Calendario!$A$4:$A$107,MATCH(A497,Calendario!$B$4:$B$107,1)),""))</f>
        <v/>
      </c>
      <c r="C497" s="17" t="str">
        <f aca="false">IF(A497="","",YEAR(A497)&amp;"-"&amp;TEXT(MONTH(A497),"00"))</f>
        <v/>
      </c>
      <c r="D497" s="26"/>
      <c r="E497" s="26"/>
      <c r="F497" s="26"/>
      <c r="G497" s="26"/>
      <c r="H497" s="27"/>
      <c r="I497" s="29"/>
      <c r="J497" s="26"/>
      <c r="K497" s="26"/>
      <c r="L497" s="27"/>
      <c r="M497" s="26"/>
      <c r="N497" s="26"/>
      <c r="O497" s="26"/>
    </row>
    <row r="498" customFormat="false" ht="15" hidden="false" customHeight="false" outlineLevel="0" collapsed="false">
      <c r="A498" s="32"/>
      <c r="B498" s="17" t="str">
        <f aca="false">IF(A498="","",IFERROR(INDEX(Calendario!$A$4:$A$107,MATCH(A498,Calendario!$B$4:$B$107,1)),""))</f>
        <v/>
      </c>
      <c r="C498" s="17" t="str">
        <f aca="false">IF(A498="","",YEAR(A498)&amp;"-"&amp;TEXT(MONTH(A498),"00"))</f>
        <v/>
      </c>
      <c r="D498" s="26"/>
      <c r="E498" s="26"/>
      <c r="F498" s="26"/>
      <c r="G498" s="26"/>
      <c r="H498" s="27"/>
      <c r="I498" s="29"/>
      <c r="J498" s="26"/>
      <c r="K498" s="26"/>
      <c r="L498" s="27"/>
      <c r="M498" s="26"/>
      <c r="N498" s="26"/>
      <c r="O498" s="26"/>
    </row>
    <row r="499" customFormat="false" ht="15" hidden="false" customHeight="false" outlineLevel="0" collapsed="false">
      <c r="A499" s="32"/>
      <c r="B499" s="17" t="str">
        <f aca="false">IF(A499="","",IFERROR(INDEX(Calendario!$A$4:$A$107,MATCH(A499,Calendario!$B$4:$B$107,1)),""))</f>
        <v/>
      </c>
      <c r="C499" s="17" t="str">
        <f aca="false">IF(A499="","",YEAR(A499)&amp;"-"&amp;TEXT(MONTH(A499),"00"))</f>
        <v/>
      </c>
      <c r="D499" s="26"/>
      <c r="E499" s="26"/>
      <c r="F499" s="26"/>
      <c r="G499" s="26"/>
      <c r="H499" s="27"/>
      <c r="I499" s="29"/>
      <c r="J499" s="26"/>
      <c r="K499" s="26"/>
      <c r="L499" s="27"/>
      <c r="M499" s="26"/>
      <c r="N499" s="26"/>
      <c r="O499" s="26"/>
    </row>
    <row r="500" customFormat="false" ht="15" hidden="false" customHeight="false" outlineLevel="0" collapsed="false">
      <c r="A500" s="32"/>
      <c r="B500" s="17" t="str">
        <f aca="false">IF(A500="","",IFERROR(INDEX(Calendario!$A$4:$A$107,MATCH(A500,Calendario!$B$4:$B$107,1)),""))</f>
        <v/>
      </c>
      <c r="C500" s="17" t="str">
        <f aca="false">IF(A500="","",YEAR(A500)&amp;"-"&amp;TEXT(MONTH(A500),"00"))</f>
        <v/>
      </c>
      <c r="D500" s="26"/>
      <c r="E500" s="26"/>
      <c r="F500" s="26"/>
      <c r="G500" s="26"/>
      <c r="H500" s="27"/>
      <c r="I500" s="29"/>
      <c r="J500" s="26"/>
      <c r="K500" s="26"/>
      <c r="L500" s="27"/>
      <c r="M500" s="26"/>
      <c r="N500" s="26"/>
      <c r="O500" s="26"/>
    </row>
    <row r="501" customFormat="false" ht="15" hidden="false" customHeight="false" outlineLevel="0" collapsed="false">
      <c r="A501" s="32"/>
      <c r="B501" s="17" t="str">
        <f aca="false">IF(A501="","",IFERROR(INDEX(Calendario!$A$4:$A$107,MATCH(A501,Calendario!$B$4:$B$107,1)),""))</f>
        <v/>
      </c>
      <c r="C501" s="17" t="str">
        <f aca="false">IF(A501="","",YEAR(A501)&amp;"-"&amp;TEXT(MONTH(A501),"00"))</f>
        <v/>
      </c>
      <c r="D501" s="26"/>
      <c r="E501" s="26"/>
      <c r="F501" s="26"/>
      <c r="G501" s="26"/>
      <c r="H501" s="27"/>
      <c r="I501" s="29"/>
      <c r="J501" s="26"/>
      <c r="K501" s="26"/>
      <c r="L501" s="27"/>
      <c r="M501" s="26"/>
      <c r="N501" s="26"/>
      <c r="O501" s="26"/>
    </row>
    <row r="502" customFormat="false" ht="15" hidden="false" customHeight="false" outlineLevel="0" collapsed="false">
      <c r="A502" s="32"/>
      <c r="B502" s="17" t="str">
        <f aca="false">IF(A502="","",IFERROR(INDEX(Calendario!$A$4:$A$107,MATCH(A502,Calendario!$B$4:$B$107,1)),""))</f>
        <v/>
      </c>
      <c r="C502" s="17" t="str">
        <f aca="false">IF(A502="","",YEAR(A502)&amp;"-"&amp;TEXT(MONTH(A502),"00"))</f>
        <v/>
      </c>
      <c r="D502" s="26"/>
      <c r="E502" s="26"/>
      <c r="F502" s="26"/>
      <c r="G502" s="26"/>
      <c r="H502" s="27"/>
      <c r="I502" s="29"/>
      <c r="J502" s="26"/>
      <c r="K502" s="26"/>
      <c r="L502" s="27"/>
      <c r="M502" s="26"/>
      <c r="N502" s="26"/>
      <c r="O502" s="26"/>
    </row>
    <row r="503" customFormat="false" ht="15" hidden="false" customHeight="false" outlineLevel="0" collapsed="false">
      <c r="A503" s="32"/>
      <c r="B503" s="17" t="str">
        <f aca="false">IF(A503="","",IFERROR(INDEX(Calendario!$A$4:$A$107,MATCH(A503,Calendario!$B$4:$B$107,1)),""))</f>
        <v/>
      </c>
      <c r="C503" s="17" t="str">
        <f aca="false">IF(A503="","",YEAR(A503)&amp;"-"&amp;TEXT(MONTH(A503),"00"))</f>
        <v/>
      </c>
      <c r="D503" s="26"/>
      <c r="E503" s="26"/>
      <c r="F503" s="26"/>
      <c r="G503" s="26"/>
      <c r="H503" s="27"/>
      <c r="I503" s="29"/>
      <c r="J503" s="26"/>
      <c r="K503" s="26"/>
      <c r="L503" s="27"/>
      <c r="M503" s="26"/>
      <c r="N503" s="26"/>
      <c r="O503" s="26"/>
    </row>
  </sheetData>
  <dataValidations count="6">
    <dataValidation allowBlank="true" error="Escolha um valor da lista" errorStyle="stop" operator="between" showDropDown="false" showErrorMessage="false" showInputMessage="false" sqref="E4:E503" type="list">
      <formula1>Config!$E$10:$E$21</formula1>
      <formula2>0</formula2>
    </dataValidation>
    <dataValidation allowBlank="true" error="Escolha um valor da lista" errorStyle="stop" operator="between" showDropDown="false" showErrorMessage="false" showInputMessage="false" sqref="F4:F503" type="list">
      <formula1>Config!$O$10:$O$21</formula1>
      <formula2>0</formula2>
    </dataValidation>
    <dataValidation allowBlank="true" error="Escolha um valor da lista" errorStyle="stop" operator="between" showDropDown="false" showErrorMessage="false" showInputMessage="false" sqref="J4:J503" type="list">
      <formula1>Config!$F$10:$F$21</formula1>
      <formula2>0</formula2>
    </dataValidation>
    <dataValidation allowBlank="true" error="Escolha um valor da lista" errorStyle="stop" operator="between" showDropDown="false" showErrorMessage="false" showInputMessage="false" sqref="K4:K503" type="list">
      <formula1>Config!$G$10:$G$21</formula1>
      <formula2>0</formula2>
    </dataValidation>
    <dataValidation allowBlank="true" error="Escolha um valor da lista" errorStyle="stop" operator="between" showDropDown="false" showErrorMessage="false" showInputMessage="false" sqref="M4:M503" type="list">
      <formula1>Config!$H$10:$H$21</formula1>
      <formula2>0</formula2>
    </dataValidation>
    <dataValidation allowBlank="true" error="Escolha um valor da lista" errorStyle="stop" operator="between" showDropDown="false" showErrorMessage="false" showInputMessage="false" sqref="N4:N503" type="list">
      <formula1>Config!$I$10:$I$21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" t="s">
        <v>481</v>
      </c>
    </row>
    <row r="2" customFormat="false" ht="15" hidden="false" customHeight="false" outlineLevel="0" collapsed="false">
      <c r="A2" s="2" t="s">
        <v>482</v>
      </c>
    </row>
    <row r="3" customFormat="false" ht="31.5" hidden="false" customHeight="true" outlineLevel="0" collapsed="false">
      <c r="A3" s="8" t="s">
        <v>79</v>
      </c>
      <c r="B3" s="8" t="s">
        <v>28</v>
      </c>
      <c r="C3" s="8" t="s">
        <v>36</v>
      </c>
      <c r="D3" s="8" t="s">
        <v>108</v>
      </c>
      <c r="E3" s="8" t="s">
        <v>110</v>
      </c>
      <c r="F3" s="8" t="s">
        <v>26</v>
      </c>
      <c r="G3" s="8" t="s">
        <v>93</v>
      </c>
      <c r="H3" s="8" t="s">
        <v>114</v>
      </c>
      <c r="I3" s="8" t="s">
        <v>115</v>
      </c>
      <c r="J3" s="8" t="s">
        <v>117</v>
      </c>
      <c r="K3" s="8" t="s">
        <v>76</v>
      </c>
    </row>
    <row r="4" customFormat="false" ht="15" hidden="false" customHeight="false" outlineLevel="0" collapsed="false">
      <c r="A4" s="32" t="n">
        <v>46287</v>
      </c>
      <c r="B4" s="17" t="str">
        <f aca="false">IF(A4="","",IFERROR(INDEX(Calendario!$A$4:$A$107,MATCH(A4,Calendario!$B$4:$B$107,1)),""))</f>
        <v>2026-S39</v>
      </c>
      <c r="C4" s="17" t="str">
        <f aca="false">IF(A4="","",YEAR(A4)&amp;"-"&amp;TEXT(MONTH(A4),"00"))</f>
        <v>2026-09</v>
      </c>
      <c r="D4" s="26" t="s">
        <v>295</v>
      </c>
      <c r="E4" s="26"/>
      <c r="F4" s="26" t="s">
        <v>483</v>
      </c>
      <c r="G4" s="29" t="n">
        <v>150</v>
      </c>
      <c r="H4" s="26" t="s">
        <v>293</v>
      </c>
      <c r="I4" s="32" t="n">
        <v>46287</v>
      </c>
      <c r="J4" s="26" t="s">
        <v>484</v>
      </c>
      <c r="K4" s="26" t="s">
        <v>465</v>
      </c>
    </row>
    <row r="5" customFormat="false" ht="15" hidden="false" customHeight="false" outlineLevel="0" collapsed="false">
      <c r="A5" s="32" t="n">
        <v>46288</v>
      </c>
      <c r="B5" s="17" t="str">
        <f aca="false">IF(A5="","",IFERROR(INDEX(Calendario!$A$4:$A$107,MATCH(A5,Calendario!$B$4:$B$107,1)),""))</f>
        <v>2026-S39</v>
      </c>
      <c r="C5" s="17" t="str">
        <f aca="false">IF(A5="","",YEAR(A5)&amp;"-"&amp;TEXT(MONTH(A5),"00"))</f>
        <v>2026-09</v>
      </c>
      <c r="D5" s="26" t="s">
        <v>295</v>
      </c>
      <c r="E5" s="26"/>
      <c r="F5" s="26" t="s">
        <v>485</v>
      </c>
      <c r="G5" s="29" t="n">
        <v>633.33</v>
      </c>
      <c r="H5" s="26" t="s">
        <v>293</v>
      </c>
      <c r="I5" s="32" t="n">
        <v>46288</v>
      </c>
      <c r="J5" s="26" t="s">
        <v>486</v>
      </c>
      <c r="K5" s="26" t="s">
        <v>465</v>
      </c>
    </row>
    <row r="6" customFormat="false" ht="15" hidden="false" customHeight="false" outlineLevel="0" collapsed="false">
      <c r="A6" s="32" t="n">
        <v>46290</v>
      </c>
      <c r="B6" s="17" t="str">
        <f aca="false">IF(A6="","",IFERROR(INDEX(Calendario!$A$4:$A$107,MATCH(A6,Calendario!$B$4:$B$107,1)),""))</f>
        <v>2026-S39</v>
      </c>
      <c r="C6" s="17" t="str">
        <f aca="false">IF(A6="","",YEAR(A6)&amp;"-"&amp;TEXT(MONTH(A6),"00"))</f>
        <v>2026-09</v>
      </c>
      <c r="D6" s="26" t="s">
        <v>295</v>
      </c>
      <c r="E6" s="26"/>
      <c r="F6" s="26" t="s">
        <v>487</v>
      </c>
      <c r="G6" s="29" t="n">
        <v>2400</v>
      </c>
      <c r="H6" s="26" t="s">
        <v>293</v>
      </c>
      <c r="I6" s="32" t="n">
        <v>46290</v>
      </c>
      <c r="J6" s="26" t="s">
        <v>488</v>
      </c>
      <c r="K6" s="26" t="s">
        <v>465</v>
      </c>
    </row>
    <row r="7" customFormat="false" ht="15" hidden="false" customHeight="false" outlineLevel="0" collapsed="false">
      <c r="A7" s="32" t="n">
        <v>46290</v>
      </c>
      <c r="B7" s="17" t="str">
        <f aca="false">IF(A7="","",IFERROR(INDEX(Calendario!$A$4:$A$107,MATCH(A7,Calendario!$B$4:$B$107,1)),""))</f>
        <v>2026-S39</v>
      </c>
      <c r="C7" s="17" t="str">
        <f aca="false">IF(A7="","",YEAR(A7)&amp;"-"&amp;TEXT(MONTH(A7),"00"))</f>
        <v>2026-09</v>
      </c>
      <c r="D7" s="26" t="s">
        <v>305</v>
      </c>
      <c r="E7" s="26" t="s">
        <v>296</v>
      </c>
      <c r="F7" s="26" t="s">
        <v>489</v>
      </c>
      <c r="G7" s="29" t="n">
        <v>2800</v>
      </c>
      <c r="H7" s="26" t="s">
        <v>293</v>
      </c>
      <c r="I7" s="32" t="n">
        <v>46290</v>
      </c>
      <c r="J7" s="26" t="s">
        <v>279</v>
      </c>
      <c r="K7" s="26" t="s">
        <v>465</v>
      </c>
    </row>
    <row r="8" customFormat="false" ht="15" hidden="false" customHeight="false" outlineLevel="0" collapsed="false">
      <c r="A8" s="32" t="n">
        <v>46291</v>
      </c>
      <c r="B8" s="17" t="str">
        <f aca="false">IF(A8="","",IFERROR(INDEX(Calendario!$A$4:$A$107,MATCH(A8,Calendario!$B$4:$B$107,1)),""))</f>
        <v>2026-S39</v>
      </c>
      <c r="C8" s="17" t="str">
        <f aca="false">IF(A8="","",YEAR(A8)&amp;"-"&amp;TEXT(MONTH(A8),"00"))</f>
        <v>2026-09</v>
      </c>
      <c r="D8" s="26" t="s">
        <v>202</v>
      </c>
      <c r="E8" s="26"/>
      <c r="F8" s="26" t="s">
        <v>490</v>
      </c>
      <c r="G8" s="29" t="n">
        <v>600</v>
      </c>
      <c r="H8" s="26" t="s">
        <v>293</v>
      </c>
      <c r="I8" s="32" t="n">
        <v>46291</v>
      </c>
      <c r="J8" s="26" t="s">
        <v>491</v>
      </c>
      <c r="K8" s="26" t="s">
        <v>465</v>
      </c>
    </row>
    <row r="9" customFormat="false" ht="15" hidden="false" customHeight="false" outlineLevel="0" collapsed="false">
      <c r="A9" s="32" t="n">
        <v>46294</v>
      </c>
      <c r="B9" s="17" t="str">
        <f aca="false">IF(A9="","",IFERROR(INDEX(Calendario!$A$4:$A$107,MATCH(A9,Calendario!$B$4:$B$107,1)),""))</f>
        <v>2026-S40</v>
      </c>
      <c r="C9" s="17" t="str">
        <f aca="false">IF(A9="","",YEAR(A9)&amp;"-"&amp;TEXT(MONTH(A9),"00"))</f>
        <v>2026-09</v>
      </c>
      <c r="D9" s="26" t="s">
        <v>295</v>
      </c>
      <c r="E9" s="26"/>
      <c r="F9" s="26" t="s">
        <v>492</v>
      </c>
      <c r="G9" s="29" t="n">
        <v>150</v>
      </c>
      <c r="H9" s="26" t="s">
        <v>293</v>
      </c>
      <c r="I9" s="32" t="n">
        <v>46294</v>
      </c>
      <c r="J9" s="26" t="s">
        <v>493</v>
      </c>
      <c r="K9" s="26" t="s">
        <v>465</v>
      </c>
    </row>
    <row r="10" customFormat="false" ht="15" hidden="false" customHeight="false" outlineLevel="0" collapsed="false">
      <c r="A10" s="32" t="n">
        <v>46295</v>
      </c>
      <c r="B10" s="17" t="str">
        <f aca="false">IF(A10="","",IFERROR(INDEX(Calendario!$A$4:$A$107,MATCH(A10,Calendario!$B$4:$B$107,1)),""))</f>
        <v>2026-S40</v>
      </c>
      <c r="C10" s="17" t="str">
        <f aca="false">IF(A10="","",YEAR(A10)&amp;"-"&amp;TEXT(MONTH(A10),"00"))</f>
        <v>2026-09</v>
      </c>
      <c r="D10" s="26" t="s">
        <v>295</v>
      </c>
      <c r="E10" s="26"/>
      <c r="F10" s="26" t="s">
        <v>494</v>
      </c>
      <c r="G10" s="29" t="n">
        <v>950</v>
      </c>
      <c r="H10" s="26" t="s">
        <v>303</v>
      </c>
      <c r="I10" s="32" t="n">
        <v>46305</v>
      </c>
      <c r="J10" s="26" t="s">
        <v>495</v>
      </c>
      <c r="K10" s="26" t="s">
        <v>465</v>
      </c>
    </row>
    <row r="11" customFormat="false" ht="15" hidden="false" customHeight="false" outlineLevel="0" collapsed="false">
      <c r="A11" s="32" t="n">
        <v>46296</v>
      </c>
      <c r="B11" s="17" t="str">
        <f aca="false">IF(A11="","",IFERROR(INDEX(Calendario!$A$4:$A$107,MATCH(A11,Calendario!$B$4:$B$107,1)),""))</f>
        <v>2026-S40</v>
      </c>
      <c r="C11" s="17" t="str">
        <f aca="false">IF(A11="","",YEAR(A11)&amp;"-"&amp;TEXT(MONTH(A11),"00"))</f>
        <v>2026-10</v>
      </c>
      <c r="D11" s="26" t="s">
        <v>295</v>
      </c>
      <c r="E11" s="26"/>
      <c r="F11" s="26" t="s">
        <v>496</v>
      </c>
      <c r="G11" s="29" t="n">
        <v>1000</v>
      </c>
      <c r="H11" s="26" t="s">
        <v>293</v>
      </c>
      <c r="I11" s="32" t="n">
        <v>46296</v>
      </c>
      <c r="J11" s="26" t="s">
        <v>497</v>
      </c>
      <c r="K11" s="26" t="s">
        <v>465</v>
      </c>
    </row>
    <row r="12" customFormat="false" ht="15" hidden="false" customHeight="false" outlineLevel="0" collapsed="false">
      <c r="A12" s="32" t="n">
        <v>46296</v>
      </c>
      <c r="B12" s="17" t="str">
        <f aca="false">IF(A12="","",IFERROR(INDEX(Calendario!$A$4:$A$107,MATCH(A12,Calendario!$B$4:$B$107,1)),""))</f>
        <v>2026-S40</v>
      </c>
      <c r="C12" s="17" t="str">
        <f aca="false">IF(A12="","",YEAR(A12)&amp;"-"&amp;TEXT(MONTH(A12),"00"))</f>
        <v>2026-10</v>
      </c>
      <c r="D12" s="26" t="s">
        <v>305</v>
      </c>
      <c r="E12" s="26" t="s">
        <v>296</v>
      </c>
      <c r="F12" s="26" t="s">
        <v>498</v>
      </c>
      <c r="G12" s="29" t="n">
        <v>4500</v>
      </c>
      <c r="H12" s="26" t="s">
        <v>293</v>
      </c>
      <c r="I12" s="32" t="n">
        <v>46296</v>
      </c>
      <c r="J12" s="26" t="s">
        <v>499</v>
      </c>
      <c r="K12" s="26" t="s">
        <v>465</v>
      </c>
    </row>
    <row r="13" customFormat="false" ht="15" hidden="false" customHeight="false" outlineLevel="0" collapsed="false">
      <c r="A13" s="32" t="n">
        <v>46296</v>
      </c>
      <c r="B13" s="17" t="str">
        <f aca="false">IF(A13="","",IFERROR(INDEX(Calendario!$A$4:$A$107,MATCH(A13,Calendario!$B$4:$B$107,1)),""))</f>
        <v>2026-S40</v>
      </c>
      <c r="C13" s="17" t="str">
        <f aca="false">IF(A13="","",YEAR(A13)&amp;"-"&amp;TEXT(MONTH(A13),"00"))</f>
        <v>2026-10</v>
      </c>
      <c r="D13" s="26" t="s">
        <v>305</v>
      </c>
      <c r="E13" s="26" t="s">
        <v>306</v>
      </c>
      <c r="F13" s="26" t="s">
        <v>500</v>
      </c>
      <c r="G13" s="29" t="n">
        <v>380</v>
      </c>
      <c r="H13" s="26" t="s">
        <v>293</v>
      </c>
      <c r="I13" s="32" t="n">
        <v>46296</v>
      </c>
      <c r="J13" s="26" t="s">
        <v>501</v>
      </c>
      <c r="K13" s="26" t="s">
        <v>465</v>
      </c>
    </row>
    <row r="14" customFormat="false" ht="15" hidden="false" customHeight="false" outlineLevel="0" collapsed="false">
      <c r="A14" s="32" t="n">
        <v>46297</v>
      </c>
      <c r="B14" s="17" t="str">
        <f aca="false">IF(A14="","",IFERROR(INDEX(Calendario!$A$4:$A$107,MATCH(A14,Calendario!$B$4:$B$107,1)),""))</f>
        <v>2026-S40</v>
      </c>
      <c r="C14" s="17" t="str">
        <f aca="false">IF(A14="","",YEAR(A14)&amp;"-"&amp;TEXT(MONTH(A14),"00"))</f>
        <v>2026-10</v>
      </c>
      <c r="D14" s="26" t="s">
        <v>314</v>
      </c>
      <c r="E14" s="26"/>
      <c r="F14" s="26" t="s">
        <v>502</v>
      </c>
      <c r="G14" s="29" t="n">
        <v>1850</v>
      </c>
      <c r="H14" s="26" t="s">
        <v>293</v>
      </c>
      <c r="I14" s="32" t="n">
        <v>46315</v>
      </c>
      <c r="J14" s="26" t="s">
        <v>503</v>
      </c>
      <c r="K14" s="26" t="s">
        <v>465</v>
      </c>
    </row>
    <row r="15" customFormat="false" ht="15" hidden="false" customHeight="false" outlineLevel="0" collapsed="false">
      <c r="A15" s="32" t="n">
        <v>46297</v>
      </c>
      <c r="B15" s="17" t="str">
        <f aca="false">IF(A15="","",IFERROR(INDEX(Calendario!$A$4:$A$107,MATCH(A15,Calendario!$B$4:$B$107,1)),""))</f>
        <v>2026-S40</v>
      </c>
      <c r="C15" s="17" t="str">
        <f aca="false">IF(A15="","",YEAR(A15)&amp;"-"&amp;TEXT(MONTH(A15),"00"))</f>
        <v>2026-10</v>
      </c>
      <c r="D15" s="26" t="s">
        <v>202</v>
      </c>
      <c r="E15" s="26"/>
      <c r="F15" s="26" t="s">
        <v>504</v>
      </c>
      <c r="G15" s="29" t="n">
        <v>700</v>
      </c>
      <c r="H15" s="26" t="s">
        <v>293</v>
      </c>
      <c r="I15" s="32" t="n">
        <v>46297</v>
      </c>
      <c r="J15" s="26" t="s">
        <v>304</v>
      </c>
      <c r="K15" s="26" t="s">
        <v>465</v>
      </c>
    </row>
    <row r="16" customFormat="false" ht="15" hidden="false" customHeight="false" outlineLevel="0" collapsed="false">
      <c r="A16" s="32" t="n">
        <v>46297</v>
      </c>
      <c r="B16" s="17" t="str">
        <f aca="false">IF(A16="","",IFERROR(INDEX(Calendario!$A$4:$A$107,MATCH(A16,Calendario!$B$4:$B$107,1)),""))</f>
        <v>2026-S40</v>
      </c>
      <c r="C16" s="17" t="str">
        <f aca="false">IF(A16="","",YEAR(A16)&amp;"-"&amp;TEXT(MONTH(A16),"00"))</f>
        <v>2026-10</v>
      </c>
      <c r="D16" s="26" t="s">
        <v>295</v>
      </c>
      <c r="E16" s="26"/>
      <c r="F16" s="26" t="s">
        <v>505</v>
      </c>
      <c r="G16" s="29" t="n">
        <v>760</v>
      </c>
      <c r="H16" s="26" t="s">
        <v>312</v>
      </c>
      <c r="I16" s="32" t="n">
        <v>46280</v>
      </c>
      <c r="J16" s="26" t="s">
        <v>506</v>
      </c>
      <c r="K16" s="26" t="s">
        <v>465</v>
      </c>
    </row>
    <row r="17" customFormat="false" ht="15" hidden="false" customHeight="false" outlineLevel="0" collapsed="false">
      <c r="A17" s="32"/>
      <c r="B17" s="17" t="str">
        <f aca="false">IF(A17="","",IFERROR(INDEX(Calendario!$A$4:$A$107,MATCH(A17,Calendario!$B$4:$B$107,1)),""))</f>
        <v/>
      </c>
      <c r="C17" s="17" t="str">
        <f aca="false">IF(A17="","",YEAR(A17)&amp;"-"&amp;TEXT(MONTH(A17),"00"))</f>
        <v/>
      </c>
      <c r="D17" s="26"/>
      <c r="E17" s="26"/>
      <c r="F17" s="26"/>
      <c r="G17" s="29"/>
      <c r="H17" s="26"/>
      <c r="I17" s="32"/>
      <c r="J17" s="26"/>
      <c r="K17" s="26"/>
    </row>
    <row r="18" customFormat="false" ht="15" hidden="false" customHeight="false" outlineLevel="0" collapsed="false">
      <c r="A18" s="32"/>
      <c r="B18" s="17" t="str">
        <f aca="false">IF(A18="","",IFERROR(INDEX(Calendario!$A$4:$A$107,MATCH(A18,Calendario!$B$4:$B$107,1)),""))</f>
        <v/>
      </c>
      <c r="C18" s="17" t="str">
        <f aca="false">IF(A18="","",YEAR(A18)&amp;"-"&amp;TEXT(MONTH(A18),"00"))</f>
        <v/>
      </c>
      <c r="D18" s="26"/>
      <c r="E18" s="26"/>
      <c r="F18" s="26"/>
      <c r="G18" s="29"/>
      <c r="H18" s="26"/>
      <c r="I18" s="32"/>
      <c r="J18" s="26"/>
      <c r="K18" s="26"/>
    </row>
    <row r="19" customFormat="false" ht="15" hidden="false" customHeight="false" outlineLevel="0" collapsed="false">
      <c r="A19" s="32"/>
      <c r="B19" s="17" t="str">
        <f aca="false">IF(A19="","",IFERROR(INDEX(Calendario!$A$4:$A$107,MATCH(A19,Calendario!$B$4:$B$107,1)),""))</f>
        <v/>
      </c>
      <c r="C19" s="17" t="str">
        <f aca="false">IF(A19="","",YEAR(A19)&amp;"-"&amp;TEXT(MONTH(A19),"00"))</f>
        <v/>
      </c>
      <c r="D19" s="26"/>
      <c r="E19" s="26"/>
      <c r="F19" s="26"/>
      <c r="G19" s="29"/>
      <c r="H19" s="26"/>
      <c r="I19" s="32"/>
      <c r="J19" s="26"/>
      <c r="K19" s="26"/>
    </row>
    <row r="20" customFormat="false" ht="15" hidden="false" customHeight="false" outlineLevel="0" collapsed="false">
      <c r="A20" s="32"/>
      <c r="B20" s="17" t="str">
        <f aca="false">IF(A20="","",IFERROR(INDEX(Calendario!$A$4:$A$107,MATCH(A20,Calendario!$B$4:$B$107,1)),""))</f>
        <v/>
      </c>
      <c r="C20" s="17" t="str">
        <f aca="false">IF(A20="","",YEAR(A20)&amp;"-"&amp;TEXT(MONTH(A20),"00"))</f>
        <v/>
      </c>
      <c r="D20" s="26"/>
      <c r="E20" s="26"/>
      <c r="F20" s="26"/>
      <c r="G20" s="29"/>
      <c r="H20" s="26"/>
      <c r="I20" s="32"/>
      <c r="J20" s="26"/>
      <c r="K20" s="26"/>
    </row>
    <row r="21" customFormat="false" ht="15" hidden="false" customHeight="false" outlineLevel="0" collapsed="false">
      <c r="A21" s="32"/>
      <c r="B21" s="17" t="str">
        <f aca="false">IF(A21="","",IFERROR(INDEX(Calendario!$A$4:$A$107,MATCH(A21,Calendario!$B$4:$B$107,1)),""))</f>
        <v/>
      </c>
      <c r="C21" s="17" t="str">
        <f aca="false">IF(A21="","",YEAR(A21)&amp;"-"&amp;TEXT(MONTH(A21),"00"))</f>
        <v/>
      </c>
      <c r="D21" s="26"/>
      <c r="E21" s="26"/>
      <c r="F21" s="26"/>
      <c r="G21" s="29"/>
      <c r="H21" s="26"/>
      <c r="I21" s="32"/>
      <c r="J21" s="26"/>
      <c r="K21" s="26"/>
    </row>
    <row r="22" customFormat="false" ht="15" hidden="false" customHeight="false" outlineLevel="0" collapsed="false">
      <c r="A22" s="32"/>
      <c r="B22" s="17" t="str">
        <f aca="false">IF(A22="","",IFERROR(INDEX(Calendario!$A$4:$A$107,MATCH(A22,Calendario!$B$4:$B$107,1)),""))</f>
        <v/>
      </c>
      <c r="C22" s="17" t="str">
        <f aca="false">IF(A22="","",YEAR(A22)&amp;"-"&amp;TEXT(MONTH(A22),"00"))</f>
        <v/>
      </c>
      <c r="D22" s="26"/>
      <c r="E22" s="26"/>
      <c r="F22" s="26"/>
      <c r="G22" s="29"/>
      <c r="H22" s="26"/>
      <c r="I22" s="32"/>
      <c r="J22" s="26"/>
      <c r="K22" s="26"/>
    </row>
    <row r="23" customFormat="false" ht="15" hidden="false" customHeight="false" outlineLevel="0" collapsed="false">
      <c r="A23" s="32"/>
      <c r="B23" s="17" t="str">
        <f aca="false">IF(A23="","",IFERROR(INDEX(Calendario!$A$4:$A$107,MATCH(A23,Calendario!$B$4:$B$107,1)),""))</f>
        <v/>
      </c>
      <c r="C23" s="17" t="str">
        <f aca="false">IF(A23="","",YEAR(A23)&amp;"-"&amp;TEXT(MONTH(A23),"00"))</f>
        <v/>
      </c>
      <c r="D23" s="26"/>
      <c r="E23" s="26"/>
      <c r="F23" s="26"/>
      <c r="G23" s="29"/>
      <c r="H23" s="26"/>
      <c r="I23" s="32"/>
      <c r="J23" s="26"/>
      <c r="K23" s="26"/>
    </row>
    <row r="24" customFormat="false" ht="15" hidden="false" customHeight="false" outlineLevel="0" collapsed="false">
      <c r="A24" s="32"/>
      <c r="B24" s="17" t="str">
        <f aca="false">IF(A24="","",IFERROR(INDEX(Calendario!$A$4:$A$107,MATCH(A24,Calendario!$B$4:$B$107,1)),""))</f>
        <v/>
      </c>
      <c r="C24" s="17" t="str">
        <f aca="false">IF(A24="","",YEAR(A24)&amp;"-"&amp;TEXT(MONTH(A24),"00"))</f>
        <v/>
      </c>
      <c r="D24" s="26"/>
      <c r="E24" s="26"/>
      <c r="F24" s="26"/>
      <c r="G24" s="29"/>
      <c r="H24" s="26"/>
      <c r="I24" s="32"/>
      <c r="J24" s="26"/>
      <c r="K24" s="26"/>
    </row>
    <row r="25" customFormat="false" ht="15" hidden="false" customHeight="false" outlineLevel="0" collapsed="false">
      <c r="A25" s="32"/>
      <c r="B25" s="17" t="str">
        <f aca="false">IF(A25="","",IFERROR(INDEX(Calendario!$A$4:$A$107,MATCH(A25,Calendario!$B$4:$B$107,1)),""))</f>
        <v/>
      </c>
      <c r="C25" s="17" t="str">
        <f aca="false">IF(A25="","",YEAR(A25)&amp;"-"&amp;TEXT(MONTH(A25),"00"))</f>
        <v/>
      </c>
      <c r="D25" s="26"/>
      <c r="E25" s="26"/>
      <c r="F25" s="26"/>
      <c r="G25" s="29"/>
      <c r="H25" s="26"/>
      <c r="I25" s="32"/>
      <c r="J25" s="26"/>
      <c r="K25" s="26"/>
    </row>
    <row r="26" customFormat="false" ht="15" hidden="false" customHeight="false" outlineLevel="0" collapsed="false">
      <c r="A26" s="32"/>
      <c r="B26" s="17" t="str">
        <f aca="false">IF(A26="","",IFERROR(INDEX(Calendario!$A$4:$A$107,MATCH(A26,Calendario!$B$4:$B$107,1)),""))</f>
        <v/>
      </c>
      <c r="C26" s="17" t="str">
        <f aca="false">IF(A26="","",YEAR(A26)&amp;"-"&amp;TEXT(MONTH(A26),"00"))</f>
        <v/>
      </c>
      <c r="D26" s="26"/>
      <c r="E26" s="26"/>
      <c r="F26" s="26"/>
      <c r="G26" s="29"/>
      <c r="H26" s="26"/>
      <c r="I26" s="32"/>
      <c r="J26" s="26"/>
      <c r="K26" s="26"/>
    </row>
    <row r="27" customFormat="false" ht="15" hidden="false" customHeight="false" outlineLevel="0" collapsed="false">
      <c r="A27" s="32"/>
      <c r="B27" s="17" t="str">
        <f aca="false">IF(A27="","",IFERROR(INDEX(Calendario!$A$4:$A$107,MATCH(A27,Calendario!$B$4:$B$107,1)),""))</f>
        <v/>
      </c>
      <c r="C27" s="17" t="str">
        <f aca="false">IF(A27="","",YEAR(A27)&amp;"-"&amp;TEXT(MONTH(A27),"00"))</f>
        <v/>
      </c>
      <c r="D27" s="26"/>
      <c r="E27" s="26"/>
      <c r="F27" s="26"/>
      <c r="G27" s="29"/>
      <c r="H27" s="26"/>
      <c r="I27" s="32"/>
      <c r="J27" s="26"/>
      <c r="K27" s="26"/>
    </row>
    <row r="28" customFormat="false" ht="15" hidden="false" customHeight="false" outlineLevel="0" collapsed="false">
      <c r="A28" s="32"/>
      <c r="B28" s="17" t="str">
        <f aca="false">IF(A28="","",IFERROR(INDEX(Calendario!$A$4:$A$107,MATCH(A28,Calendario!$B$4:$B$107,1)),""))</f>
        <v/>
      </c>
      <c r="C28" s="17" t="str">
        <f aca="false">IF(A28="","",YEAR(A28)&amp;"-"&amp;TEXT(MONTH(A28),"00"))</f>
        <v/>
      </c>
      <c r="D28" s="26"/>
      <c r="E28" s="26"/>
      <c r="F28" s="26"/>
      <c r="G28" s="29"/>
      <c r="H28" s="26"/>
      <c r="I28" s="32"/>
      <c r="J28" s="26"/>
      <c r="K28" s="26"/>
    </row>
    <row r="29" customFormat="false" ht="15" hidden="false" customHeight="false" outlineLevel="0" collapsed="false">
      <c r="A29" s="32"/>
      <c r="B29" s="17" t="str">
        <f aca="false">IF(A29="","",IFERROR(INDEX(Calendario!$A$4:$A$107,MATCH(A29,Calendario!$B$4:$B$107,1)),""))</f>
        <v/>
      </c>
      <c r="C29" s="17" t="str">
        <f aca="false">IF(A29="","",YEAR(A29)&amp;"-"&amp;TEXT(MONTH(A29),"00"))</f>
        <v/>
      </c>
      <c r="D29" s="26"/>
      <c r="E29" s="26"/>
      <c r="F29" s="26"/>
      <c r="G29" s="29"/>
      <c r="H29" s="26"/>
      <c r="I29" s="32"/>
      <c r="J29" s="26"/>
      <c r="K29" s="26"/>
    </row>
    <row r="30" customFormat="false" ht="15" hidden="false" customHeight="false" outlineLevel="0" collapsed="false">
      <c r="A30" s="32"/>
      <c r="B30" s="17" t="str">
        <f aca="false">IF(A30="","",IFERROR(INDEX(Calendario!$A$4:$A$107,MATCH(A30,Calendario!$B$4:$B$107,1)),""))</f>
        <v/>
      </c>
      <c r="C30" s="17" t="str">
        <f aca="false">IF(A30="","",YEAR(A30)&amp;"-"&amp;TEXT(MONTH(A30),"00"))</f>
        <v/>
      </c>
      <c r="D30" s="26"/>
      <c r="E30" s="26"/>
      <c r="F30" s="26"/>
      <c r="G30" s="29"/>
      <c r="H30" s="26"/>
      <c r="I30" s="32"/>
      <c r="J30" s="26"/>
      <c r="K30" s="26"/>
    </row>
    <row r="31" customFormat="false" ht="15" hidden="false" customHeight="false" outlineLevel="0" collapsed="false">
      <c r="A31" s="32"/>
      <c r="B31" s="17" t="str">
        <f aca="false">IF(A31="","",IFERROR(INDEX(Calendario!$A$4:$A$107,MATCH(A31,Calendario!$B$4:$B$107,1)),""))</f>
        <v/>
      </c>
      <c r="C31" s="17" t="str">
        <f aca="false">IF(A31="","",YEAR(A31)&amp;"-"&amp;TEXT(MONTH(A31),"00"))</f>
        <v/>
      </c>
      <c r="D31" s="26"/>
      <c r="E31" s="26"/>
      <c r="F31" s="26"/>
      <c r="G31" s="29"/>
      <c r="H31" s="26"/>
      <c r="I31" s="32"/>
      <c r="J31" s="26"/>
      <c r="K31" s="26"/>
    </row>
    <row r="32" customFormat="false" ht="15" hidden="false" customHeight="false" outlineLevel="0" collapsed="false">
      <c r="A32" s="32"/>
      <c r="B32" s="17" t="str">
        <f aca="false">IF(A32="","",IFERROR(INDEX(Calendario!$A$4:$A$107,MATCH(A32,Calendario!$B$4:$B$107,1)),""))</f>
        <v/>
      </c>
      <c r="C32" s="17" t="str">
        <f aca="false">IF(A32="","",YEAR(A32)&amp;"-"&amp;TEXT(MONTH(A32),"00"))</f>
        <v/>
      </c>
      <c r="D32" s="26"/>
      <c r="E32" s="26"/>
      <c r="F32" s="26"/>
      <c r="G32" s="29"/>
      <c r="H32" s="26"/>
      <c r="I32" s="32"/>
      <c r="J32" s="26"/>
      <c r="K32" s="26"/>
    </row>
    <row r="33" customFormat="false" ht="15" hidden="false" customHeight="false" outlineLevel="0" collapsed="false">
      <c r="A33" s="32"/>
      <c r="B33" s="17" t="str">
        <f aca="false">IF(A33="","",IFERROR(INDEX(Calendario!$A$4:$A$107,MATCH(A33,Calendario!$B$4:$B$107,1)),""))</f>
        <v/>
      </c>
      <c r="C33" s="17" t="str">
        <f aca="false">IF(A33="","",YEAR(A33)&amp;"-"&amp;TEXT(MONTH(A33),"00"))</f>
        <v/>
      </c>
      <c r="D33" s="26"/>
      <c r="E33" s="26"/>
      <c r="F33" s="26"/>
      <c r="G33" s="29"/>
      <c r="H33" s="26"/>
      <c r="I33" s="32"/>
      <c r="J33" s="26"/>
      <c r="K33" s="26"/>
    </row>
    <row r="34" customFormat="false" ht="15" hidden="false" customHeight="false" outlineLevel="0" collapsed="false">
      <c r="A34" s="32"/>
      <c r="B34" s="17" t="str">
        <f aca="false">IF(A34="","",IFERROR(INDEX(Calendario!$A$4:$A$107,MATCH(A34,Calendario!$B$4:$B$107,1)),""))</f>
        <v/>
      </c>
      <c r="C34" s="17" t="str">
        <f aca="false">IF(A34="","",YEAR(A34)&amp;"-"&amp;TEXT(MONTH(A34),"00"))</f>
        <v/>
      </c>
      <c r="D34" s="26"/>
      <c r="E34" s="26"/>
      <c r="F34" s="26"/>
      <c r="G34" s="29"/>
      <c r="H34" s="26"/>
      <c r="I34" s="32"/>
      <c r="J34" s="26"/>
      <c r="K34" s="26"/>
    </row>
    <row r="35" customFormat="false" ht="15" hidden="false" customHeight="false" outlineLevel="0" collapsed="false">
      <c r="A35" s="32"/>
      <c r="B35" s="17" t="str">
        <f aca="false">IF(A35="","",IFERROR(INDEX(Calendario!$A$4:$A$107,MATCH(A35,Calendario!$B$4:$B$107,1)),""))</f>
        <v/>
      </c>
      <c r="C35" s="17" t="str">
        <f aca="false">IF(A35="","",YEAR(A35)&amp;"-"&amp;TEXT(MONTH(A35),"00"))</f>
        <v/>
      </c>
      <c r="D35" s="26"/>
      <c r="E35" s="26"/>
      <c r="F35" s="26"/>
      <c r="G35" s="29"/>
      <c r="H35" s="26"/>
      <c r="I35" s="32"/>
      <c r="J35" s="26"/>
      <c r="K35" s="26"/>
    </row>
    <row r="36" customFormat="false" ht="15" hidden="false" customHeight="false" outlineLevel="0" collapsed="false">
      <c r="A36" s="32"/>
      <c r="B36" s="17" t="str">
        <f aca="false">IF(A36="","",IFERROR(INDEX(Calendario!$A$4:$A$107,MATCH(A36,Calendario!$B$4:$B$107,1)),""))</f>
        <v/>
      </c>
      <c r="C36" s="17" t="str">
        <f aca="false">IF(A36="","",YEAR(A36)&amp;"-"&amp;TEXT(MONTH(A36),"00"))</f>
        <v/>
      </c>
      <c r="D36" s="26"/>
      <c r="E36" s="26"/>
      <c r="F36" s="26"/>
      <c r="G36" s="29"/>
      <c r="H36" s="26"/>
      <c r="I36" s="32"/>
      <c r="J36" s="26"/>
      <c r="K36" s="26"/>
    </row>
    <row r="37" customFormat="false" ht="15" hidden="false" customHeight="false" outlineLevel="0" collapsed="false">
      <c r="A37" s="32"/>
      <c r="B37" s="17" t="str">
        <f aca="false">IF(A37="","",IFERROR(INDEX(Calendario!$A$4:$A$107,MATCH(A37,Calendario!$B$4:$B$107,1)),""))</f>
        <v/>
      </c>
      <c r="C37" s="17" t="str">
        <f aca="false">IF(A37="","",YEAR(A37)&amp;"-"&amp;TEXT(MONTH(A37),"00"))</f>
        <v/>
      </c>
      <c r="D37" s="26"/>
      <c r="E37" s="26"/>
      <c r="F37" s="26"/>
      <c r="G37" s="29"/>
      <c r="H37" s="26"/>
      <c r="I37" s="32"/>
      <c r="J37" s="26"/>
      <c r="K37" s="26"/>
    </row>
    <row r="38" customFormat="false" ht="15" hidden="false" customHeight="false" outlineLevel="0" collapsed="false">
      <c r="A38" s="32"/>
      <c r="B38" s="17" t="str">
        <f aca="false">IF(A38="","",IFERROR(INDEX(Calendario!$A$4:$A$107,MATCH(A38,Calendario!$B$4:$B$107,1)),""))</f>
        <v/>
      </c>
      <c r="C38" s="17" t="str">
        <f aca="false">IF(A38="","",YEAR(A38)&amp;"-"&amp;TEXT(MONTH(A38),"00"))</f>
        <v/>
      </c>
      <c r="D38" s="26"/>
      <c r="E38" s="26"/>
      <c r="F38" s="26"/>
      <c r="G38" s="29"/>
      <c r="H38" s="26"/>
      <c r="I38" s="32"/>
      <c r="J38" s="26"/>
      <c r="K38" s="26"/>
    </row>
    <row r="39" customFormat="false" ht="15" hidden="false" customHeight="false" outlineLevel="0" collapsed="false">
      <c r="A39" s="32"/>
      <c r="B39" s="17" t="str">
        <f aca="false">IF(A39="","",IFERROR(INDEX(Calendario!$A$4:$A$107,MATCH(A39,Calendario!$B$4:$B$107,1)),""))</f>
        <v/>
      </c>
      <c r="C39" s="17" t="str">
        <f aca="false">IF(A39="","",YEAR(A39)&amp;"-"&amp;TEXT(MONTH(A39),"00"))</f>
        <v/>
      </c>
      <c r="D39" s="26"/>
      <c r="E39" s="26"/>
      <c r="F39" s="26"/>
      <c r="G39" s="29"/>
      <c r="H39" s="26"/>
      <c r="I39" s="32"/>
      <c r="J39" s="26"/>
      <c r="K39" s="26"/>
    </row>
    <row r="40" customFormat="false" ht="15" hidden="false" customHeight="false" outlineLevel="0" collapsed="false">
      <c r="A40" s="32"/>
      <c r="B40" s="17" t="str">
        <f aca="false">IF(A40="","",IFERROR(INDEX(Calendario!$A$4:$A$107,MATCH(A40,Calendario!$B$4:$B$107,1)),""))</f>
        <v/>
      </c>
      <c r="C40" s="17" t="str">
        <f aca="false">IF(A40="","",YEAR(A40)&amp;"-"&amp;TEXT(MONTH(A40),"00"))</f>
        <v/>
      </c>
      <c r="D40" s="26"/>
      <c r="E40" s="26"/>
      <c r="F40" s="26"/>
      <c r="G40" s="29"/>
      <c r="H40" s="26"/>
      <c r="I40" s="32"/>
      <c r="J40" s="26"/>
      <c r="K40" s="26"/>
    </row>
    <row r="41" customFormat="false" ht="15" hidden="false" customHeight="false" outlineLevel="0" collapsed="false">
      <c r="A41" s="32"/>
      <c r="B41" s="17" t="str">
        <f aca="false">IF(A41="","",IFERROR(INDEX(Calendario!$A$4:$A$107,MATCH(A41,Calendario!$B$4:$B$107,1)),""))</f>
        <v/>
      </c>
      <c r="C41" s="17" t="str">
        <f aca="false">IF(A41="","",YEAR(A41)&amp;"-"&amp;TEXT(MONTH(A41),"00"))</f>
        <v/>
      </c>
      <c r="D41" s="26"/>
      <c r="E41" s="26"/>
      <c r="F41" s="26"/>
      <c r="G41" s="29"/>
      <c r="H41" s="26"/>
      <c r="I41" s="32"/>
      <c r="J41" s="26"/>
      <c r="K41" s="26"/>
    </row>
    <row r="42" customFormat="false" ht="15" hidden="false" customHeight="false" outlineLevel="0" collapsed="false">
      <c r="A42" s="32"/>
      <c r="B42" s="17" t="str">
        <f aca="false">IF(A42="","",IFERROR(INDEX(Calendario!$A$4:$A$107,MATCH(A42,Calendario!$B$4:$B$107,1)),""))</f>
        <v/>
      </c>
      <c r="C42" s="17" t="str">
        <f aca="false">IF(A42="","",YEAR(A42)&amp;"-"&amp;TEXT(MONTH(A42),"00"))</f>
        <v/>
      </c>
      <c r="D42" s="26"/>
      <c r="E42" s="26"/>
      <c r="F42" s="26"/>
      <c r="G42" s="29"/>
      <c r="H42" s="26"/>
      <c r="I42" s="32"/>
      <c r="J42" s="26"/>
      <c r="K42" s="26"/>
    </row>
    <row r="43" customFormat="false" ht="15" hidden="false" customHeight="false" outlineLevel="0" collapsed="false">
      <c r="A43" s="32"/>
      <c r="B43" s="17" t="str">
        <f aca="false">IF(A43="","",IFERROR(INDEX(Calendario!$A$4:$A$107,MATCH(A43,Calendario!$B$4:$B$107,1)),""))</f>
        <v/>
      </c>
      <c r="C43" s="17" t="str">
        <f aca="false">IF(A43="","",YEAR(A43)&amp;"-"&amp;TEXT(MONTH(A43),"00"))</f>
        <v/>
      </c>
      <c r="D43" s="26"/>
      <c r="E43" s="26"/>
      <c r="F43" s="26"/>
      <c r="G43" s="29"/>
      <c r="H43" s="26"/>
      <c r="I43" s="32"/>
      <c r="J43" s="26"/>
      <c r="K43" s="26"/>
    </row>
    <row r="44" customFormat="false" ht="15" hidden="false" customHeight="false" outlineLevel="0" collapsed="false">
      <c r="A44" s="32"/>
      <c r="B44" s="17" t="str">
        <f aca="false">IF(A44="","",IFERROR(INDEX(Calendario!$A$4:$A$107,MATCH(A44,Calendario!$B$4:$B$107,1)),""))</f>
        <v/>
      </c>
      <c r="C44" s="17" t="str">
        <f aca="false">IF(A44="","",YEAR(A44)&amp;"-"&amp;TEXT(MONTH(A44),"00"))</f>
        <v/>
      </c>
      <c r="D44" s="26"/>
      <c r="E44" s="26"/>
      <c r="F44" s="26"/>
      <c r="G44" s="29"/>
      <c r="H44" s="26"/>
      <c r="I44" s="32"/>
      <c r="J44" s="26"/>
      <c r="K44" s="26"/>
    </row>
    <row r="45" customFormat="false" ht="15" hidden="false" customHeight="false" outlineLevel="0" collapsed="false">
      <c r="A45" s="32"/>
      <c r="B45" s="17" t="str">
        <f aca="false">IF(A45="","",IFERROR(INDEX(Calendario!$A$4:$A$107,MATCH(A45,Calendario!$B$4:$B$107,1)),""))</f>
        <v/>
      </c>
      <c r="C45" s="17" t="str">
        <f aca="false">IF(A45="","",YEAR(A45)&amp;"-"&amp;TEXT(MONTH(A45),"00"))</f>
        <v/>
      </c>
      <c r="D45" s="26"/>
      <c r="E45" s="26"/>
      <c r="F45" s="26"/>
      <c r="G45" s="29"/>
      <c r="H45" s="26"/>
      <c r="I45" s="32"/>
      <c r="J45" s="26"/>
      <c r="K45" s="26"/>
    </row>
    <row r="46" customFormat="false" ht="15" hidden="false" customHeight="false" outlineLevel="0" collapsed="false">
      <c r="A46" s="32"/>
      <c r="B46" s="17" t="str">
        <f aca="false">IF(A46="","",IFERROR(INDEX(Calendario!$A$4:$A$107,MATCH(A46,Calendario!$B$4:$B$107,1)),""))</f>
        <v/>
      </c>
      <c r="C46" s="17" t="str">
        <f aca="false">IF(A46="","",YEAR(A46)&amp;"-"&amp;TEXT(MONTH(A46),"00"))</f>
        <v/>
      </c>
      <c r="D46" s="26"/>
      <c r="E46" s="26"/>
      <c r="F46" s="26"/>
      <c r="G46" s="29"/>
      <c r="H46" s="26"/>
      <c r="I46" s="32"/>
      <c r="J46" s="26"/>
      <c r="K46" s="26"/>
    </row>
    <row r="47" customFormat="false" ht="15" hidden="false" customHeight="false" outlineLevel="0" collapsed="false">
      <c r="A47" s="32"/>
      <c r="B47" s="17" t="str">
        <f aca="false">IF(A47="","",IFERROR(INDEX(Calendario!$A$4:$A$107,MATCH(A47,Calendario!$B$4:$B$107,1)),""))</f>
        <v/>
      </c>
      <c r="C47" s="17" t="str">
        <f aca="false">IF(A47="","",YEAR(A47)&amp;"-"&amp;TEXT(MONTH(A47),"00"))</f>
        <v/>
      </c>
      <c r="D47" s="26"/>
      <c r="E47" s="26"/>
      <c r="F47" s="26"/>
      <c r="G47" s="29"/>
      <c r="H47" s="26"/>
      <c r="I47" s="32"/>
      <c r="J47" s="26"/>
      <c r="K47" s="26"/>
    </row>
    <row r="48" customFormat="false" ht="15" hidden="false" customHeight="false" outlineLevel="0" collapsed="false">
      <c r="A48" s="32"/>
      <c r="B48" s="17" t="str">
        <f aca="false">IF(A48="","",IFERROR(INDEX(Calendario!$A$4:$A$107,MATCH(A48,Calendario!$B$4:$B$107,1)),""))</f>
        <v/>
      </c>
      <c r="C48" s="17" t="str">
        <f aca="false">IF(A48="","",YEAR(A48)&amp;"-"&amp;TEXT(MONTH(A48),"00"))</f>
        <v/>
      </c>
      <c r="D48" s="26"/>
      <c r="E48" s="26"/>
      <c r="F48" s="26"/>
      <c r="G48" s="29"/>
      <c r="H48" s="26"/>
      <c r="I48" s="32"/>
      <c r="J48" s="26"/>
      <c r="K48" s="26"/>
    </row>
    <row r="49" customFormat="false" ht="15" hidden="false" customHeight="false" outlineLevel="0" collapsed="false">
      <c r="A49" s="32"/>
      <c r="B49" s="17" t="str">
        <f aca="false">IF(A49="","",IFERROR(INDEX(Calendario!$A$4:$A$107,MATCH(A49,Calendario!$B$4:$B$107,1)),""))</f>
        <v/>
      </c>
      <c r="C49" s="17" t="str">
        <f aca="false">IF(A49="","",YEAR(A49)&amp;"-"&amp;TEXT(MONTH(A49),"00"))</f>
        <v/>
      </c>
      <c r="D49" s="26"/>
      <c r="E49" s="26"/>
      <c r="F49" s="26"/>
      <c r="G49" s="29"/>
      <c r="H49" s="26"/>
      <c r="I49" s="32"/>
      <c r="J49" s="26"/>
      <c r="K49" s="26"/>
    </row>
    <row r="50" customFormat="false" ht="15" hidden="false" customHeight="false" outlineLevel="0" collapsed="false">
      <c r="A50" s="32"/>
      <c r="B50" s="17" t="str">
        <f aca="false">IF(A50="","",IFERROR(INDEX(Calendario!$A$4:$A$107,MATCH(A50,Calendario!$B$4:$B$107,1)),""))</f>
        <v/>
      </c>
      <c r="C50" s="17" t="str">
        <f aca="false">IF(A50="","",YEAR(A50)&amp;"-"&amp;TEXT(MONTH(A50),"00"))</f>
        <v/>
      </c>
      <c r="D50" s="26"/>
      <c r="E50" s="26"/>
      <c r="F50" s="26"/>
      <c r="G50" s="29"/>
      <c r="H50" s="26"/>
      <c r="I50" s="32"/>
      <c r="J50" s="26"/>
      <c r="K50" s="26"/>
    </row>
    <row r="51" customFormat="false" ht="15" hidden="false" customHeight="false" outlineLevel="0" collapsed="false">
      <c r="A51" s="32"/>
      <c r="B51" s="17" t="str">
        <f aca="false">IF(A51="","",IFERROR(INDEX(Calendario!$A$4:$A$107,MATCH(A51,Calendario!$B$4:$B$107,1)),""))</f>
        <v/>
      </c>
      <c r="C51" s="17" t="str">
        <f aca="false">IF(A51="","",YEAR(A51)&amp;"-"&amp;TEXT(MONTH(A51),"00"))</f>
        <v/>
      </c>
      <c r="D51" s="26"/>
      <c r="E51" s="26"/>
      <c r="F51" s="26"/>
      <c r="G51" s="29"/>
      <c r="H51" s="26"/>
      <c r="I51" s="32"/>
      <c r="J51" s="26"/>
      <c r="K51" s="26"/>
    </row>
    <row r="52" customFormat="false" ht="15" hidden="false" customHeight="false" outlineLevel="0" collapsed="false">
      <c r="A52" s="32"/>
      <c r="B52" s="17" t="str">
        <f aca="false">IF(A52="","",IFERROR(INDEX(Calendario!$A$4:$A$107,MATCH(A52,Calendario!$B$4:$B$107,1)),""))</f>
        <v/>
      </c>
      <c r="C52" s="17" t="str">
        <f aca="false">IF(A52="","",YEAR(A52)&amp;"-"&amp;TEXT(MONTH(A52),"00"))</f>
        <v/>
      </c>
      <c r="D52" s="26"/>
      <c r="E52" s="26"/>
      <c r="F52" s="26"/>
      <c r="G52" s="29"/>
      <c r="H52" s="26"/>
      <c r="I52" s="32"/>
      <c r="J52" s="26"/>
      <c r="K52" s="26"/>
    </row>
    <row r="53" customFormat="false" ht="15" hidden="false" customHeight="false" outlineLevel="0" collapsed="false">
      <c r="A53" s="32"/>
      <c r="B53" s="17" t="str">
        <f aca="false">IF(A53="","",IFERROR(INDEX(Calendario!$A$4:$A$107,MATCH(A53,Calendario!$B$4:$B$107,1)),""))</f>
        <v/>
      </c>
      <c r="C53" s="17" t="str">
        <f aca="false">IF(A53="","",YEAR(A53)&amp;"-"&amp;TEXT(MONTH(A53),"00"))</f>
        <v/>
      </c>
      <c r="D53" s="26"/>
      <c r="E53" s="26"/>
      <c r="F53" s="26"/>
      <c r="G53" s="29"/>
      <c r="H53" s="26"/>
      <c r="I53" s="32"/>
      <c r="J53" s="26"/>
      <c r="K53" s="26"/>
    </row>
    <row r="54" customFormat="false" ht="15" hidden="false" customHeight="false" outlineLevel="0" collapsed="false">
      <c r="A54" s="32"/>
      <c r="B54" s="17" t="str">
        <f aca="false">IF(A54="","",IFERROR(INDEX(Calendario!$A$4:$A$107,MATCH(A54,Calendario!$B$4:$B$107,1)),""))</f>
        <v/>
      </c>
      <c r="C54" s="17" t="str">
        <f aca="false">IF(A54="","",YEAR(A54)&amp;"-"&amp;TEXT(MONTH(A54),"00"))</f>
        <v/>
      </c>
      <c r="D54" s="26"/>
      <c r="E54" s="26"/>
      <c r="F54" s="26"/>
      <c r="G54" s="29"/>
      <c r="H54" s="26"/>
      <c r="I54" s="32"/>
      <c r="J54" s="26"/>
      <c r="K54" s="26"/>
    </row>
    <row r="55" customFormat="false" ht="15" hidden="false" customHeight="false" outlineLevel="0" collapsed="false">
      <c r="A55" s="32"/>
      <c r="B55" s="17" t="str">
        <f aca="false">IF(A55="","",IFERROR(INDEX(Calendario!$A$4:$A$107,MATCH(A55,Calendario!$B$4:$B$107,1)),""))</f>
        <v/>
      </c>
      <c r="C55" s="17" t="str">
        <f aca="false">IF(A55="","",YEAR(A55)&amp;"-"&amp;TEXT(MONTH(A55),"00"))</f>
        <v/>
      </c>
      <c r="D55" s="26"/>
      <c r="E55" s="26"/>
      <c r="F55" s="26"/>
      <c r="G55" s="29"/>
      <c r="H55" s="26"/>
      <c r="I55" s="32"/>
      <c r="J55" s="26"/>
      <c r="K55" s="26"/>
    </row>
    <row r="56" customFormat="false" ht="15" hidden="false" customHeight="false" outlineLevel="0" collapsed="false">
      <c r="A56" s="32"/>
      <c r="B56" s="17" t="str">
        <f aca="false">IF(A56="","",IFERROR(INDEX(Calendario!$A$4:$A$107,MATCH(A56,Calendario!$B$4:$B$107,1)),""))</f>
        <v/>
      </c>
      <c r="C56" s="17" t="str">
        <f aca="false">IF(A56="","",YEAR(A56)&amp;"-"&amp;TEXT(MONTH(A56),"00"))</f>
        <v/>
      </c>
      <c r="D56" s="26"/>
      <c r="E56" s="26"/>
      <c r="F56" s="26"/>
      <c r="G56" s="29"/>
      <c r="H56" s="26"/>
      <c r="I56" s="32"/>
      <c r="J56" s="26"/>
      <c r="K56" s="26"/>
    </row>
    <row r="57" customFormat="false" ht="15" hidden="false" customHeight="false" outlineLevel="0" collapsed="false">
      <c r="A57" s="32"/>
      <c r="B57" s="17" t="str">
        <f aca="false">IF(A57="","",IFERROR(INDEX(Calendario!$A$4:$A$107,MATCH(A57,Calendario!$B$4:$B$107,1)),""))</f>
        <v/>
      </c>
      <c r="C57" s="17" t="str">
        <f aca="false">IF(A57="","",YEAR(A57)&amp;"-"&amp;TEXT(MONTH(A57),"00"))</f>
        <v/>
      </c>
      <c r="D57" s="26"/>
      <c r="E57" s="26"/>
      <c r="F57" s="26"/>
      <c r="G57" s="29"/>
      <c r="H57" s="26"/>
      <c r="I57" s="32"/>
      <c r="J57" s="26"/>
      <c r="K57" s="26"/>
    </row>
    <row r="58" customFormat="false" ht="15" hidden="false" customHeight="false" outlineLevel="0" collapsed="false">
      <c r="A58" s="32"/>
      <c r="B58" s="17" t="str">
        <f aca="false">IF(A58="","",IFERROR(INDEX(Calendario!$A$4:$A$107,MATCH(A58,Calendario!$B$4:$B$107,1)),""))</f>
        <v/>
      </c>
      <c r="C58" s="17" t="str">
        <f aca="false">IF(A58="","",YEAR(A58)&amp;"-"&amp;TEXT(MONTH(A58),"00"))</f>
        <v/>
      </c>
      <c r="D58" s="26"/>
      <c r="E58" s="26"/>
      <c r="F58" s="26"/>
      <c r="G58" s="29"/>
      <c r="H58" s="26"/>
      <c r="I58" s="32"/>
      <c r="J58" s="26"/>
      <c r="K58" s="26"/>
    </row>
    <row r="59" customFormat="false" ht="15" hidden="false" customHeight="false" outlineLevel="0" collapsed="false">
      <c r="A59" s="32"/>
      <c r="B59" s="17" t="str">
        <f aca="false">IF(A59="","",IFERROR(INDEX(Calendario!$A$4:$A$107,MATCH(A59,Calendario!$B$4:$B$107,1)),""))</f>
        <v/>
      </c>
      <c r="C59" s="17" t="str">
        <f aca="false">IF(A59="","",YEAR(A59)&amp;"-"&amp;TEXT(MONTH(A59),"00"))</f>
        <v/>
      </c>
      <c r="D59" s="26"/>
      <c r="E59" s="26"/>
      <c r="F59" s="26"/>
      <c r="G59" s="29"/>
      <c r="H59" s="26"/>
      <c r="I59" s="32"/>
      <c r="J59" s="26"/>
      <c r="K59" s="26"/>
    </row>
    <row r="60" customFormat="false" ht="15" hidden="false" customHeight="false" outlineLevel="0" collapsed="false">
      <c r="A60" s="32"/>
      <c r="B60" s="17" t="str">
        <f aca="false">IF(A60="","",IFERROR(INDEX(Calendario!$A$4:$A$107,MATCH(A60,Calendario!$B$4:$B$107,1)),""))</f>
        <v/>
      </c>
      <c r="C60" s="17" t="str">
        <f aca="false">IF(A60="","",YEAR(A60)&amp;"-"&amp;TEXT(MONTH(A60),"00"))</f>
        <v/>
      </c>
      <c r="D60" s="26"/>
      <c r="E60" s="26"/>
      <c r="F60" s="26"/>
      <c r="G60" s="29"/>
      <c r="H60" s="26"/>
      <c r="I60" s="32"/>
      <c r="J60" s="26"/>
      <c r="K60" s="26"/>
    </row>
    <row r="61" customFormat="false" ht="15" hidden="false" customHeight="false" outlineLevel="0" collapsed="false">
      <c r="A61" s="32"/>
      <c r="B61" s="17" t="str">
        <f aca="false">IF(A61="","",IFERROR(INDEX(Calendario!$A$4:$A$107,MATCH(A61,Calendario!$B$4:$B$107,1)),""))</f>
        <v/>
      </c>
      <c r="C61" s="17" t="str">
        <f aca="false">IF(A61="","",YEAR(A61)&amp;"-"&amp;TEXT(MONTH(A61),"00"))</f>
        <v/>
      </c>
      <c r="D61" s="26"/>
      <c r="E61" s="26"/>
      <c r="F61" s="26"/>
      <c r="G61" s="29"/>
      <c r="H61" s="26"/>
      <c r="I61" s="32"/>
      <c r="J61" s="26"/>
      <c r="K61" s="26"/>
    </row>
    <row r="62" customFormat="false" ht="15" hidden="false" customHeight="false" outlineLevel="0" collapsed="false">
      <c r="A62" s="32"/>
      <c r="B62" s="17" t="str">
        <f aca="false">IF(A62="","",IFERROR(INDEX(Calendario!$A$4:$A$107,MATCH(A62,Calendario!$B$4:$B$107,1)),""))</f>
        <v/>
      </c>
      <c r="C62" s="17" t="str">
        <f aca="false">IF(A62="","",YEAR(A62)&amp;"-"&amp;TEXT(MONTH(A62),"00"))</f>
        <v/>
      </c>
      <c r="D62" s="26"/>
      <c r="E62" s="26"/>
      <c r="F62" s="26"/>
      <c r="G62" s="29"/>
      <c r="H62" s="26"/>
      <c r="I62" s="32"/>
      <c r="J62" s="26"/>
      <c r="K62" s="26"/>
    </row>
    <row r="63" customFormat="false" ht="15" hidden="false" customHeight="false" outlineLevel="0" collapsed="false">
      <c r="A63" s="32"/>
      <c r="B63" s="17" t="str">
        <f aca="false">IF(A63="","",IFERROR(INDEX(Calendario!$A$4:$A$107,MATCH(A63,Calendario!$B$4:$B$107,1)),""))</f>
        <v/>
      </c>
      <c r="C63" s="17" t="str">
        <f aca="false">IF(A63="","",YEAR(A63)&amp;"-"&amp;TEXT(MONTH(A63),"00"))</f>
        <v/>
      </c>
      <c r="D63" s="26"/>
      <c r="E63" s="26"/>
      <c r="F63" s="26"/>
      <c r="G63" s="29"/>
      <c r="H63" s="26"/>
      <c r="I63" s="32"/>
      <c r="J63" s="26"/>
      <c r="K63" s="26"/>
    </row>
    <row r="64" customFormat="false" ht="15" hidden="false" customHeight="false" outlineLevel="0" collapsed="false">
      <c r="A64" s="32"/>
      <c r="B64" s="17" t="str">
        <f aca="false">IF(A64="","",IFERROR(INDEX(Calendario!$A$4:$A$107,MATCH(A64,Calendario!$B$4:$B$107,1)),""))</f>
        <v/>
      </c>
      <c r="C64" s="17" t="str">
        <f aca="false">IF(A64="","",YEAR(A64)&amp;"-"&amp;TEXT(MONTH(A64),"00"))</f>
        <v/>
      </c>
      <c r="D64" s="26"/>
      <c r="E64" s="26"/>
      <c r="F64" s="26"/>
      <c r="G64" s="29"/>
      <c r="H64" s="26"/>
      <c r="I64" s="32"/>
      <c r="J64" s="26"/>
      <c r="K64" s="26"/>
    </row>
    <row r="65" customFormat="false" ht="15" hidden="false" customHeight="false" outlineLevel="0" collapsed="false">
      <c r="A65" s="32"/>
      <c r="B65" s="17" t="str">
        <f aca="false">IF(A65="","",IFERROR(INDEX(Calendario!$A$4:$A$107,MATCH(A65,Calendario!$B$4:$B$107,1)),""))</f>
        <v/>
      </c>
      <c r="C65" s="17" t="str">
        <f aca="false">IF(A65="","",YEAR(A65)&amp;"-"&amp;TEXT(MONTH(A65),"00"))</f>
        <v/>
      </c>
      <c r="D65" s="26"/>
      <c r="E65" s="26"/>
      <c r="F65" s="26"/>
      <c r="G65" s="29"/>
      <c r="H65" s="26"/>
      <c r="I65" s="32"/>
      <c r="J65" s="26"/>
      <c r="K65" s="26"/>
    </row>
    <row r="66" customFormat="false" ht="15" hidden="false" customHeight="false" outlineLevel="0" collapsed="false">
      <c r="A66" s="32"/>
      <c r="B66" s="17" t="str">
        <f aca="false">IF(A66="","",IFERROR(INDEX(Calendario!$A$4:$A$107,MATCH(A66,Calendario!$B$4:$B$107,1)),""))</f>
        <v/>
      </c>
      <c r="C66" s="17" t="str">
        <f aca="false">IF(A66="","",YEAR(A66)&amp;"-"&amp;TEXT(MONTH(A66),"00"))</f>
        <v/>
      </c>
      <c r="D66" s="26"/>
      <c r="E66" s="26"/>
      <c r="F66" s="26"/>
      <c r="G66" s="29"/>
      <c r="H66" s="26"/>
      <c r="I66" s="32"/>
      <c r="J66" s="26"/>
      <c r="K66" s="26"/>
    </row>
    <row r="67" customFormat="false" ht="15" hidden="false" customHeight="false" outlineLevel="0" collapsed="false">
      <c r="A67" s="32"/>
      <c r="B67" s="17" t="str">
        <f aca="false">IF(A67="","",IFERROR(INDEX(Calendario!$A$4:$A$107,MATCH(A67,Calendario!$B$4:$B$107,1)),""))</f>
        <v/>
      </c>
      <c r="C67" s="17" t="str">
        <f aca="false">IF(A67="","",YEAR(A67)&amp;"-"&amp;TEXT(MONTH(A67),"00"))</f>
        <v/>
      </c>
      <c r="D67" s="26"/>
      <c r="E67" s="26"/>
      <c r="F67" s="26"/>
      <c r="G67" s="29"/>
      <c r="H67" s="26"/>
      <c r="I67" s="32"/>
      <c r="J67" s="26"/>
      <c r="K67" s="26"/>
    </row>
    <row r="68" customFormat="false" ht="15" hidden="false" customHeight="false" outlineLevel="0" collapsed="false">
      <c r="A68" s="32"/>
      <c r="B68" s="17" t="str">
        <f aca="false">IF(A68="","",IFERROR(INDEX(Calendario!$A$4:$A$107,MATCH(A68,Calendario!$B$4:$B$107,1)),""))</f>
        <v/>
      </c>
      <c r="C68" s="17" t="str">
        <f aca="false">IF(A68="","",YEAR(A68)&amp;"-"&amp;TEXT(MONTH(A68),"00"))</f>
        <v/>
      </c>
      <c r="D68" s="26"/>
      <c r="E68" s="26"/>
      <c r="F68" s="26"/>
      <c r="G68" s="29"/>
      <c r="H68" s="26"/>
      <c r="I68" s="32"/>
      <c r="J68" s="26"/>
      <c r="K68" s="26"/>
    </row>
    <row r="69" customFormat="false" ht="15" hidden="false" customHeight="false" outlineLevel="0" collapsed="false">
      <c r="A69" s="32"/>
      <c r="B69" s="17" t="str">
        <f aca="false">IF(A69="","",IFERROR(INDEX(Calendario!$A$4:$A$107,MATCH(A69,Calendario!$B$4:$B$107,1)),""))</f>
        <v/>
      </c>
      <c r="C69" s="17" t="str">
        <f aca="false">IF(A69="","",YEAR(A69)&amp;"-"&amp;TEXT(MONTH(A69),"00"))</f>
        <v/>
      </c>
      <c r="D69" s="26"/>
      <c r="E69" s="26"/>
      <c r="F69" s="26"/>
      <c r="G69" s="29"/>
      <c r="H69" s="26"/>
      <c r="I69" s="32"/>
      <c r="J69" s="26"/>
      <c r="K69" s="26"/>
    </row>
    <row r="70" customFormat="false" ht="15" hidden="false" customHeight="false" outlineLevel="0" collapsed="false">
      <c r="A70" s="32"/>
      <c r="B70" s="17" t="str">
        <f aca="false">IF(A70="","",IFERROR(INDEX(Calendario!$A$4:$A$107,MATCH(A70,Calendario!$B$4:$B$107,1)),""))</f>
        <v/>
      </c>
      <c r="C70" s="17" t="str">
        <f aca="false">IF(A70="","",YEAR(A70)&amp;"-"&amp;TEXT(MONTH(A70),"00"))</f>
        <v/>
      </c>
      <c r="D70" s="26"/>
      <c r="E70" s="26"/>
      <c r="F70" s="26"/>
      <c r="G70" s="29"/>
      <c r="H70" s="26"/>
      <c r="I70" s="32"/>
      <c r="J70" s="26"/>
      <c r="K70" s="26"/>
    </row>
    <row r="71" customFormat="false" ht="15" hidden="false" customHeight="false" outlineLevel="0" collapsed="false">
      <c r="A71" s="32"/>
      <c r="B71" s="17" t="str">
        <f aca="false">IF(A71="","",IFERROR(INDEX(Calendario!$A$4:$A$107,MATCH(A71,Calendario!$B$4:$B$107,1)),""))</f>
        <v/>
      </c>
      <c r="C71" s="17" t="str">
        <f aca="false">IF(A71="","",YEAR(A71)&amp;"-"&amp;TEXT(MONTH(A71),"00"))</f>
        <v/>
      </c>
      <c r="D71" s="26"/>
      <c r="E71" s="26"/>
      <c r="F71" s="26"/>
      <c r="G71" s="29"/>
      <c r="H71" s="26"/>
      <c r="I71" s="32"/>
      <c r="J71" s="26"/>
      <c r="K71" s="26"/>
    </row>
    <row r="72" customFormat="false" ht="15" hidden="false" customHeight="false" outlineLevel="0" collapsed="false">
      <c r="A72" s="32"/>
      <c r="B72" s="17" t="str">
        <f aca="false">IF(A72="","",IFERROR(INDEX(Calendario!$A$4:$A$107,MATCH(A72,Calendario!$B$4:$B$107,1)),""))</f>
        <v/>
      </c>
      <c r="C72" s="17" t="str">
        <f aca="false">IF(A72="","",YEAR(A72)&amp;"-"&amp;TEXT(MONTH(A72),"00"))</f>
        <v/>
      </c>
      <c r="D72" s="26"/>
      <c r="E72" s="26"/>
      <c r="F72" s="26"/>
      <c r="G72" s="29"/>
      <c r="H72" s="26"/>
      <c r="I72" s="32"/>
      <c r="J72" s="26"/>
      <c r="K72" s="26"/>
    </row>
    <row r="73" customFormat="false" ht="15" hidden="false" customHeight="false" outlineLevel="0" collapsed="false">
      <c r="A73" s="32"/>
      <c r="B73" s="17" t="str">
        <f aca="false">IF(A73="","",IFERROR(INDEX(Calendario!$A$4:$A$107,MATCH(A73,Calendario!$B$4:$B$107,1)),""))</f>
        <v/>
      </c>
      <c r="C73" s="17" t="str">
        <f aca="false">IF(A73="","",YEAR(A73)&amp;"-"&amp;TEXT(MONTH(A73),"00"))</f>
        <v/>
      </c>
      <c r="D73" s="26"/>
      <c r="E73" s="26"/>
      <c r="F73" s="26"/>
      <c r="G73" s="29"/>
      <c r="H73" s="26"/>
      <c r="I73" s="32"/>
      <c r="J73" s="26"/>
      <c r="K73" s="26"/>
    </row>
    <row r="74" customFormat="false" ht="15" hidden="false" customHeight="false" outlineLevel="0" collapsed="false">
      <c r="A74" s="32"/>
      <c r="B74" s="17" t="str">
        <f aca="false">IF(A74="","",IFERROR(INDEX(Calendario!$A$4:$A$107,MATCH(A74,Calendario!$B$4:$B$107,1)),""))</f>
        <v/>
      </c>
      <c r="C74" s="17" t="str">
        <f aca="false">IF(A74="","",YEAR(A74)&amp;"-"&amp;TEXT(MONTH(A74),"00"))</f>
        <v/>
      </c>
      <c r="D74" s="26"/>
      <c r="E74" s="26"/>
      <c r="F74" s="26"/>
      <c r="G74" s="29"/>
      <c r="H74" s="26"/>
      <c r="I74" s="32"/>
      <c r="J74" s="26"/>
      <c r="K74" s="26"/>
    </row>
    <row r="75" customFormat="false" ht="15" hidden="false" customHeight="false" outlineLevel="0" collapsed="false">
      <c r="A75" s="32"/>
      <c r="B75" s="17" t="str">
        <f aca="false">IF(A75="","",IFERROR(INDEX(Calendario!$A$4:$A$107,MATCH(A75,Calendario!$B$4:$B$107,1)),""))</f>
        <v/>
      </c>
      <c r="C75" s="17" t="str">
        <f aca="false">IF(A75="","",YEAR(A75)&amp;"-"&amp;TEXT(MONTH(A75),"00"))</f>
        <v/>
      </c>
      <c r="D75" s="26"/>
      <c r="E75" s="26"/>
      <c r="F75" s="26"/>
      <c r="G75" s="29"/>
      <c r="H75" s="26"/>
      <c r="I75" s="32"/>
      <c r="J75" s="26"/>
      <c r="K75" s="26"/>
    </row>
    <row r="76" customFormat="false" ht="15" hidden="false" customHeight="false" outlineLevel="0" collapsed="false">
      <c r="A76" s="32"/>
      <c r="B76" s="17" t="str">
        <f aca="false">IF(A76="","",IFERROR(INDEX(Calendario!$A$4:$A$107,MATCH(A76,Calendario!$B$4:$B$107,1)),""))</f>
        <v/>
      </c>
      <c r="C76" s="17" t="str">
        <f aca="false">IF(A76="","",YEAR(A76)&amp;"-"&amp;TEXT(MONTH(A76),"00"))</f>
        <v/>
      </c>
      <c r="D76" s="26"/>
      <c r="E76" s="26"/>
      <c r="F76" s="26"/>
      <c r="G76" s="29"/>
      <c r="H76" s="26"/>
      <c r="I76" s="32"/>
      <c r="J76" s="26"/>
      <c r="K76" s="26"/>
    </row>
    <row r="77" customFormat="false" ht="15" hidden="false" customHeight="false" outlineLevel="0" collapsed="false">
      <c r="A77" s="32"/>
      <c r="B77" s="17" t="str">
        <f aca="false">IF(A77="","",IFERROR(INDEX(Calendario!$A$4:$A$107,MATCH(A77,Calendario!$B$4:$B$107,1)),""))</f>
        <v/>
      </c>
      <c r="C77" s="17" t="str">
        <f aca="false">IF(A77="","",YEAR(A77)&amp;"-"&amp;TEXT(MONTH(A77),"00"))</f>
        <v/>
      </c>
      <c r="D77" s="26"/>
      <c r="E77" s="26"/>
      <c r="F77" s="26"/>
      <c r="G77" s="29"/>
      <c r="H77" s="26"/>
      <c r="I77" s="32"/>
      <c r="J77" s="26"/>
      <c r="K77" s="26"/>
    </row>
    <row r="78" customFormat="false" ht="15" hidden="false" customHeight="false" outlineLevel="0" collapsed="false">
      <c r="A78" s="32"/>
      <c r="B78" s="17" t="str">
        <f aca="false">IF(A78="","",IFERROR(INDEX(Calendario!$A$4:$A$107,MATCH(A78,Calendario!$B$4:$B$107,1)),""))</f>
        <v/>
      </c>
      <c r="C78" s="17" t="str">
        <f aca="false">IF(A78="","",YEAR(A78)&amp;"-"&amp;TEXT(MONTH(A78),"00"))</f>
        <v/>
      </c>
      <c r="D78" s="26"/>
      <c r="E78" s="26"/>
      <c r="F78" s="26"/>
      <c r="G78" s="29"/>
      <c r="H78" s="26"/>
      <c r="I78" s="32"/>
      <c r="J78" s="26"/>
      <c r="K78" s="26"/>
    </row>
    <row r="79" customFormat="false" ht="15" hidden="false" customHeight="false" outlineLevel="0" collapsed="false">
      <c r="A79" s="32"/>
      <c r="B79" s="17" t="str">
        <f aca="false">IF(A79="","",IFERROR(INDEX(Calendario!$A$4:$A$107,MATCH(A79,Calendario!$B$4:$B$107,1)),""))</f>
        <v/>
      </c>
      <c r="C79" s="17" t="str">
        <f aca="false">IF(A79="","",YEAR(A79)&amp;"-"&amp;TEXT(MONTH(A79),"00"))</f>
        <v/>
      </c>
      <c r="D79" s="26"/>
      <c r="E79" s="26"/>
      <c r="F79" s="26"/>
      <c r="G79" s="29"/>
      <c r="H79" s="26"/>
      <c r="I79" s="32"/>
      <c r="J79" s="26"/>
      <c r="K79" s="26"/>
    </row>
    <row r="80" customFormat="false" ht="15" hidden="false" customHeight="false" outlineLevel="0" collapsed="false">
      <c r="A80" s="32"/>
      <c r="B80" s="17" t="str">
        <f aca="false">IF(A80="","",IFERROR(INDEX(Calendario!$A$4:$A$107,MATCH(A80,Calendario!$B$4:$B$107,1)),""))</f>
        <v/>
      </c>
      <c r="C80" s="17" t="str">
        <f aca="false">IF(A80="","",YEAR(A80)&amp;"-"&amp;TEXT(MONTH(A80),"00"))</f>
        <v/>
      </c>
      <c r="D80" s="26"/>
      <c r="E80" s="26"/>
      <c r="F80" s="26"/>
      <c r="G80" s="29"/>
      <c r="H80" s="26"/>
      <c r="I80" s="32"/>
      <c r="J80" s="26"/>
      <c r="K80" s="26"/>
    </row>
    <row r="81" customFormat="false" ht="15" hidden="false" customHeight="false" outlineLevel="0" collapsed="false">
      <c r="A81" s="32"/>
      <c r="B81" s="17" t="str">
        <f aca="false">IF(A81="","",IFERROR(INDEX(Calendario!$A$4:$A$107,MATCH(A81,Calendario!$B$4:$B$107,1)),""))</f>
        <v/>
      </c>
      <c r="C81" s="17" t="str">
        <f aca="false">IF(A81="","",YEAR(A81)&amp;"-"&amp;TEXT(MONTH(A81),"00"))</f>
        <v/>
      </c>
      <c r="D81" s="26"/>
      <c r="E81" s="26"/>
      <c r="F81" s="26"/>
      <c r="G81" s="29"/>
      <c r="H81" s="26"/>
      <c r="I81" s="32"/>
      <c r="J81" s="26"/>
      <c r="K81" s="26"/>
    </row>
    <row r="82" customFormat="false" ht="15" hidden="false" customHeight="false" outlineLevel="0" collapsed="false">
      <c r="A82" s="32"/>
      <c r="B82" s="17" t="str">
        <f aca="false">IF(A82="","",IFERROR(INDEX(Calendario!$A$4:$A$107,MATCH(A82,Calendario!$B$4:$B$107,1)),""))</f>
        <v/>
      </c>
      <c r="C82" s="17" t="str">
        <f aca="false">IF(A82="","",YEAR(A82)&amp;"-"&amp;TEXT(MONTH(A82),"00"))</f>
        <v/>
      </c>
      <c r="D82" s="26"/>
      <c r="E82" s="26"/>
      <c r="F82" s="26"/>
      <c r="G82" s="29"/>
      <c r="H82" s="26"/>
      <c r="I82" s="32"/>
      <c r="J82" s="26"/>
      <c r="K82" s="26"/>
    </row>
    <row r="83" customFormat="false" ht="15" hidden="false" customHeight="false" outlineLevel="0" collapsed="false">
      <c r="A83" s="32"/>
      <c r="B83" s="17" t="str">
        <f aca="false">IF(A83="","",IFERROR(INDEX(Calendario!$A$4:$A$107,MATCH(A83,Calendario!$B$4:$B$107,1)),""))</f>
        <v/>
      </c>
      <c r="C83" s="17" t="str">
        <f aca="false">IF(A83="","",YEAR(A83)&amp;"-"&amp;TEXT(MONTH(A83),"00"))</f>
        <v/>
      </c>
      <c r="D83" s="26"/>
      <c r="E83" s="26"/>
      <c r="F83" s="26"/>
      <c r="G83" s="29"/>
      <c r="H83" s="26"/>
      <c r="I83" s="32"/>
      <c r="J83" s="26"/>
      <c r="K83" s="26"/>
    </row>
    <row r="84" customFormat="false" ht="15" hidden="false" customHeight="false" outlineLevel="0" collapsed="false">
      <c r="A84" s="32"/>
      <c r="B84" s="17" t="str">
        <f aca="false">IF(A84="","",IFERROR(INDEX(Calendario!$A$4:$A$107,MATCH(A84,Calendario!$B$4:$B$107,1)),""))</f>
        <v/>
      </c>
      <c r="C84" s="17" t="str">
        <f aca="false">IF(A84="","",YEAR(A84)&amp;"-"&amp;TEXT(MONTH(A84),"00"))</f>
        <v/>
      </c>
      <c r="D84" s="26"/>
      <c r="E84" s="26"/>
      <c r="F84" s="26"/>
      <c r="G84" s="29"/>
      <c r="H84" s="26"/>
      <c r="I84" s="32"/>
      <c r="J84" s="26"/>
      <c r="K84" s="26"/>
    </row>
    <row r="85" customFormat="false" ht="15" hidden="false" customHeight="false" outlineLevel="0" collapsed="false">
      <c r="A85" s="32"/>
      <c r="B85" s="17" t="str">
        <f aca="false">IF(A85="","",IFERROR(INDEX(Calendario!$A$4:$A$107,MATCH(A85,Calendario!$B$4:$B$107,1)),""))</f>
        <v/>
      </c>
      <c r="C85" s="17" t="str">
        <f aca="false">IF(A85="","",YEAR(A85)&amp;"-"&amp;TEXT(MONTH(A85),"00"))</f>
        <v/>
      </c>
      <c r="D85" s="26"/>
      <c r="E85" s="26"/>
      <c r="F85" s="26"/>
      <c r="G85" s="29"/>
      <c r="H85" s="26"/>
      <c r="I85" s="32"/>
      <c r="J85" s="26"/>
      <c r="K85" s="26"/>
    </row>
    <row r="86" customFormat="false" ht="15" hidden="false" customHeight="false" outlineLevel="0" collapsed="false">
      <c r="A86" s="32"/>
      <c r="B86" s="17" t="str">
        <f aca="false">IF(A86="","",IFERROR(INDEX(Calendario!$A$4:$A$107,MATCH(A86,Calendario!$B$4:$B$107,1)),""))</f>
        <v/>
      </c>
      <c r="C86" s="17" t="str">
        <f aca="false">IF(A86="","",YEAR(A86)&amp;"-"&amp;TEXT(MONTH(A86),"00"))</f>
        <v/>
      </c>
      <c r="D86" s="26"/>
      <c r="E86" s="26"/>
      <c r="F86" s="26"/>
      <c r="G86" s="29"/>
      <c r="H86" s="26"/>
      <c r="I86" s="32"/>
      <c r="J86" s="26"/>
      <c r="K86" s="26"/>
    </row>
    <row r="87" customFormat="false" ht="15" hidden="false" customHeight="false" outlineLevel="0" collapsed="false">
      <c r="A87" s="32"/>
      <c r="B87" s="17" t="str">
        <f aca="false">IF(A87="","",IFERROR(INDEX(Calendario!$A$4:$A$107,MATCH(A87,Calendario!$B$4:$B$107,1)),""))</f>
        <v/>
      </c>
      <c r="C87" s="17" t="str">
        <f aca="false">IF(A87="","",YEAR(A87)&amp;"-"&amp;TEXT(MONTH(A87),"00"))</f>
        <v/>
      </c>
      <c r="D87" s="26"/>
      <c r="E87" s="26"/>
      <c r="F87" s="26"/>
      <c r="G87" s="29"/>
      <c r="H87" s="26"/>
      <c r="I87" s="32"/>
      <c r="J87" s="26"/>
      <c r="K87" s="26"/>
    </row>
    <row r="88" customFormat="false" ht="15" hidden="false" customHeight="false" outlineLevel="0" collapsed="false">
      <c r="A88" s="32"/>
      <c r="B88" s="17" t="str">
        <f aca="false">IF(A88="","",IFERROR(INDEX(Calendario!$A$4:$A$107,MATCH(A88,Calendario!$B$4:$B$107,1)),""))</f>
        <v/>
      </c>
      <c r="C88" s="17" t="str">
        <f aca="false">IF(A88="","",YEAR(A88)&amp;"-"&amp;TEXT(MONTH(A88),"00"))</f>
        <v/>
      </c>
      <c r="D88" s="26"/>
      <c r="E88" s="26"/>
      <c r="F88" s="26"/>
      <c r="G88" s="29"/>
      <c r="H88" s="26"/>
      <c r="I88" s="32"/>
      <c r="J88" s="26"/>
      <c r="K88" s="26"/>
    </row>
    <row r="89" customFormat="false" ht="15" hidden="false" customHeight="false" outlineLevel="0" collapsed="false">
      <c r="A89" s="32"/>
      <c r="B89" s="17" t="str">
        <f aca="false">IF(A89="","",IFERROR(INDEX(Calendario!$A$4:$A$107,MATCH(A89,Calendario!$B$4:$B$107,1)),""))</f>
        <v/>
      </c>
      <c r="C89" s="17" t="str">
        <f aca="false">IF(A89="","",YEAR(A89)&amp;"-"&amp;TEXT(MONTH(A89),"00"))</f>
        <v/>
      </c>
      <c r="D89" s="26"/>
      <c r="E89" s="26"/>
      <c r="F89" s="26"/>
      <c r="G89" s="29"/>
      <c r="H89" s="26"/>
      <c r="I89" s="32"/>
      <c r="J89" s="26"/>
      <c r="K89" s="26"/>
    </row>
    <row r="90" customFormat="false" ht="15" hidden="false" customHeight="false" outlineLevel="0" collapsed="false">
      <c r="A90" s="32"/>
      <c r="B90" s="17" t="str">
        <f aca="false">IF(A90="","",IFERROR(INDEX(Calendario!$A$4:$A$107,MATCH(A90,Calendario!$B$4:$B$107,1)),""))</f>
        <v/>
      </c>
      <c r="C90" s="17" t="str">
        <f aca="false">IF(A90="","",YEAR(A90)&amp;"-"&amp;TEXT(MONTH(A90),"00"))</f>
        <v/>
      </c>
      <c r="D90" s="26"/>
      <c r="E90" s="26"/>
      <c r="F90" s="26"/>
      <c r="G90" s="29"/>
      <c r="H90" s="26"/>
      <c r="I90" s="32"/>
      <c r="J90" s="26"/>
      <c r="K90" s="26"/>
    </row>
    <row r="91" customFormat="false" ht="15" hidden="false" customHeight="false" outlineLevel="0" collapsed="false">
      <c r="A91" s="32"/>
      <c r="B91" s="17" t="str">
        <f aca="false">IF(A91="","",IFERROR(INDEX(Calendario!$A$4:$A$107,MATCH(A91,Calendario!$B$4:$B$107,1)),""))</f>
        <v/>
      </c>
      <c r="C91" s="17" t="str">
        <f aca="false">IF(A91="","",YEAR(A91)&amp;"-"&amp;TEXT(MONTH(A91),"00"))</f>
        <v/>
      </c>
      <c r="D91" s="26"/>
      <c r="E91" s="26"/>
      <c r="F91" s="26"/>
      <c r="G91" s="29"/>
      <c r="H91" s="26"/>
      <c r="I91" s="32"/>
      <c r="J91" s="26"/>
      <c r="K91" s="26"/>
    </row>
    <row r="92" customFormat="false" ht="15" hidden="false" customHeight="false" outlineLevel="0" collapsed="false">
      <c r="A92" s="32"/>
      <c r="B92" s="17" t="str">
        <f aca="false">IF(A92="","",IFERROR(INDEX(Calendario!$A$4:$A$107,MATCH(A92,Calendario!$B$4:$B$107,1)),""))</f>
        <v/>
      </c>
      <c r="C92" s="17" t="str">
        <f aca="false">IF(A92="","",YEAR(A92)&amp;"-"&amp;TEXT(MONTH(A92),"00"))</f>
        <v/>
      </c>
      <c r="D92" s="26"/>
      <c r="E92" s="26"/>
      <c r="F92" s="26"/>
      <c r="G92" s="29"/>
      <c r="H92" s="26"/>
      <c r="I92" s="32"/>
      <c r="J92" s="26"/>
      <c r="K92" s="26"/>
    </row>
    <row r="93" customFormat="false" ht="15" hidden="false" customHeight="false" outlineLevel="0" collapsed="false">
      <c r="A93" s="32"/>
      <c r="B93" s="17" t="str">
        <f aca="false">IF(A93="","",IFERROR(INDEX(Calendario!$A$4:$A$107,MATCH(A93,Calendario!$B$4:$B$107,1)),""))</f>
        <v/>
      </c>
      <c r="C93" s="17" t="str">
        <f aca="false">IF(A93="","",YEAR(A93)&amp;"-"&amp;TEXT(MONTH(A93),"00"))</f>
        <v/>
      </c>
      <c r="D93" s="26"/>
      <c r="E93" s="26"/>
      <c r="F93" s="26"/>
      <c r="G93" s="29"/>
      <c r="H93" s="26"/>
      <c r="I93" s="32"/>
      <c r="J93" s="26"/>
      <c r="K93" s="26"/>
    </row>
    <row r="94" customFormat="false" ht="15" hidden="false" customHeight="false" outlineLevel="0" collapsed="false">
      <c r="A94" s="32"/>
      <c r="B94" s="17" t="str">
        <f aca="false">IF(A94="","",IFERROR(INDEX(Calendario!$A$4:$A$107,MATCH(A94,Calendario!$B$4:$B$107,1)),""))</f>
        <v/>
      </c>
      <c r="C94" s="17" t="str">
        <f aca="false">IF(A94="","",YEAR(A94)&amp;"-"&amp;TEXT(MONTH(A94),"00"))</f>
        <v/>
      </c>
      <c r="D94" s="26"/>
      <c r="E94" s="26"/>
      <c r="F94" s="26"/>
      <c r="G94" s="29"/>
      <c r="H94" s="26"/>
      <c r="I94" s="32"/>
      <c r="J94" s="26"/>
      <c r="K94" s="26"/>
    </row>
    <row r="95" customFormat="false" ht="15" hidden="false" customHeight="false" outlineLevel="0" collapsed="false">
      <c r="A95" s="32"/>
      <c r="B95" s="17" t="str">
        <f aca="false">IF(A95="","",IFERROR(INDEX(Calendario!$A$4:$A$107,MATCH(A95,Calendario!$B$4:$B$107,1)),""))</f>
        <v/>
      </c>
      <c r="C95" s="17" t="str">
        <f aca="false">IF(A95="","",YEAR(A95)&amp;"-"&amp;TEXT(MONTH(A95),"00"))</f>
        <v/>
      </c>
      <c r="D95" s="26"/>
      <c r="E95" s="26"/>
      <c r="F95" s="26"/>
      <c r="G95" s="29"/>
      <c r="H95" s="26"/>
      <c r="I95" s="32"/>
      <c r="J95" s="26"/>
      <c r="K95" s="26"/>
    </row>
    <row r="96" customFormat="false" ht="15" hidden="false" customHeight="false" outlineLevel="0" collapsed="false">
      <c r="A96" s="32"/>
      <c r="B96" s="17" t="str">
        <f aca="false">IF(A96="","",IFERROR(INDEX(Calendario!$A$4:$A$107,MATCH(A96,Calendario!$B$4:$B$107,1)),""))</f>
        <v/>
      </c>
      <c r="C96" s="17" t="str">
        <f aca="false">IF(A96="","",YEAR(A96)&amp;"-"&amp;TEXT(MONTH(A96),"00"))</f>
        <v/>
      </c>
      <c r="D96" s="26"/>
      <c r="E96" s="26"/>
      <c r="F96" s="26"/>
      <c r="G96" s="29"/>
      <c r="H96" s="26"/>
      <c r="I96" s="32"/>
      <c r="J96" s="26"/>
      <c r="K96" s="26"/>
    </row>
    <row r="97" customFormat="false" ht="15" hidden="false" customHeight="false" outlineLevel="0" collapsed="false">
      <c r="A97" s="32"/>
      <c r="B97" s="17" t="str">
        <f aca="false">IF(A97="","",IFERROR(INDEX(Calendario!$A$4:$A$107,MATCH(A97,Calendario!$B$4:$B$107,1)),""))</f>
        <v/>
      </c>
      <c r="C97" s="17" t="str">
        <f aca="false">IF(A97="","",YEAR(A97)&amp;"-"&amp;TEXT(MONTH(A97),"00"))</f>
        <v/>
      </c>
      <c r="D97" s="26"/>
      <c r="E97" s="26"/>
      <c r="F97" s="26"/>
      <c r="G97" s="29"/>
      <c r="H97" s="26"/>
      <c r="I97" s="32"/>
      <c r="J97" s="26"/>
      <c r="K97" s="26"/>
    </row>
    <row r="98" customFormat="false" ht="15" hidden="false" customHeight="false" outlineLevel="0" collapsed="false">
      <c r="A98" s="32"/>
      <c r="B98" s="17" t="str">
        <f aca="false">IF(A98="","",IFERROR(INDEX(Calendario!$A$4:$A$107,MATCH(A98,Calendario!$B$4:$B$107,1)),""))</f>
        <v/>
      </c>
      <c r="C98" s="17" t="str">
        <f aca="false">IF(A98="","",YEAR(A98)&amp;"-"&amp;TEXT(MONTH(A98),"00"))</f>
        <v/>
      </c>
      <c r="D98" s="26"/>
      <c r="E98" s="26"/>
      <c r="F98" s="26"/>
      <c r="G98" s="29"/>
      <c r="H98" s="26"/>
      <c r="I98" s="32"/>
      <c r="J98" s="26"/>
      <c r="K98" s="26"/>
    </row>
    <row r="99" customFormat="false" ht="15" hidden="false" customHeight="false" outlineLevel="0" collapsed="false">
      <c r="A99" s="32"/>
      <c r="B99" s="17" t="str">
        <f aca="false">IF(A99="","",IFERROR(INDEX(Calendario!$A$4:$A$107,MATCH(A99,Calendario!$B$4:$B$107,1)),""))</f>
        <v/>
      </c>
      <c r="C99" s="17" t="str">
        <f aca="false">IF(A99="","",YEAR(A99)&amp;"-"&amp;TEXT(MONTH(A99),"00"))</f>
        <v/>
      </c>
      <c r="D99" s="26"/>
      <c r="E99" s="26"/>
      <c r="F99" s="26"/>
      <c r="G99" s="29"/>
      <c r="H99" s="26"/>
      <c r="I99" s="32"/>
      <c r="J99" s="26"/>
      <c r="K99" s="26"/>
    </row>
    <row r="100" customFormat="false" ht="15" hidden="false" customHeight="false" outlineLevel="0" collapsed="false">
      <c r="A100" s="32"/>
      <c r="B100" s="17" t="str">
        <f aca="false">IF(A100="","",IFERROR(INDEX(Calendario!$A$4:$A$107,MATCH(A100,Calendario!$B$4:$B$107,1)),""))</f>
        <v/>
      </c>
      <c r="C100" s="17" t="str">
        <f aca="false">IF(A100="","",YEAR(A100)&amp;"-"&amp;TEXT(MONTH(A100),"00"))</f>
        <v/>
      </c>
      <c r="D100" s="26"/>
      <c r="E100" s="26"/>
      <c r="F100" s="26"/>
      <c r="G100" s="29"/>
      <c r="H100" s="26"/>
      <c r="I100" s="32"/>
      <c r="J100" s="26"/>
      <c r="K100" s="26"/>
    </row>
    <row r="101" customFormat="false" ht="15" hidden="false" customHeight="false" outlineLevel="0" collapsed="false">
      <c r="A101" s="32"/>
      <c r="B101" s="17" t="str">
        <f aca="false">IF(A101="","",IFERROR(INDEX(Calendario!$A$4:$A$107,MATCH(A101,Calendario!$B$4:$B$107,1)),""))</f>
        <v/>
      </c>
      <c r="C101" s="17" t="str">
        <f aca="false">IF(A101="","",YEAR(A101)&amp;"-"&amp;TEXT(MONTH(A101),"00"))</f>
        <v/>
      </c>
      <c r="D101" s="26"/>
      <c r="E101" s="26"/>
      <c r="F101" s="26"/>
      <c r="G101" s="29"/>
      <c r="H101" s="26"/>
      <c r="I101" s="32"/>
      <c r="J101" s="26"/>
      <c r="K101" s="26"/>
    </row>
    <row r="102" customFormat="false" ht="15" hidden="false" customHeight="false" outlineLevel="0" collapsed="false">
      <c r="A102" s="32"/>
      <c r="B102" s="17" t="str">
        <f aca="false">IF(A102="","",IFERROR(INDEX(Calendario!$A$4:$A$107,MATCH(A102,Calendario!$B$4:$B$107,1)),""))</f>
        <v/>
      </c>
      <c r="C102" s="17" t="str">
        <f aca="false">IF(A102="","",YEAR(A102)&amp;"-"&amp;TEXT(MONTH(A102),"00"))</f>
        <v/>
      </c>
      <c r="D102" s="26"/>
      <c r="E102" s="26"/>
      <c r="F102" s="26"/>
      <c r="G102" s="29"/>
      <c r="H102" s="26"/>
      <c r="I102" s="32"/>
      <c r="J102" s="26"/>
      <c r="K102" s="26"/>
    </row>
    <row r="103" customFormat="false" ht="15" hidden="false" customHeight="false" outlineLevel="0" collapsed="false">
      <c r="A103" s="32"/>
      <c r="B103" s="17" t="str">
        <f aca="false">IF(A103="","",IFERROR(INDEX(Calendario!$A$4:$A$107,MATCH(A103,Calendario!$B$4:$B$107,1)),""))</f>
        <v/>
      </c>
      <c r="C103" s="17" t="str">
        <f aca="false">IF(A103="","",YEAR(A103)&amp;"-"&amp;TEXT(MONTH(A103),"00"))</f>
        <v/>
      </c>
      <c r="D103" s="26"/>
      <c r="E103" s="26"/>
      <c r="F103" s="26"/>
      <c r="G103" s="29"/>
      <c r="H103" s="26"/>
      <c r="I103" s="32"/>
      <c r="J103" s="26"/>
      <c r="K103" s="26"/>
    </row>
    <row r="104" customFormat="false" ht="15" hidden="false" customHeight="false" outlineLevel="0" collapsed="false">
      <c r="A104" s="32"/>
      <c r="B104" s="17" t="str">
        <f aca="false">IF(A104="","",IFERROR(INDEX(Calendario!$A$4:$A$107,MATCH(A104,Calendario!$B$4:$B$107,1)),""))</f>
        <v/>
      </c>
      <c r="C104" s="17" t="str">
        <f aca="false">IF(A104="","",YEAR(A104)&amp;"-"&amp;TEXT(MONTH(A104),"00"))</f>
        <v/>
      </c>
      <c r="D104" s="26"/>
      <c r="E104" s="26"/>
      <c r="F104" s="26"/>
      <c r="G104" s="29"/>
      <c r="H104" s="26"/>
      <c r="I104" s="32"/>
      <c r="J104" s="26"/>
      <c r="K104" s="26"/>
    </row>
    <row r="105" customFormat="false" ht="15" hidden="false" customHeight="false" outlineLevel="0" collapsed="false">
      <c r="A105" s="32"/>
      <c r="B105" s="17" t="str">
        <f aca="false">IF(A105="","",IFERROR(INDEX(Calendario!$A$4:$A$107,MATCH(A105,Calendario!$B$4:$B$107,1)),""))</f>
        <v/>
      </c>
      <c r="C105" s="17" t="str">
        <f aca="false">IF(A105="","",YEAR(A105)&amp;"-"&amp;TEXT(MONTH(A105),"00"))</f>
        <v/>
      </c>
      <c r="D105" s="26"/>
      <c r="E105" s="26"/>
      <c r="F105" s="26"/>
      <c r="G105" s="29"/>
      <c r="H105" s="26"/>
      <c r="I105" s="32"/>
      <c r="J105" s="26"/>
      <c r="K105" s="26"/>
    </row>
    <row r="106" customFormat="false" ht="15" hidden="false" customHeight="false" outlineLevel="0" collapsed="false">
      <c r="A106" s="32"/>
      <c r="B106" s="17" t="str">
        <f aca="false">IF(A106="","",IFERROR(INDEX(Calendario!$A$4:$A$107,MATCH(A106,Calendario!$B$4:$B$107,1)),""))</f>
        <v/>
      </c>
      <c r="C106" s="17" t="str">
        <f aca="false">IF(A106="","",YEAR(A106)&amp;"-"&amp;TEXT(MONTH(A106),"00"))</f>
        <v/>
      </c>
      <c r="D106" s="26"/>
      <c r="E106" s="26"/>
      <c r="F106" s="26"/>
      <c r="G106" s="29"/>
      <c r="H106" s="26"/>
      <c r="I106" s="32"/>
      <c r="J106" s="26"/>
      <c r="K106" s="26"/>
    </row>
    <row r="107" customFormat="false" ht="15" hidden="false" customHeight="false" outlineLevel="0" collapsed="false">
      <c r="A107" s="32"/>
      <c r="B107" s="17" t="str">
        <f aca="false">IF(A107="","",IFERROR(INDEX(Calendario!$A$4:$A$107,MATCH(A107,Calendario!$B$4:$B$107,1)),""))</f>
        <v/>
      </c>
      <c r="C107" s="17" t="str">
        <f aca="false">IF(A107="","",YEAR(A107)&amp;"-"&amp;TEXT(MONTH(A107),"00"))</f>
        <v/>
      </c>
      <c r="D107" s="26"/>
      <c r="E107" s="26"/>
      <c r="F107" s="26"/>
      <c r="G107" s="29"/>
      <c r="H107" s="26"/>
      <c r="I107" s="32"/>
      <c r="J107" s="26"/>
      <c r="K107" s="26"/>
    </row>
    <row r="108" customFormat="false" ht="15" hidden="false" customHeight="false" outlineLevel="0" collapsed="false">
      <c r="A108" s="32"/>
      <c r="B108" s="17" t="str">
        <f aca="false">IF(A108="","",IFERROR(INDEX(Calendario!$A$4:$A$107,MATCH(A108,Calendario!$B$4:$B$107,1)),""))</f>
        <v/>
      </c>
      <c r="C108" s="17" t="str">
        <f aca="false">IF(A108="","",YEAR(A108)&amp;"-"&amp;TEXT(MONTH(A108),"00"))</f>
        <v/>
      </c>
      <c r="D108" s="26"/>
      <c r="E108" s="26"/>
      <c r="F108" s="26"/>
      <c r="G108" s="29"/>
      <c r="H108" s="26"/>
      <c r="I108" s="32"/>
      <c r="J108" s="26"/>
      <c r="K108" s="26"/>
    </row>
    <row r="109" customFormat="false" ht="15" hidden="false" customHeight="false" outlineLevel="0" collapsed="false">
      <c r="A109" s="32"/>
      <c r="B109" s="17" t="str">
        <f aca="false">IF(A109="","",IFERROR(INDEX(Calendario!$A$4:$A$107,MATCH(A109,Calendario!$B$4:$B$107,1)),""))</f>
        <v/>
      </c>
      <c r="C109" s="17" t="str">
        <f aca="false">IF(A109="","",YEAR(A109)&amp;"-"&amp;TEXT(MONTH(A109),"00"))</f>
        <v/>
      </c>
      <c r="D109" s="26"/>
      <c r="E109" s="26"/>
      <c r="F109" s="26"/>
      <c r="G109" s="29"/>
      <c r="H109" s="26"/>
      <c r="I109" s="32"/>
      <c r="J109" s="26"/>
      <c r="K109" s="26"/>
    </row>
    <row r="110" customFormat="false" ht="15" hidden="false" customHeight="false" outlineLevel="0" collapsed="false">
      <c r="A110" s="32"/>
      <c r="B110" s="17" t="str">
        <f aca="false">IF(A110="","",IFERROR(INDEX(Calendario!$A$4:$A$107,MATCH(A110,Calendario!$B$4:$B$107,1)),""))</f>
        <v/>
      </c>
      <c r="C110" s="17" t="str">
        <f aca="false">IF(A110="","",YEAR(A110)&amp;"-"&amp;TEXT(MONTH(A110),"00"))</f>
        <v/>
      </c>
      <c r="D110" s="26"/>
      <c r="E110" s="26"/>
      <c r="F110" s="26"/>
      <c r="G110" s="29"/>
      <c r="H110" s="26"/>
      <c r="I110" s="32"/>
      <c r="J110" s="26"/>
      <c r="K110" s="26"/>
    </row>
    <row r="111" customFormat="false" ht="15" hidden="false" customHeight="false" outlineLevel="0" collapsed="false">
      <c r="A111" s="32"/>
      <c r="B111" s="17" t="str">
        <f aca="false">IF(A111="","",IFERROR(INDEX(Calendario!$A$4:$A$107,MATCH(A111,Calendario!$B$4:$B$107,1)),""))</f>
        <v/>
      </c>
      <c r="C111" s="17" t="str">
        <f aca="false">IF(A111="","",YEAR(A111)&amp;"-"&amp;TEXT(MONTH(A111),"00"))</f>
        <v/>
      </c>
      <c r="D111" s="26"/>
      <c r="E111" s="26"/>
      <c r="F111" s="26"/>
      <c r="G111" s="29"/>
      <c r="H111" s="26"/>
      <c r="I111" s="32"/>
      <c r="J111" s="26"/>
      <c r="K111" s="26"/>
    </row>
    <row r="112" customFormat="false" ht="15" hidden="false" customHeight="false" outlineLevel="0" collapsed="false">
      <c r="A112" s="32"/>
      <c r="B112" s="17" t="str">
        <f aca="false">IF(A112="","",IFERROR(INDEX(Calendario!$A$4:$A$107,MATCH(A112,Calendario!$B$4:$B$107,1)),""))</f>
        <v/>
      </c>
      <c r="C112" s="17" t="str">
        <f aca="false">IF(A112="","",YEAR(A112)&amp;"-"&amp;TEXT(MONTH(A112),"00"))</f>
        <v/>
      </c>
      <c r="D112" s="26"/>
      <c r="E112" s="26"/>
      <c r="F112" s="26"/>
      <c r="G112" s="29"/>
      <c r="H112" s="26"/>
      <c r="I112" s="32"/>
      <c r="J112" s="26"/>
      <c r="K112" s="26"/>
    </row>
    <row r="113" customFormat="false" ht="15" hidden="false" customHeight="false" outlineLevel="0" collapsed="false">
      <c r="A113" s="32"/>
      <c r="B113" s="17" t="str">
        <f aca="false">IF(A113="","",IFERROR(INDEX(Calendario!$A$4:$A$107,MATCH(A113,Calendario!$B$4:$B$107,1)),""))</f>
        <v/>
      </c>
      <c r="C113" s="17" t="str">
        <f aca="false">IF(A113="","",YEAR(A113)&amp;"-"&amp;TEXT(MONTH(A113),"00"))</f>
        <v/>
      </c>
      <c r="D113" s="26"/>
      <c r="E113" s="26"/>
      <c r="F113" s="26"/>
      <c r="G113" s="29"/>
      <c r="H113" s="26"/>
      <c r="I113" s="32"/>
      <c r="J113" s="26"/>
      <c r="K113" s="26"/>
    </row>
    <row r="114" customFormat="false" ht="15" hidden="false" customHeight="false" outlineLevel="0" collapsed="false">
      <c r="A114" s="32"/>
      <c r="B114" s="17" t="str">
        <f aca="false">IF(A114="","",IFERROR(INDEX(Calendario!$A$4:$A$107,MATCH(A114,Calendario!$B$4:$B$107,1)),""))</f>
        <v/>
      </c>
      <c r="C114" s="17" t="str">
        <f aca="false">IF(A114="","",YEAR(A114)&amp;"-"&amp;TEXT(MONTH(A114),"00"))</f>
        <v/>
      </c>
      <c r="D114" s="26"/>
      <c r="E114" s="26"/>
      <c r="F114" s="26"/>
      <c r="G114" s="29"/>
      <c r="H114" s="26"/>
      <c r="I114" s="32"/>
      <c r="J114" s="26"/>
      <c r="K114" s="26"/>
    </row>
    <row r="115" customFormat="false" ht="15" hidden="false" customHeight="false" outlineLevel="0" collapsed="false">
      <c r="A115" s="32"/>
      <c r="B115" s="17" t="str">
        <f aca="false">IF(A115="","",IFERROR(INDEX(Calendario!$A$4:$A$107,MATCH(A115,Calendario!$B$4:$B$107,1)),""))</f>
        <v/>
      </c>
      <c r="C115" s="17" t="str">
        <f aca="false">IF(A115="","",YEAR(A115)&amp;"-"&amp;TEXT(MONTH(A115),"00"))</f>
        <v/>
      </c>
      <c r="D115" s="26"/>
      <c r="E115" s="26"/>
      <c r="F115" s="26"/>
      <c r="G115" s="29"/>
      <c r="H115" s="26"/>
      <c r="I115" s="32"/>
      <c r="J115" s="26"/>
      <c r="K115" s="26"/>
    </row>
    <row r="116" customFormat="false" ht="15" hidden="false" customHeight="false" outlineLevel="0" collapsed="false">
      <c r="A116" s="32"/>
      <c r="B116" s="17" t="str">
        <f aca="false">IF(A116="","",IFERROR(INDEX(Calendario!$A$4:$A$107,MATCH(A116,Calendario!$B$4:$B$107,1)),""))</f>
        <v/>
      </c>
      <c r="C116" s="17" t="str">
        <f aca="false">IF(A116="","",YEAR(A116)&amp;"-"&amp;TEXT(MONTH(A116),"00"))</f>
        <v/>
      </c>
      <c r="D116" s="26"/>
      <c r="E116" s="26"/>
      <c r="F116" s="26"/>
      <c r="G116" s="29"/>
      <c r="H116" s="26"/>
      <c r="I116" s="32"/>
      <c r="J116" s="26"/>
      <c r="K116" s="26"/>
    </row>
    <row r="117" customFormat="false" ht="15" hidden="false" customHeight="false" outlineLevel="0" collapsed="false">
      <c r="A117" s="32"/>
      <c r="B117" s="17" t="str">
        <f aca="false">IF(A117="","",IFERROR(INDEX(Calendario!$A$4:$A$107,MATCH(A117,Calendario!$B$4:$B$107,1)),""))</f>
        <v/>
      </c>
      <c r="C117" s="17" t="str">
        <f aca="false">IF(A117="","",YEAR(A117)&amp;"-"&amp;TEXT(MONTH(A117),"00"))</f>
        <v/>
      </c>
      <c r="D117" s="26"/>
      <c r="E117" s="26"/>
      <c r="F117" s="26"/>
      <c r="G117" s="29"/>
      <c r="H117" s="26"/>
      <c r="I117" s="32"/>
      <c r="J117" s="26"/>
      <c r="K117" s="26"/>
    </row>
    <row r="118" customFormat="false" ht="15" hidden="false" customHeight="false" outlineLevel="0" collapsed="false">
      <c r="A118" s="32"/>
      <c r="B118" s="17" t="str">
        <f aca="false">IF(A118="","",IFERROR(INDEX(Calendario!$A$4:$A$107,MATCH(A118,Calendario!$B$4:$B$107,1)),""))</f>
        <v/>
      </c>
      <c r="C118" s="17" t="str">
        <f aca="false">IF(A118="","",YEAR(A118)&amp;"-"&amp;TEXT(MONTH(A118),"00"))</f>
        <v/>
      </c>
      <c r="D118" s="26"/>
      <c r="E118" s="26"/>
      <c r="F118" s="26"/>
      <c r="G118" s="29"/>
      <c r="H118" s="26"/>
      <c r="I118" s="32"/>
      <c r="J118" s="26"/>
      <c r="K118" s="26"/>
    </row>
    <row r="119" customFormat="false" ht="15" hidden="false" customHeight="false" outlineLevel="0" collapsed="false">
      <c r="A119" s="32"/>
      <c r="B119" s="17" t="str">
        <f aca="false">IF(A119="","",IFERROR(INDEX(Calendario!$A$4:$A$107,MATCH(A119,Calendario!$B$4:$B$107,1)),""))</f>
        <v/>
      </c>
      <c r="C119" s="17" t="str">
        <f aca="false">IF(A119="","",YEAR(A119)&amp;"-"&amp;TEXT(MONTH(A119),"00"))</f>
        <v/>
      </c>
      <c r="D119" s="26"/>
      <c r="E119" s="26"/>
      <c r="F119" s="26"/>
      <c r="G119" s="29"/>
      <c r="H119" s="26"/>
      <c r="I119" s="32"/>
      <c r="J119" s="26"/>
      <c r="K119" s="26"/>
    </row>
    <row r="120" customFormat="false" ht="15" hidden="false" customHeight="false" outlineLevel="0" collapsed="false">
      <c r="A120" s="32"/>
      <c r="B120" s="17" t="str">
        <f aca="false">IF(A120="","",IFERROR(INDEX(Calendario!$A$4:$A$107,MATCH(A120,Calendario!$B$4:$B$107,1)),""))</f>
        <v/>
      </c>
      <c r="C120" s="17" t="str">
        <f aca="false">IF(A120="","",YEAR(A120)&amp;"-"&amp;TEXT(MONTH(A120),"00"))</f>
        <v/>
      </c>
      <c r="D120" s="26"/>
      <c r="E120" s="26"/>
      <c r="F120" s="26"/>
      <c r="G120" s="29"/>
      <c r="H120" s="26"/>
      <c r="I120" s="32"/>
      <c r="J120" s="26"/>
      <c r="K120" s="26"/>
    </row>
    <row r="121" customFormat="false" ht="15" hidden="false" customHeight="false" outlineLevel="0" collapsed="false">
      <c r="A121" s="32"/>
      <c r="B121" s="17" t="str">
        <f aca="false">IF(A121="","",IFERROR(INDEX(Calendario!$A$4:$A$107,MATCH(A121,Calendario!$B$4:$B$107,1)),""))</f>
        <v/>
      </c>
      <c r="C121" s="17" t="str">
        <f aca="false">IF(A121="","",YEAR(A121)&amp;"-"&amp;TEXT(MONTH(A121),"00"))</f>
        <v/>
      </c>
      <c r="D121" s="26"/>
      <c r="E121" s="26"/>
      <c r="F121" s="26"/>
      <c r="G121" s="29"/>
      <c r="H121" s="26"/>
      <c r="I121" s="32"/>
      <c r="J121" s="26"/>
      <c r="K121" s="26"/>
    </row>
    <row r="122" customFormat="false" ht="15" hidden="false" customHeight="false" outlineLevel="0" collapsed="false">
      <c r="A122" s="32"/>
      <c r="B122" s="17" t="str">
        <f aca="false">IF(A122="","",IFERROR(INDEX(Calendario!$A$4:$A$107,MATCH(A122,Calendario!$B$4:$B$107,1)),""))</f>
        <v/>
      </c>
      <c r="C122" s="17" t="str">
        <f aca="false">IF(A122="","",YEAR(A122)&amp;"-"&amp;TEXT(MONTH(A122),"00"))</f>
        <v/>
      </c>
      <c r="D122" s="26"/>
      <c r="E122" s="26"/>
      <c r="F122" s="26"/>
      <c r="G122" s="29"/>
      <c r="H122" s="26"/>
      <c r="I122" s="32"/>
      <c r="J122" s="26"/>
      <c r="K122" s="26"/>
    </row>
    <row r="123" customFormat="false" ht="15" hidden="false" customHeight="false" outlineLevel="0" collapsed="false">
      <c r="A123" s="32"/>
      <c r="B123" s="17" t="str">
        <f aca="false">IF(A123="","",IFERROR(INDEX(Calendario!$A$4:$A$107,MATCH(A123,Calendario!$B$4:$B$107,1)),""))</f>
        <v/>
      </c>
      <c r="C123" s="17" t="str">
        <f aca="false">IF(A123="","",YEAR(A123)&amp;"-"&amp;TEXT(MONTH(A123),"00"))</f>
        <v/>
      </c>
      <c r="D123" s="26"/>
      <c r="E123" s="26"/>
      <c r="F123" s="26"/>
      <c r="G123" s="29"/>
      <c r="H123" s="26"/>
      <c r="I123" s="32"/>
      <c r="J123" s="26"/>
      <c r="K123" s="26"/>
    </row>
    <row r="124" customFormat="false" ht="15" hidden="false" customHeight="false" outlineLevel="0" collapsed="false">
      <c r="A124" s="32"/>
      <c r="B124" s="17" t="str">
        <f aca="false">IF(A124="","",IFERROR(INDEX(Calendario!$A$4:$A$107,MATCH(A124,Calendario!$B$4:$B$107,1)),""))</f>
        <v/>
      </c>
      <c r="C124" s="17" t="str">
        <f aca="false">IF(A124="","",YEAR(A124)&amp;"-"&amp;TEXT(MONTH(A124),"00"))</f>
        <v/>
      </c>
      <c r="D124" s="26"/>
      <c r="E124" s="26"/>
      <c r="F124" s="26"/>
      <c r="G124" s="29"/>
      <c r="H124" s="26"/>
      <c r="I124" s="32"/>
      <c r="J124" s="26"/>
      <c r="K124" s="26"/>
    </row>
    <row r="125" customFormat="false" ht="15" hidden="false" customHeight="false" outlineLevel="0" collapsed="false">
      <c r="A125" s="32"/>
      <c r="B125" s="17" t="str">
        <f aca="false">IF(A125="","",IFERROR(INDEX(Calendario!$A$4:$A$107,MATCH(A125,Calendario!$B$4:$B$107,1)),""))</f>
        <v/>
      </c>
      <c r="C125" s="17" t="str">
        <f aca="false">IF(A125="","",YEAR(A125)&amp;"-"&amp;TEXT(MONTH(A125),"00"))</f>
        <v/>
      </c>
      <c r="D125" s="26"/>
      <c r="E125" s="26"/>
      <c r="F125" s="26"/>
      <c r="G125" s="29"/>
      <c r="H125" s="26"/>
      <c r="I125" s="32"/>
      <c r="J125" s="26"/>
      <c r="K125" s="26"/>
    </row>
    <row r="126" customFormat="false" ht="15" hidden="false" customHeight="false" outlineLevel="0" collapsed="false">
      <c r="A126" s="32"/>
      <c r="B126" s="17" t="str">
        <f aca="false">IF(A126="","",IFERROR(INDEX(Calendario!$A$4:$A$107,MATCH(A126,Calendario!$B$4:$B$107,1)),""))</f>
        <v/>
      </c>
      <c r="C126" s="17" t="str">
        <f aca="false">IF(A126="","",YEAR(A126)&amp;"-"&amp;TEXT(MONTH(A126),"00"))</f>
        <v/>
      </c>
      <c r="D126" s="26"/>
      <c r="E126" s="26"/>
      <c r="F126" s="26"/>
      <c r="G126" s="29"/>
      <c r="H126" s="26"/>
      <c r="I126" s="32"/>
      <c r="J126" s="26"/>
      <c r="K126" s="26"/>
    </row>
    <row r="127" customFormat="false" ht="15" hidden="false" customHeight="false" outlineLevel="0" collapsed="false">
      <c r="A127" s="32"/>
      <c r="B127" s="17" t="str">
        <f aca="false">IF(A127="","",IFERROR(INDEX(Calendario!$A$4:$A$107,MATCH(A127,Calendario!$B$4:$B$107,1)),""))</f>
        <v/>
      </c>
      <c r="C127" s="17" t="str">
        <f aca="false">IF(A127="","",YEAR(A127)&amp;"-"&amp;TEXT(MONTH(A127),"00"))</f>
        <v/>
      </c>
      <c r="D127" s="26"/>
      <c r="E127" s="26"/>
      <c r="F127" s="26"/>
      <c r="G127" s="29"/>
      <c r="H127" s="26"/>
      <c r="I127" s="32"/>
      <c r="J127" s="26"/>
      <c r="K127" s="26"/>
    </row>
    <row r="128" customFormat="false" ht="15" hidden="false" customHeight="false" outlineLevel="0" collapsed="false">
      <c r="A128" s="32"/>
      <c r="B128" s="17" t="str">
        <f aca="false">IF(A128="","",IFERROR(INDEX(Calendario!$A$4:$A$107,MATCH(A128,Calendario!$B$4:$B$107,1)),""))</f>
        <v/>
      </c>
      <c r="C128" s="17" t="str">
        <f aca="false">IF(A128="","",YEAR(A128)&amp;"-"&amp;TEXT(MONTH(A128),"00"))</f>
        <v/>
      </c>
      <c r="D128" s="26"/>
      <c r="E128" s="26"/>
      <c r="F128" s="26"/>
      <c r="G128" s="29"/>
      <c r="H128" s="26"/>
      <c r="I128" s="32"/>
      <c r="J128" s="26"/>
      <c r="K128" s="26"/>
    </row>
    <row r="129" customFormat="false" ht="15" hidden="false" customHeight="false" outlineLevel="0" collapsed="false">
      <c r="A129" s="32"/>
      <c r="B129" s="17" t="str">
        <f aca="false">IF(A129="","",IFERROR(INDEX(Calendario!$A$4:$A$107,MATCH(A129,Calendario!$B$4:$B$107,1)),""))</f>
        <v/>
      </c>
      <c r="C129" s="17" t="str">
        <f aca="false">IF(A129="","",YEAR(A129)&amp;"-"&amp;TEXT(MONTH(A129),"00"))</f>
        <v/>
      </c>
      <c r="D129" s="26"/>
      <c r="E129" s="26"/>
      <c r="F129" s="26"/>
      <c r="G129" s="29"/>
      <c r="H129" s="26"/>
      <c r="I129" s="32"/>
      <c r="J129" s="26"/>
      <c r="K129" s="26"/>
    </row>
    <row r="130" customFormat="false" ht="15" hidden="false" customHeight="false" outlineLevel="0" collapsed="false">
      <c r="A130" s="32"/>
      <c r="B130" s="17" t="str">
        <f aca="false">IF(A130="","",IFERROR(INDEX(Calendario!$A$4:$A$107,MATCH(A130,Calendario!$B$4:$B$107,1)),""))</f>
        <v/>
      </c>
      <c r="C130" s="17" t="str">
        <f aca="false">IF(A130="","",YEAR(A130)&amp;"-"&amp;TEXT(MONTH(A130),"00"))</f>
        <v/>
      </c>
      <c r="D130" s="26"/>
      <c r="E130" s="26"/>
      <c r="F130" s="26"/>
      <c r="G130" s="29"/>
      <c r="H130" s="26"/>
      <c r="I130" s="32"/>
      <c r="J130" s="26"/>
      <c r="K130" s="26"/>
    </row>
    <row r="131" customFormat="false" ht="15" hidden="false" customHeight="false" outlineLevel="0" collapsed="false">
      <c r="A131" s="32"/>
      <c r="B131" s="17" t="str">
        <f aca="false">IF(A131="","",IFERROR(INDEX(Calendario!$A$4:$A$107,MATCH(A131,Calendario!$B$4:$B$107,1)),""))</f>
        <v/>
      </c>
      <c r="C131" s="17" t="str">
        <f aca="false">IF(A131="","",YEAR(A131)&amp;"-"&amp;TEXT(MONTH(A131),"00"))</f>
        <v/>
      </c>
      <c r="D131" s="26"/>
      <c r="E131" s="26"/>
      <c r="F131" s="26"/>
      <c r="G131" s="29"/>
      <c r="H131" s="26"/>
      <c r="I131" s="32"/>
      <c r="J131" s="26"/>
      <c r="K131" s="26"/>
    </row>
    <row r="132" customFormat="false" ht="15" hidden="false" customHeight="false" outlineLevel="0" collapsed="false">
      <c r="A132" s="32"/>
      <c r="B132" s="17" t="str">
        <f aca="false">IF(A132="","",IFERROR(INDEX(Calendario!$A$4:$A$107,MATCH(A132,Calendario!$B$4:$B$107,1)),""))</f>
        <v/>
      </c>
      <c r="C132" s="17" t="str">
        <f aca="false">IF(A132="","",YEAR(A132)&amp;"-"&amp;TEXT(MONTH(A132),"00"))</f>
        <v/>
      </c>
      <c r="D132" s="26"/>
      <c r="E132" s="26"/>
      <c r="F132" s="26"/>
      <c r="G132" s="29"/>
      <c r="H132" s="26"/>
      <c r="I132" s="32"/>
      <c r="J132" s="26"/>
      <c r="K132" s="26"/>
    </row>
    <row r="133" customFormat="false" ht="15" hidden="false" customHeight="false" outlineLevel="0" collapsed="false">
      <c r="A133" s="32"/>
      <c r="B133" s="17" t="str">
        <f aca="false">IF(A133="","",IFERROR(INDEX(Calendario!$A$4:$A$107,MATCH(A133,Calendario!$B$4:$B$107,1)),""))</f>
        <v/>
      </c>
      <c r="C133" s="17" t="str">
        <f aca="false">IF(A133="","",YEAR(A133)&amp;"-"&amp;TEXT(MONTH(A133),"00"))</f>
        <v/>
      </c>
      <c r="D133" s="26"/>
      <c r="E133" s="26"/>
      <c r="F133" s="26"/>
      <c r="G133" s="29"/>
      <c r="H133" s="26"/>
      <c r="I133" s="32"/>
      <c r="J133" s="26"/>
      <c r="K133" s="26"/>
    </row>
    <row r="134" customFormat="false" ht="15" hidden="false" customHeight="false" outlineLevel="0" collapsed="false">
      <c r="A134" s="32"/>
      <c r="B134" s="17" t="str">
        <f aca="false">IF(A134="","",IFERROR(INDEX(Calendario!$A$4:$A$107,MATCH(A134,Calendario!$B$4:$B$107,1)),""))</f>
        <v/>
      </c>
      <c r="C134" s="17" t="str">
        <f aca="false">IF(A134="","",YEAR(A134)&amp;"-"&amp;TEXT(MONTH(A134),"00"))</f>
        <v/>
      </c>
      <c r="D134" s="26"/>
      <c r="E134" s="26"/>
      <c r="F134" s="26"/>
      <c r="G134" s="29"/>
      <c r="H134" s="26"/>
      <c r="I134" s="32"/>
      <c r="J134" s="26"/>
      <c r="K134" s="26"/>
    </row>
    <row r="135" customFormat="false" ht="15" hidden="false" customHeight="false" outlineLevel="0" collapsed="false">
      <c r="A135" s="32"/>
      <c r="B135" s="17" t="str">
        <f aca="false">IF(A135="","",IFERROR(INDEX(Calendario!$A$4:$A$107,MATCH(A135,Calendario!$B$4:$B$107,1)),""))</f>
        <v/>
      </c>
      <c r="C135" s="17" t="str">
        <f aca="false">IF(A135="","",YEAR(A135)&amp;"-"&amp;TEXT(MONTH(A135),"00"))</f>
        <v/>
      </c>
      <c r="D135" s="26"/>
      <c r="E135" s="26"/>
      <c r="F135" s="26"/>
      <c r="G135" s="29"/>
      <c r="H135" s="26"/>
      <c r="I135" s="32"/>
      <c r="J135" s="26"/>
      <c r="K135" s="26"/>
    </row>
    <row r="136" customFormat="false" ht="15" hidden="false" customHeight="false" outlineLevel="0" collapsed="false">
      <c r="A136" s="32"/>
      <c r="B136" s="17" t="str">
        <f aca="false">IF(A136="","",IFERROR(INDEX(Calendario!$A$4:$A$107,MATCH(A136,Calendario!$B$4:$B$107,1)),""))</f>
        <v/>
      </c>
      <c r="C136" s="17" t="str">
        <f aca="false">IF(A136="","",YEAR(A136)&amp;"-"&amp;TEXT(MONTH(A136),"00"))</f>
        <v/>
      </c>
      <c r="D136" s="26"/>
      <c r="E136" s="26"/>
      <c r="F136" s="26"/>
      <c r="G136" s="29"/>
      <c r="H136" s="26"/>
      <c r="I136" s="32"/>
      <c r="J136" s="26"/>
      <c r="K136" s="26"/>
    </row>
    <row r="137" customFormat="false" ht="15" hidden="false" customHeight="false" outlineLevel="0" collapsed="false">
      <c r="A137" s="32"/>
      <c r="B137" s="17" t="str">
        <f aca="false">IF(A137="","",IFERROR(INDEX(Calendario!$A$4:$A$107,MATCH(A137,Calendario!$B$4:$B$107,1)),""))</f>
        <v/>
      </c>
      <c r="C137" s="17" t="str">
        <f aca="false">IF(A137="","",YEAR(A137)&amp;"-"&amp;TEXT(MONTH(A137),"00"))</f>
        <v/>
      </c>
      <c r="D137" s="26"/>
      <c r="E137" s="26"/>
      <c r="F137" s="26"/>
      <c r="G137" s="29"/>
      <c r="H137" s="26"/>
      <c r="I137" s="32"/>
      <c r="J137" s="26"/>
      <c r="K137" s="26"/>
    </row>
    <row r="138" customFormat="false" ht="15" hidden="false" customHeight="false" outlineLevel="0" collapsed="false">
      <c r="A138" s="32"/>
      <c r="B138" s="17" t="str">
        <f aca="false">IF(A138="","",IFERROR(INDEX(Calendario!$A$4:$A$107,MATCH(A138,Calendario!$B$4:$B$107,1)),""))</f>
        <v/>
      </c>
      <c r="C138" s="17" t="str">
        <f aca="false">IF(A138="","",YEAR(A138)&amp;"-"&amp;TEXT(MONTH(A138),"00"))</f>
        <v/>
      </c>
      <c r="D138" s="26"/>
      <c r="E138" s="26"/>
      <c r="F138" s="26"/>
      <c r="G138" s="29"/>
      <c r="H138" s="26"/>
      <c r="I138" s="32"/>
      <c r="J138" s="26"/>
      <c r="K138" s="26"/>
    </row>
    <row r="139" customFormat="false" ht="15" hidden="false" customHeight="false" outlineLevel="0" collapsed="false">
      <c r="A139" s="32"/>
      <c r="B139" s="17" t="str">
        <f aca="false">IF(A139="","",IFERROR(INDEX(Calendario!$A$4:$A$107,MATCH(A139,Calendario!$B$4:$B$107,1)),""))</f>
        <v/>
      </c>
      <c r="C139" s="17" t="str">
        <f aca="false">IF(A139="","",YEAR(A139)&amp;"-"&amp;TEXT(MONTH(A139),"00"))</f>
        <v/>
      </c>
      <c r="D139" s="26"/>
      <c r="E139" s="26"/>
      <c r="F139" s="26"/>
      <c r="G139" s="29"/>
      <c r="H139" s="26"/>
      <c r="I139" s="32"/>
      <c r="J139" s="26"/>
      <c r="K139" s="26"/>
    </row>
    <row r="140" customFormat="false" ht="15" hidden="false" customHeight="false" outlineLevel="0" collapsed="false">
      <c r="A140" s="32"/>
      <c r="B140" s="17" t="str">
        <f aca="false">IF(A140="","",IFERROR(INDEX(Calendario!$A$4:$A$107,MATCH(A140,Calendario!$B$4:$B$107,1)),""))</f>
        <v/>
      </c>
      <c r="C140" s="17" t="str">
        <f aca="false">IF(A140="","",YEAR(A140)&amp;"-"&amp;TEXT(MONTH(A140),"00"))</f>
        <v/>
      </c>
      <c r="D140" s="26"/>
      <c r="E140" s="26"/>
      <c r="F140" s="26"/>
      <c r="G140" s="29"/>
      <c r="H140" s="26"/>
      <c r="I140" s="32"/>
      <c r="J140" s="26"/>
      <c r="K140" s="26"/>
    </row>
    <row r="141" customFormat="false" ht="15" hidden="false" customHeight="false" outlineLevel="0" collapsed="false">
      <c r="A141" s="32"/>
      <c r="B141" s="17" t="str">
        <f aca="false">IF(A141="","",IFERROR(INDEX(Calendario!$A$4:$A$107,MATCH(A141,Calendario!$B$4:$B$107,1)),""))</f>
        <v/>
      </c>
      <c r="C141" s="17" t="str">
        <f aca="false">IF(A141="","",YEAR(A141)&amp;"-"&amp;TEXT(MONTH(A141),"00"))</f>
        <v/>
      </c>
      <c r="D141" s="26"/>
      <c r="E141" s="26"/>
      <c r="F141" s="26"/>
      <c r="G141" s="29"/>
      <c r="H141" s="26"/>
      <c r="I141" s="32"/>
      <c r="J141" s="26"/>
      <c r="K141" s="26"/>
    </row>
    <row r="142" customFormat="false" ht="15" hidden="false" customHeight="false" outlineLevel="0" collapsed="false">
      <c r="A142" s="32"/>
      <c r="B142" s="17" t="str">
        <f aca="false">IF(A142="","",IFERROR(INDEX(Calendario!$A$4:$A$107,MATCH(A142,Calendario!$B$4:$B$107,1)),""))</f>
        <v/>
      </c>
      <c r="C142" s="17" t="str">
        <f aca="false">IF(A142="","",YEAR(A142)&amp;"-"&amp;TEXT(MONTH(A142),"00"))</f>
        <v/>
      </c>
      <c r="D142" s="26"/>
      <c r="E142" s="26"/>
      <c r="F142" s="26"/>
      <c r="G142" s="29"/>
      <c r="H142" s="26"/>
      <c r="I142" s="32"/>
      <c r="J142" s="26"/>
      <c r="K142" s="26"/>
    </row>
    <row r="143" customFormat="false" ht="15" hidden="false" customHeight="false" outlineLevel="0" collapsed="false">
      <c r="A143" s="32"/>
      <c r="B143" s="17" t="str">
        <f aca="false">IF(A143="","",IFERROR(INDEX(Calendario!$A$4:$A$107,MATCH(A143,Calendario!$B$4:$B$107,1)),""))</f>
        <v/>
      </c>
      <c r="C143" s="17" t="str">
        <f aca="false">IF(A143="","",YEAR(A143)&amp;"-"&amp;TEXT(MONTH(A143),"00"))</f>
        <v/>
      </c>
      <c r="D143" s="26"/>
      <c r="E143" s="26"/>
      <c r="F143" s="26"/>
      <c r="G143" s="29"/>
      <c r="H143" s="26"/>
      <c r="I143" s="32"/>
      <c r="J143" s="26"/>
      <c r="K143" s="26"/>
    </row>
    <row r="144" customFormat="false" ht="15" hidden="false" customHeight="false" outlineLevel="0" collapsed="false">
      <c r="A144" s="32"/>
      <c r="B144" s="17" t="str">
        <f aca="false">IF(A144="","",IFERROR(INDEX(Calendario!$A$4:$A$107,MATCH(A144,Calendario!$B$4:$B$107,1)),""))</f>
        <v/>
      </c>
      <c r="C144" s="17" t="str">
        <f aca="false">IF(A144="","",YEAR(A144)&amp;"-"&amp;TEXT(MONTH(A144),"00"))</f>
        <v/>
      </c>
      <c r="D144" s="26"/>
      <c r="E144" s="26"/>
      <c r="F144" s="26"/>
      <c r="G144" s="29"/>
      <c r="H144" s="26"/>
      <c r="I144" s="32"/>
      <c r="J144" s="26"/>
      <c r="K144" s="26"/>
    </row>
    <row r="145" customFormat="false" ht="15" hidden="false" customHeight="false" outlineLevel="0" collapsed="false">
      <c r="A145" s="32"/>
      <c r="B145" s="17" t="str">
        <f aca="false">IF(A145="","",IFERROR(INDEX(Calendario!$A$4:$A$107,MATCH(A145,Calendario!$B$4:$B$107,1)),""))</f>
        <v/>
      </c>
      <c r="C145" s="17" t="str">
        <f aca="false">IF(A145="","",YEAR(A145)&amp;"-"&amp;TEXT(MONTH(A145),"00"))</f>
        <v/>
      </c>
      <c r="D145" s="26"/>
      <c r="E145" s="26"/>
      <c r="F145" s="26"/>
      <c r="G145" s="29"/>
      <c r="H145" s="26"/>
      <c r="I145" s="32"/>
      <c r="J145" s="26"/>
      <c r="K145" s="26"/>
    </row>
    <row r="146" customFormat="false" ht="15" hidden="false" customHeight="false" outlineLevel="0" collapsed="false">
      <c r="A146" s="32"/>
      <c r="B146" s="17" t="str">
        <f aca="false">IF(A146="","",IFERROR(INDEX(Calendario!$A$4:$A$107,MATCH(A146,Calendario!$B$4:$B$107,1)),""))</f>
        <v/>
      </c>
      <c r="C146" s="17" t="str">
        <f aca="false">IF(A146="","",YEAR(A146)&amp;"-"&amp;TEXT(MONTH(A146),"00"))</f>
        <v/>
      </c>
      <c r="D146" s="26"/>
      <c r="E146" s="26"/>
      <c r="F146" s="26"/>
      <c r="G146" s="29"/>
      <c r="H146" s="26"/>
      <c r="I146" s="32"/>
      <c r="J146" s="26"/>
      <c r="K146" s="26"/>
    </row>
    <row r="147" customFormat="false" ht="15" hidden="false" customHeight="false" outlineLevel="0" collapsed="false">
      <c r="A147" s="32"/>
      <c r="B147" s="17" t="str">
        <f aca="false">IF(A147="","",IFERROR(INDEX(Calendario!$A$4:$A$107,MATCH(A147,Calendario!$B$4:$B$107,1)),""))</f>
        <v/>
      </c>
      <c r="C147" s="17" t="str">
        <f aca="false">IF(A147="","",YEAR(A147)&amp;"-"&amp;TEXT(MONTH(A147),"00"))</f>
        <v/>
      </c>
      <c r="D147" s="26"/>
      <c r="E147" s="26"/>
      <c r="F147" s="26"/>
      <c r="G147" s="29"/>
      <c r="H147" s="26"/>
      <c r="I147" s="32"/>
      <c r="J147" s="26"/>
      <c r="K147" s="26"/>
    </row>
    <row r="148" customFormat="false" ht="15" hidden="false" customHeight="false" outlineLevel="0" collapsed="false">
      <c r="A148" s="32"/>
      <c r="B148" s="17" t="str">
        <f aca="false">IF(A148="","",IFERROR(INDEX(Calendario!$A$4:$A$107,MATCH(A148,Calendario!$B$4:$B$107,1)),""))</f>
        <v/>
      </c>
      <c r="C148" s="17" t="str">
        <f aca="false">IF(A148="","",YEAR(A148)&amp;"-"&amp;TEXT(MONTH(A148),"00"))</f>
        <v/>
      </c>
      <c r="D148" s="26"/>
      <c r="E148" s="26"/>
      <c r="F148" s="26"/>
      <c r="G148" s="29"/>
      <c r="H148" s="26"/>
      <c r="I148" s="32"/>
      <c r="J148" s="26"/>
      <c r="K148" s="26"/>
    </row>
    <row r="149" customFormat="false" ht="15" hidden="false" customHeight="false" outlineLevel="0" collapsed="false">
      <c r="A149" s="32"/>
      <c r="B149" s="17" t="str">
        <f aca="false">IF(A149="","",IFERROR(INDEX(Calendario!$A$4:$A$107,MATCH(A149,Calendario!$B$4:$B$107,1)),""))</f>
        <v/>
      </c>
      <c r="C149" s="17" t="str">
        <f aca="false">IF(A149="","",YEAR(A149)&amp;"-"&amp;TEXT(MONTH(A149),"00"))</f>
        <v/>
      </c>
      <c r="D149" s="26"/>
      <c r="E149" s="26"/>
      <c r="F149" s="26"/>
      <c r="G149" s="29"/>
      <c r="H149" s="26"/>
      <c r="I149" s="32"/>
      <c r="J149" s="26"/>
      <c r="K149" s="26"/>
    </row>
    <row r="150" customFormat="false" ht="15" hidden="false" customHeight="false" outlineLevel="0" collapsed="false">
      <c r="A150" s="32"/>
      <c r="B150" s="17" t="str">
        <f aca="false">IF(A150="","",IFERROR(INDEX(Calendario!$A$4:$A$107,MATCH(A150,Calendario!$B$4:$B$107,1)),""))</f>
        <v/>
      </c>
      <c r="C150" s="17" t="str">
        <f aca="false">IF(A150="","",YEAR(A150)&amp;"-"&amp;TEXT(MONTH(A150),"00"))</f>
        <v/>
      </c>
      <c r="D150" s="26"/>
      <c r="E150" s="26"/>
      <c r="F150" s="26"/>
      <c r="G150" s="29"/>
      <c r="H150" s="26"/>
      <c r="I150" s="32"/>
      <c r="J150" s="26"/>
      <c r="K150" s="26"/>
    </row>
    <row r="151" customFormat="false" ht="15" hidden="false" customHeight="false" outlineLevel="0" collapsed="false">
      <c r="A151" s="32"/>
      <c r="B151" s="17" t="str">
        <f aca="false">IF(A151="","",IFERROR(INDEX(Calendario!$A$4:$A$107,MATCH(A151,Calendario!$B$4:$B$107,1)),""))</f>
        <v/>
      </c>
      <c r="C151" s="17" t="str">
        <f aca="false">IF(A151="","",YEAR(A151)&amp;"-"&amp;TEXT(MONTH(A151),"00"))</f>
        <v/>
      </c>
      <c r="D151" s="26"/>
      <c r="E151" s="26"/>
      <c r="F151" s="26"/>
      <c r="G151" s="29"/>
      <c r="H151" s="26"/>
      <c r="I151" s="32"/>
      <c r="J151" s="26"/>
      <c r="K151" s="26"/>
    </row>
    <row r="152" customFormat="false" ht="15" hidden="false" customHeight="false" outlineLevel="0" collapsed="false">
      <c r="A152" s="32"/>
      <c r="B152" s="17" t="str">
        <f aca="false">IF(A152="","",IFERROR(INDEX(Calendario!$A$4:$A$107,MATCH(A152,Calendario!$B$4:$B$107,1)),""))</f>
        <v/>
      </c>
      <c r="C152" s="17" t="str">
        <f aca="false">IF(A152="","",YEAR(A152)&amp;"-"&amp;TEXT(MONTH(A152),"00"))</f>
        <v/>
      </c>
      <c r="D152" s="26"/>
      <c r="E152" s="26"/>
      <c r="F152" s="26"/>
      <c r="G152" s="29"/>
      <c r="H152" s="26"/>
      <c r="I152" s="32"/>
      <c r="J152" s="26"/>
      <c r="K152" s="26"/>
    </row>
    <row r="153" customFormat="false" ht="15" hidden="false" customHeight="false" outlineLevel="0" collapsed="false">
      <c r="A153" s="32"/>
      <c r="B153" s="17" t="str">
        <f aca="false">IF(A153="","",IFERROR(INDEX(Calendario!$A$4:$A$107,MATCH(A153,Calendario!$B$4:$B$107,1)),""))</f>
        <v/>
      </c>
      <c r="C153" s="17" t="str">
        <f aca="false">IF(A153="","",YEAR(A153)&amp;"-"&amp;TEXT(MONTH(A153),"00"))</f>
        <v/>
      </c>
      <c r="D153" s="26"/>
      <c r="E153" s="26"/>
      <c r="F153" s="26"/>
      <c r="G153" s="29"/>
      <c r="H153" s="26"/>
      <c r="I153" s="32"/>
      <c r="J153" s="26"/>
      <c r="K153" s="26"/>
    </row>
    <row r="154" customFormat="false" ht="15" hidden="false" customHeight="false" outlineLevel="0" collapsed="false">
      <c r="A154" s="32"/>
      <c r="B154" s="17" t="str">
        <f aca="false">IF(A154="","",IFERROR(INDEX(Calendario!$A$4:$A$107,MATCH(A154,Calendario!$B$4:$B$107,1)),""))</f>
        <v/>
      </c>
      <c r="C154" s="17" t="str">
        <f aca="false">IF(A154="","",YEAR(A154)&amp;"-"&amp;TEXT(MONTH(A154),"00"))</f>
        <v/>
      </c>
      <c r="D154" s="26"/>
      <c r="E154" s="26"/>
      <c r="F154" s="26"/>
      <c r="G154" s="29"/>
      <c r="H154" s="26"/>
      <c r="I154" s="32"/>
      <c r="J154" s="26"/>
      <c r="K154" s="26"/>
    </row>
    <row r="155" customFormat="false" ht="15" hidden="false" customHeight="false" outlineLevel="0" collapsed="false">
      <c r="A155" s="32"/>
      <c r="B155" s="17" t="str">
        <f aca="false">IF(A155="","",IFERROR(INDEX(Calendario!$A$4:$A$107,MATCH(A155,Calendario!$B$4:$B$107,1)),""))</f>
        <v/>
      </c>
      <c r="C155" s="17" t="str">
        <f aca="false">IF(A155="","",YEAR(A155)&amp;"-"&amp;TEXT(MONTH(A155),"00"))</f>
        <v/>
      </c>
      <c r="D155" s="26"/>
      <c r="E155" s="26"/>
      <c r="F155" s="26"/>
      <c r="G155" s="29"/>
      <c r="H155" s="26"/>
      <c r="I155" s="32"/>
      <c r="J155" s="26"/>
      <c r="K155" s="26"/>
    </row>
    <row r="156" customFormat="false" ht="15" hidden="false" customHeight="false" outlineLevel="0" collapsed="false">
      <c r="A156" s="32"/>
      <c r="B156" s="17" t="str">
        <f aca="false">IF(A156="","",IFERROR(INDEX(Calendario!$A$4:$A$107,MATCH(A156,Calendario!$B$4:$B$107,1)),""))</f>
        <v/>
      </c>
      <c r="C156" s="17" t="str">
        <f aca="false">IF(A156="","",YEAR(A156)&amp;"-"&amp;TEXT(MONTH(A156),"00"))</f>
        <v/>
      </c>
      <c r="D156" s="26"/>
      <c r="E156" s="26"/>
      <c r="F156" s="26"/>
      <c r="G156" s="29"/>
      <c r="H156" s="26"/>
      <c r="I156" s="32"/>
      <c r="J156" s="26"/>
      <c r="K156" s="26"/>
    </row>
    <row r="157" customFormat="false" ht="15" hidden="false" customHeight="false" outlineLevel="0" collapsed="false">
      <c r="A157" s="32"/>
      <c r="B157" s="17" t="str">
        <f aca="false">IF(A157="","",IFERROR(INDEX(Calendario!$A$4:$A$107,MATCH(A157,Calendario!$B$4:$B$107,1)),""))</f>
        <v/>
      </c>
      <c r="C157" s="17" t="str">
        <f aca="false">IF(A157="","",YEAR(A157)&amp;"-"&amp;TEXT(MONTH(A157),"00"))</f>
        <v/>
      </c>
      <c r="D157" s="26"/>
      <c r="E157" s="26"/>
      <c r="F157" s="26"/>
      <c r="G157" s="29"/>
      <c r="H157" s="26"/>
      <c r="I157" s="32"/>
      <c r="J157" s="26"/>
      <c r="K157" s="26"/>
    </row>
    <row r="158" customFormat="false" ht="15" hidden="false" customHeight="false" outlineLevel="0" collapsed="false">
      <c r="A158" s="32"/>
      <c r="B158" s="17" t="str">
        <f aca="false">IF(A158="","",IFERROR(INDEX(Calendario!$A$4:$A$107,MATCH(A158,Calendario!$B$4:$B$107,1)),""))</f>
        <v/>
      </c>
      <c r="C158" s="17" t="str">
        <f aca="false">IF(A158="","",YEAR(A158)&amp;"-"&amp;TEXT(MONTH(A158),"00"))</f>
        <v/>
      </c>
      <c r="D158" s="26"/>
      <c r="E158" s="26"/>
      <c r="F158" s="26"/>
      <c r="G158" s="29"/>
      <c r="H158" s="26"/>
      <c r="I158" s="32"/>
      <c r="J158" s="26"/>
      <c r="K158" s="26"/>
    </row>
    <row r="159" customFormat="false" ht="15" hidden="false" customHeight="false" outlineLevel="0" collapsed="false">
      <c r="A159" s="32"/>
      <c r="B159" s="17" t="str">
        <f aca="false">IF(A159="","",IFERROR(INDEX(Calendario!$A$4:$A$107,MATCH(A159,Calendario!$B$4:$B$107,1)),""))</f>
        <v/>
      </c>
      <c r="C159" s="17" t="str">
        <f aca="false">IF(A159="","",YEAR(A159)&amp;"-"&amp;TEXT(MONTH(A159),"00"))</f>
        <v/>
      </c>
      <c r="D159" s="26"/>
      <c r="E159" s="26"/>
      <c r="F159" s="26"/>
      <c r="G159" s="29"/>
      <c r="H159" s="26"/>
      <c r="I159" s="32"/>
      <c r="J159" s="26"/>
      <c r="K159" s="26"/>
    </row>
    <row r="160" customFormat="false" ht="15" hidden="false" customHeight="false" outlineLevel="0" collapsed="false">
      <c r="A160" s="32"/>
      <c r="B160" s="17" t="str">
        <f aca="false">IF(A160="","",IFERROR(INDEX(Calendario!$A$4:$A$107,MATCH(A160,Calendario!$B$4:$B$107,1)),""))</f>
        <v/>
      </c>
      <c r="C160" s="17" t="str">
        <f aca="false">IF(A160="","",YEAR(A160)&amp;"-"&amp;TEXT(MONTH(A160),"00"))</f>
        <v/>
      </c>
      <c r="D160" s="26"/>
      <c r="E160" s="26"/>
      <c r="F160" s="26"/>
      <c r="G160" s="29"/>
      <c r="H160" s="26"/>
      <c r="I160" s="32"/>
      <c r="J160" s="26"/>
      <c r="K160" s="26"/>
    </row>
    <row r="161" customFormat="false" ht="15" hidden="false" customHeight="false" outlineLevel="0" collapsed="false">
      <c r="A161" s="32"/>
      <c r="B161" s="17" t="str">
        <f aca="false">IF(A161="","",IFERROR(INDEX(Calendario!$A$4:$A$107,MATCH(A161,Calendario!$B$4:$B$107,1)),""))</f>
        <v/>
      </c>
      <c r="C161" s="17" t="str">
        <f aca="false">IF(A161="","",YEAR(A161)&amp;"-"&amp;TEXT(MONTH(A161),"00"))</f>
        <v/>
      </c>
      <c r="D161" s="26"/>
      <c r="E161" s="26"/>
      <c r="F161" s="26"/>
      <c r="G161" s="29"/>
      <c r="H161" s="26"/>
      <c r="I161" s="32"/>
      <c r="J161" s="26"/>
      <c r="K161" s="26"/>
    </row>
    <row r="162" customFormat="false" ht="15" hidden="false" customHeight="false" outlineLevel="0" collapsed="false">
      <c r="A162" s="32"/>
      <c r="B162" s="17" t="str">
        <f aca="false">IF(A162="","",IFERROR(INDEX(Calendario!$A$4:$A$107,MATCH(A162,Calendario!$B$4:$B$107,1)),""))</f>
        <v/>
      </c>
      <c r="C162" s="17" t="str">
        <f aca="false">IF(A162="","",YEAR(A162)&amp;"-"&amp;TEXT(MONTH(A162),"00"))</f>
        <v/>
      </c>
      <c r="D162" s="26"/>
      <c r="E162" s="26"/>
      <c r="F162" s="26"/>
      <c r="G162" s="29"/>
      <c r="H162" s="26"/>
      <c r="I162" s="32"/>
      <c r="J162" s="26"/>
      <c r="K162" s="26"/>
    </row>
    <row r="163" customFormat="false" ht="15" hidden="false" customHeight="false" outlineLevel="0" collapsed="false">
      <c r="A163" s="32"/>
      <c r="B163" s="17" t="str">
        <f aca="false">IF(A163="","",IFERROR(INDEX(Calendario!$A$4:$A$107,MATCH(A163,Calendario!$B$4:$B$107,1)),""))</f>
        <v/>
      </c>
      <c r="C163" s="17" t="str">
        <f aca="false">IF(A163="","",YEAR(A163)&amp;"-"&amp;TEXT(MONTH(A163),"00"))</f>
        <v/>
      </c>
      <c r="D163" s="26"/>
      <c r="E163" s="26"/>
      <c r="F163" s="26"/>
      <c r="G163" s="29"/>
      <c r="H163" s="26"/>
      <c r="I163" s="32"/>
      <c r="J163" s="26"/>
      <c r="K163" s="26"/>
    </row>
    <row r="164" customFormat="false" ht="15" hidden="false" customHeight="false" outlineLevel="0" collapsed="false">
      <c r="A164" s="32"/>
      <c r="B164" s="17" t="str">
        <f aca="false">IF(A164="","",IFERROR(INDEX(Calendario!$A$4:$A$107,MATCH(A164,Calendario!$B$4:$B$107,1)),""))</f>
        <v/>
      </c>
      <c r="C164" s="17" t="str">
        <f aca="false">IF(A164="","",YEAR(A164)&amp;"-"&amp;TEXT(MONTH(A164),"00"))</f>
        <v/>
      </c>
      <c r="D164" s="26"/>
      <c r="E164" s="26"/>
      <c r="F164" s="26"/>
      <c r="G164" s="29"/>
      <c r="H164" s="26"/>
      <c r="I164" s="32"/>
      <c r="J164" s="26"/>
      <c r="K164" s="26"/>
    </row>
    <row r="165" customFormat="false" ht="15" hidden="false" customHeight="false" outlineLevel="0" collapsed="false">
      <c r="A165" s="32"/>
      <c r="B165" s="17" t="str">
        <f aca="false">IF(A165="","",IFERROR(INDEX(Calendario!$A$4:$A$107,MATCH(A165,Calendario!$B$4:$B$107,1)),""))</f>
        <v/>
      </c>
      <c r="C165" s="17" t="str">
        <f aca="false">IF(A165="","",YEAR(A165)&amp;"-"&amp;TEXT(MONTH(A165),"00"))</f>
        <v/>
      </c>
      <c r="D165" s="26"/>
      <c r="E165" s="26"/>
      <c r="F165" s="26"/>
      <c r="G165" s="29"/>
      <c r="H165" s="26"/>
      <c r="I165" s="32"/>
      <c r="J165" s="26"/>
      <c r="K165" s="26"/>
    </row>
    <row r="166" customFormat="false" ht="15" hidden="false" customHeight="false" outlineLevel="0" collapsed="false">
      <c r="A166" s="32"/>
      <c r="B166" s="17" t="str">
        <f aca="false">IF(A166="","",IFERROR(INDEX(Calendario!$A$4:$A$107,MATCH(A166,Calendario!$B$4:$B$107,1)),""))</f>
        <v/>
      </c>
      <c r="C166" s="17" t="str">
        <f aca="false">IF(A166="","",YEAR(A166)&amp;"-"&amp;TEXT(MONTH(A166),"00"))</f>
        <v/>
      </c>
      <c r="D166" s="26"/>
      <c r="E166" s="26"/>
      <c r="F166" s="26"/>
      <c r="G166" s="29"/>
      <c r="H166" s="26"/>
      <c r="I166" s="32"/>
      <c r="J166" s="26"/>
      <c r="K166" s="26"/>
    </row>
    <row r="167" customFormat="false" ht="15" hidden="false" customHeight="false" outlineLevel="0" collapsed="false">
      <c r="A167" s="32"/>
      <c r="B167" s="17" t="str">
        <f aca="false">IF(A167="","",IFERROR(INDEX(Calendario!$A$4:$A$107,MATCH(A167,Calendario!$B$4:$B$107,1)),""))</f>
        <v/>
      </c>
      <c r="C167" s="17" t="str">
        <f aca="false">IF(A167="","",YEAR(A167)&amp;"-"&amp;TEXT(MONTH(A167),"00"))</f>
        <v/>
      </c>
      <c r="D167" s="26"/>
      <c r="E167" s="26"/>
      <c r="F167" s="26"/>
      <c r="G167" s="29"/>
      <c r="H167" s="26"/>
      <c r="I167" s="32"/>
      <c r="J167" s="26"/>
      <c r="K167" s="26"/>
    </row>
    <row r="168" customFormat="false" ht="15" hidden="false" customHeight="false" outlineLevel="0" collapsed="false">
      <c r="A168" s="32"/>
      <c r="B168" s="17" t="str">
        <f aca="false">IF(A168="","",IFERROR(INDEX(Calendario!$A$4:$A$107,MATCH(A168,Calendario!$B$4:$B$107,1)),""))</f>
        <v/>
      </c>
      <c r="C168" s="17" t="str">
        <f aca="false">IF(A168="","",YEAR(A168)&amp;"-"&amp;TEXT(MONTH(A168),"00"))</f>
        <v/>
      </c>
      <c r="D168" s="26"/>
      <c r="E168" s="26"/>
      <c r="F168" s="26"/>
      <c r="G168" s="29"/>
      <c r="H168" s="26"/>
      <c r="I168" s="32"/>
      <c r="J168" s="26"/>
      <c r="K168" s="26"/>
    </row>
    <row r="169" customFormat="false" ht="15" hidden="false" customHeight="false" outlineLevel="0" collapsed="false">
      <c r="A169" s="32"/>
      <c r="B169" s="17" t="str">
        <f aca="false">IF(A169="","",IFERROR(INDEX(Calendario!$A$4:$A$107,MATCH(A169,Calendario!$B$4:$B$107,1)),""))</f>
        <v/>
      </c>
      <c r="C169" s="17" t="str">
        <f aca="false">IF(A169="","",YEAR(A169)&amp;"-"&amp;TEXT(MONTH(A169),"00"))</f>
        <v/>
      </c>
      <c r="D169" s="26"/>
      <c r="E169" s="26"/>
      <c r="F169" s="26"/>
      <c r="G169" s="29"/>
      <c r="H169" s="26"/>
      <c r="I169" s="32"/>
      <c r="J169" s="26"/>
      <c r="K169" s="26"/>
    </row>
    <row r="170" customFormat="false" ht="15" hidden="false" customHeight="false" outlineLevel="0" collapsed="false">
      <c r="A170" s="32"/>
      <c r="B170" s="17" t="str">
        <f aca="false">IF(A170="","",IFERROR(INDEX(Calendario!$A$4:$A$107,MATCH(A170,Calendario!$B$4:$B$107,1)),""))</f>
        <v/>
      </c>
      <c r="C170" s="17" t="str">
        <f aca="false">IF(A170="","",YEAR(A170)&amp;"-"&amp;TEXT(MONTH(A170),"00"))</f>
        <v/>
      </c>
      <c r="D170" s="26"/>
      <c r="E170" s="26"/>
      <c r="F170" s="26"/>
      <c r="G170" s="29"/>
      <c r="H170" s="26"/>
      <c r="I170" s="32"/>
      <c r="J170" s="26"/>
      <c r="K170" s="26"/>
    </row>
    <row r="171" customFormat="false" ht="15" hidden="false" customHeight="false" outlineLevel="0" collapsed="false">
      <c r="A171" s="32"/>
      <c r="B171" s="17" t="str">
        <f aca="false">IF(A171="","",IFERROR(INDEX(Calendario!$A$4:$A$107,MATCH(A171,Calendario!$B$4:$B$107,1)),""))</f>
        <v/>
      </c>
      <c r="C171" s="17" t="str">
        <f aca="false">IF(A171="","",YEAR(A171)&amp;"-"&amp;TEXT(MONTH(A171),"00"))</f>
        <v/>
      </c>
      <c r="D171" s="26"/>
      <c r="E171" s="26"/>
      <c r="F171" s="26"/>
      <c r="G171" s="29"/>
      <c r="H171" s="26"/>
      <c r="I171" s="32"/>
      <c r="J171" s="26"/>
      <c r="K171" s="26"/>
    </row>
    <row r="172" customFormat="false" ht="15" hidden="false" customHeight="false" outlineLevel="0" collapsed="false">
      <c r="A172" s="32"/>
      <c r="B172" s="17" t="str">
        <f aca="false">IF(A172="","",IFERROR(INDEX(Calendario!$A$4:$A$107,MATCH(A172,Calendario!$B$4:$B$107,1)),""))</f>
        <v/>
      </c>
      <c r="C172" s="17" t="str">
        <f aca="false">IF(A172="","",YEAR(A172)&amp;"-"&amp;TEXT(MONTH(A172),"00"))</f>
        <v/>
      </c>
      <c r="D172" s="26"/>
      <c r="E172" s="26"/>
      <c r="F172" s="26"/>
      <c r="G172" s="29"/>
      <c r="H172" s="26"/>
      <c r="I172" s="32"/>
      <c r="J172" s="26"/>
      <c r="K172" s="26"/>
    </row>
    <row r="173" customFormat="false" ht="15" hidden="false" customHeight="false" outlineLevel="0" collapsed="false">
      <c r="A173" s="32"/>
      <c r="B173" s="17" t="str">
        <f aca="false">IF(A173="","",IFERROR(INDEX(Calendario!$A$4:$A$107,MATCH(A173,Calendario!$B$4:$B$107,1)),""))</f>
        <v/>
      </c>
      <c r="C173" s="17" t="str">
        <f aca="false">IF(A173="","",YEAR(A173)&amp;"-"&amp;TEXT(MONTH(A173),"00"))</f>
        <v/>
      </c>
      <c r="D173" s="26"/>
      <c r="E173" s="26"/>
      <c r="F173" s="26"/>
      <c r="G173" s="29"/>
      <c r="H173" s="26"/>
      <c r="I173" s="32"/>
      <c r="J173" s="26"/>
      <c r="K173" s="26"/>
    </row>
    <row r="174" customFormat="false" ht="15" hidden="false" customHeight="false" outlineLevel="0" collapsed="false">
      <c r="A174" s="32"/>
      <c r="B174" s="17" t="str">
        <f aca="false">IF(A174="","",IFERROR(INDEX(Calendario!$A$4:$A$107,MATCH(A174,Calendario!$B$4:$B$107,1)),""))</f>
        <v/>
      </c>
      <c r="C174" s="17" t="str">
        <f aca="false">IF(A174="","",YEAR(A174)&amp;"-"&amp;TEXT(MONTH(A174),"00"))</f>
        <v/>
      </c>
      <c r="D174" s="26"/>
      <c r="E174" s="26"/>
      <c r="F174" s="26"/>
      <c r="G174" s="29"/>
      <c r="H174" s="26"/>
      <c r="I174" s="32"/>
      <c r="J174" s="26"/>
      <c r="K174" s="26"/>
    </row>
    <row r="175" customFormat="false" ht="15" hidden="false" customHeight="false" outlineLevel="0" collapsed="false">
      <c r="A175" s="32"/>
      <c r="B175" s="17" t="str">
        <f aca="false">IF(A175="","",IFERROR(INDEX(Calendario!$A$4:$A$107,MATCH(A175,Calendario!$B$4:$B$107,1)),""))</f>
        <v/>
      </c>
      <c r="C175" s="17" t="str">
        <f aca="false">IF(A175="","",YEAR(A175)&amp;"-"&amp;TEXT(MONTH(A175),"00"))</f>
        <v/>
      </c>
      <c r="D175" s="26"/>
      <c r="E175" s="26"/>
      <c r="F175" s="26"/>
      <c r="G175" s="29"/>
      <c r="H175" s="26"/>
      <c r="I175" s="32"/>
      <c r="J175" s="26"/>
      <c r="K175" s="26"/>
    </row>
    <row r="176" customFormat="false" ht="15" hidden="false" customHeight="false" outlineLevel="0" collapsed="false">
      <c r="A176" s="32"/>
      <c r="B176" s="17" t="str">
        <f aca="false">IF(A176="","",IFERROR(INDEX(Calendario!$A$4:$A$107,MATCH(A176,Calendario!$B$4:$B$107,1)),""))</f>
        <v/>
      </c>
      <c r="C176" s="17" t="str">
        <f aca="false">IF(A176="","",YEAR(A176)&amp;"-"&amp;TEXT(MONTH(A176),"00"))</f>
        <v/>
      </c>
      <c r="D176" s="26"/>
      <c r="E176" s="26"/>
      <c r="F176" s="26"/>
      <c r="G176" s="29"/>
      <c r="H176" s="26"/>
      <c r="I176" s="32"/>
      <c r="J176" s="26"/>
      <c r="K176" s="26"/>
    </row>
    <row r="177" customFormat="false" ht="15" hidden="false" customHeight="false" outlineLevel="0" collapsed="false">
      <c r="A177" s="32"/>
      <c r="B177" s="17" t="str">
        <f aca="false">IF(A177="","",IFERROR(INDEX(Calendario!$A$4:$A$107,MATCH(A177,Calendario!$B$4:$B$107,1)),""))</f>
        <v/>
      </c>
      <c r="C177" s="17" t="str">
        <f aca="false">IF(A177="","",YEAR(A177)&amp;"-"&amp;TEXT(MONTH(A177),"00"))</f>
        <v/>
      </c>
      <c r="D177" s="26"/>
      <c r="E177" s="26"/>
      <c r="F177" s="26"/>
      <c r="G177" s="29"/>
      <c r="H177" s="26"/>
      <c r="I177" s="32"/>
      <c r="J177" s="26"/>
      <c r="K177" s="26"/>
    </row>
    <row r="178" customFormat="false" ht="15" hidden="false" customHeight="false" outlineLevel="0" collapsed="false">
      <c r="A178" s="32"/>
      <c r="B178" s="17" t="str">
        <f aca="false">IF(A178="","",IFERROR(INDEX(Calendario!$A$4:$A$107,MATCH(A178,Calendario!$B$4:$B$107,1)),""))</f>
        <v/>
      </c>
      <c r="C178" s="17" t="str">
        <f aca="false">IF(A178="","",YEAR(A178)&amp;"-"&amp;TEXT(MONTH(A178),"00"))</f>
        <v/>
      </c>
      <c r="D178" s="26"/>
      <c r="E178" s="26"/>
      <c r="F178" s="26"/>
      <c r="G178" s="29"/>
      <c r="H178" s="26"/>
      <c r="I178" s="32"/>
      <c r="J178" s="26"/>
      <c r="K178" s="26"/>
    </row>
    <row r="179" customFormat="false" ht="15" hidden="false" customHeight="false" outlineLevel="0" collapsed="false">
      <c r="A179" s="32"/>
      <c r="B179" s="17" t="str">
        <f aca="false">IF(A179="","",IFERROR(INDEX(Calendario!$A$4:$A$107,MATCH(A179,Calendario!$B$4:$B$107,1)),""))</f>
        <v/>
      </c>
      <c r="C179" s="17" t="str">
        <f aca="false">IF(A179="","",YEAR(A179)&amp;"-"&amp;TEXT(MONTH(A179),"00"))</f>
        <v/>
      </c>
      <c r="D179" s="26"/>
      <c r="E179" s="26"/>
      <c r="F179" s="26"/>
      <c r="G179" s="29"/>
      <c r="H179" s="26"/>
      <c r="I179" s="32"/>
      <c r="J179" s="26"/>
      <c r="K179" s="26"/>
    </row>
    <row r="180" customFormat="false" ht="15" hidden="false" customHeight="false" outlineLevel="0" collapsed="false">
      <c r="A180" s="32"/>
      <c r="B180" s="17" t="str">
        <f aca="false">IF(A180="","",IFERROR(INDEX(Calendario!$A$4:$A$107,MATCH(A180,Calendario!$B$4:$B$107,1)),""))</f>
        <v/>
      </c>
      <c r="C180" s="17" t="str">
        <f aca="false">IF(A180="","",YEAR(A180)&amp;"-"&amp;TEXT(MONTH(A180),"00"))</f>
        <v/>
      </c>
      <c r="D180" s="26"/>
      <c r="E180" s="26"/>
      <c r="F180" s="26"/>
      <c r="G180" s="29"/>
      <c r="H180" s="26"/>
      <c r="I180" s="32"/>
      <c r="J180" s="26"/>
      <c r="K180" s="26"/>
    </row>
    <row r="181" customFormat="false" ht="15" hidden="false" customHeight="false" outlineLevel="0" collapsed="false">
      <c r="A181" s="32"/>
      <c r="B181" s="17" t="str">
        <f aca="false">IF(A181="","",IFERROR(INDEX(Calendario!$A$4:$A$107,MATCH(A181,Calendario!$B$4:$B$107,1)),""))</f>
        <v/>
      </c>
      <c r="C181" s="17" t="str">
        <f aca="false">IF(A181="","",YEAR(A181)&amp;"-"&amp;TEXT(MONTH(A181),"00"))</f>
        <v/>
      </c>
      <c r="D181" s="26"/>
      <c r="E181" s="26"/>
      <c r="F181" s="26"/>
      <c r="G181" s="29"/>
      <c r="H181" s="26"/>
      <c r="I181" s="32"/>
      <c r="J181" s="26"/>
      <c r="K181" s="26"/>
    </row>
    <row r="182" customFormat="false" ht="15" hidden="false" customHeight="false" outlineLevel="0" collapsed="false">
      <c r="A182" s="32"/>
      <c r="B182" s="17" t="str">
        <f aca="false">IF(A182="","",IFERROR(INDEX(Calendario!$A$4:$A$107,MATCH(A182,Calendario!$B$4:$B$107,1)),""))</f>
        <v/>
      </c>
      <c r="C182" s="17" t="str">
        <f aca="false">IF(A182="","",YEAR(A182)&amp;"-"&amp;TEXT(MONTH(A182),"00"))</f>
        <v/>
      </c>
      <c r="D182" s="26"/>
      <c r="E182" s="26"/>
      <c r="F182" s="26"/>
      <c r="G182" s="29"/>
      <c r="H182" s="26"/>
      <c r="I182" s="32"/>
      <c r="J182" s="26"/>
      <c r="K182" s="26"/>
    </row>
    <row r="183" customFormat="false" ht="15" hidden="false" customHeight="false" outlineLevel="0" collapsed="false">
      <c r="A183" s="32"/>
      <c r="B183" s="17" t="str">
        <f aca="false">IF(A183="","",IFERROR(INDEX(Calendario!$A$4:$A$107,MATCH(A183,Calendario!$B$4:$B$107,1)),""))</f>
        <v/>
      </c>
      <c r="C183" s="17" t="str">
        <f aca="false">IF(A183="","",YEAR(A183)&amp;"-"&amp;TEXT(MONTH(A183),"00"))</f>
        <v/>
      </c>
      <c r="D183" s="26"/>
      <c r="E183" s="26"/>
      <c r="F183" s="26"/>
      <c r="G183" s="29"/>
      <c r="H183" s="26"/>
      <c r="I183" s="32"/>
      <c r="J183" s="26"/>
      <c r="K183" s="26"/>
    </row>
    <row r="184" customFormat="false" ht="15" hidden="false" customHeight="false" outlineLevel="0" collapsed="false">
      <c r="A184" s="32"/>
      <c r="B184" s="17" t="str">
        <f aca="false">IF(A184="","",IFERROR(INDEX(Calendario!$A$4:$A$107,MATCH(A184,Calendario!$B$4:$B$107,1)),""))</f>
        <v/>
      </c>
      <c r="C184" s="17" t="str">
        <f aca="false">IF(A184="","",YEAR(A184)&amp;"-"&amp;TEXT(MONTH(A184),"00"))</f>
        <v/>
      </c>
      <c r="D184" s="26"/>
      <c r="E184" s="26"/>
      <c r="F184" s="26"/>
      <c r="G184" s="29"/>
      <c r="H184" s="26"/>
      <c r="I184" s="32"/>
      <c r="J184" s="26"/>
      <c r="K184" s="26"/>
    </row>
    <row r="185" customFormat="false" ht="15" hidden="false" customHeight="false" outlineLevel="0" collapsed="false">
      <c r="A185" s="32"/>
      <c r="B185" s="17" t="str">
        <f aca="false">IF(A185="","",IFERROR(INDEX(Calendario!$A$4:$A$107,MATCH(A185,Calendario!$B$4:$B$107,1)),""))</f>
        <v/>
      </c>
      <c r="C185" s="17" t="str">
        <f aca="false">IF(A185="","",YEAR(A185)&amp;"-"&amp;TEXT(MONTH(A185),"00"))</f>
        <v/>
      </c>
      <c r="D185" s="26"/>
      <c r="E185" s="26"/>
      <c r="F185" s="26"/>
      <c r="G185" s="29"/>
      <c r="H185" s="26"/>
      <c r="I185" s="32"/>
      <c r="J185" s="26"/>
      <c r="K185" s="26"/>
    </row>
    <row r="186" customFormat="false" ht="15" hidden="false" customHeight="false" outlineLevel="0" collapsed="false">
      <c r="A186" s="32"/>
      <c r="B186" s="17" t="str">
        <f aca="false">IF(A186="","",IFERROR(INDEX(Calendario!$A$4:$A$107,MATCH(A186,Calendario!$B$4:$B$107,1)),""))</f>
        <v/>
      </c>
      <c r="C186" s="17" t="str">
        <f aca="false">IF(A186="","",YEAR(A186)&amp;"-"&amp;TEXT(MONTH(A186),"00"))</f>
        <v/>
      </c>
      <c r="D186" s="26"/>
      <c r="E186" s="26"/>
      <c r="F186" s="26"/>
      <c r="G186" s="29"/>
      <c r="H186" s="26"/>
      <c r="I186" s="32"/>
      <c r="J186" s="26"/>
      <c r="K186" s="26"/>
    </row>
    <row r="187" customFormat="false" ht="15" hidden="false" customHeight="false" outlineLevel="0" collapsed="false">
      <c r="A187" s="32"/>
      <c r="B187" s="17" t="str">
        <f aca="false">IF(A187="","",IFERROR(INDEX(Calendario!$A$4:$A$107,MATCH(A187,Calendario!$B$4:$B$107,1)),""))</f>
        <v/>
      </c>
      <c r="C187" s="17" t="str">
        <f aca="false">IF(A187="","",YEAR(A187)&amp;"-"&amp;TEXT(MONTH(A187),"00"))</f>
        <v/>
      </c>
      <c r="D187" s="26"/>
      <c r="E187" s="26"/>
      <c r="F187" s="26"/>
      <c r="G187" s="29"/>
      <c r="H187" s="26"/>
      <c r="I187" s="32"/>
      <c r="J187" s="26"/>
      <c r="K187" s="26"/>
    </row>
    <row r="188" customFormat="false" ht="15" hidden="false" customHeight="false" outlineLevel="0" collapsed="false">
      <c r="A188" s="32"/>
      <c r="B188" s="17" t="str">
        <f aca="false">IF(A188="","",IFERROR(INDEX(Calendario!$A$4:$A$107,MATCH(A188,Calendario!$B$4:$B$107,1)),""))</f>
        <v/>
      </c>
      <c r="C188" s="17" t="str">
        <f aca="false">IF(A188="","",YEAR(A188)&amp;"-"&amp;TEXT(MONTH(A188),"00"))</f>
        <v/>
      </c>
      <c r="D188" s="26"/>
      <c r="E188" s="26"/>
      <c r="F188" s="26"/>
      <c r="G188" s="29"/>
      <c r="H188" s="26"/>
      <c r="I188" s="32"/>
      <c r="J188" s="26"/>
      <c r="K188" s="26"/>
    </row>
    <row r="189" customFormat="false" ht="15" hidden="false" customHeight="false" outlineLevel="0" collapsed="false">
      <c r="A189" s="32"/>
      <c r="B189" s="17" t="str">
        <f aca="false">IF(A189="","",IFERROR(INDEX(Calendario!$A$4:$A$107,MATCH(A189,Calendario!$B$4:$B$107,1)),""))</f>
        <v/>
      </c>
      <c r="C189" s="17" t="str">
        <f aca="false">IF(A189="","",YEAR(A189)&amp;"-"&amp;TEXT(MONTH(A189),"00"))</f>
        <v/>
      </c>
      <c r="D189" s="26"/>
      <c r="E189" s="26"/>
      <c r="F189" s="26"/>
      <c r="G189" s="29"/>
      <c r="H189" s="26"/>
      <c r="I189" s="32"/>
      <c r="J189" s="26"/>
      <c r="K189" s="26"/>
    </row>
    <row r="190" customFormat="false" ht="15" hidden="false" customHeight="false" outlineLevel="0" collapsed="false">
      <c r="A190" s="32"/>
      <c r="B190" s="17" t="str">
        <f aca="false">IF(A190="","",IFERROR(INDEX(Calendario!$A$4:$A$107,MATCH(A190,Calendario!$B$4:$B$107,1)),""))</f>
        <v/>
      </c>
      <c r="C190" s="17" t="str">
        <f aca="false">IF(A190="","",YEAR(A190)&amp;"-"&amp;TEXT(MONTH(A190),"00"))</f>
        <v/>
      </c>
      <c r="D190" s="26"/>
      <c r="E190" s="26"/>
      <c r="F190" s="26"/>
      <c r="G190" s="29"/>
      <c r="H190" s="26"/>
      <c r="I190" s="32"/>
      <c r="J190" s="26"/>
      <c r="K190" s="26"/>
    </row>
    <row r="191" customFormat="false" ht="15" hidden="false" customHeight="false" outlineLevel="0" collapsed="false">
      <c r="A191" s="32"/>
      <c r="B191" s="17" t="str">
        <f aca="false">IF(A191="","",IFERROR(INDEX(Calendario!$A$4:$A$107,MATCH(A191,Calendario!$B$4:$B$107,1)),""))</f>
        <v/>
      </c>
      <c r="C191" s="17" t="str">
        <f aca="false">IF(A191="","",YEAR(A191)&amp;"-"&amp;TEXT(MONTH(A191),"00"))</f>
        <v/>
      </c>
      <c r="D191" s="26"/>
      <c r="E191" s="26"/>
      <c r="F191" s="26"/>
      <c r="G191" s="29"/>
      <c r="H191" s="26"/>
      <c r="I191" s="32"/>
      <c r="J191" s="26"/>
      <c r="K191" s="26"/>
    </row>
    <row r="192" customFormat="false" ht="15" hidden="false" customHeight="false" outlineLevel="0" collapsed="false">
      <c r="A192" s="32"/>
      <c r="B192" s="17" t="str">
        <f aca="false">IF(A192="","",IFERROR(INDEX(Calendario!$A$4:$A$107,MATCH(A192,Calendario!$B$4:$B$107,1)),""))</f>
        <v/>
      </c>
      <c r="C192" s="17" t="str">
        <f aca="false">IF(A192="","",YEAR(A192)&amp;"-"&amp;TEXT(MONTH(A192),"00"))</f>
        <v/>
      </c>
      <c r="D192" s="26"/>
      <c r="E192" s="26"/>
      <c r="F192" s="26"/>
      <c r="G192" s="29"/>
      <c r="H192" s="26"/>
      <c r="I192" s="32"/>
      <c r="J192" s="26"/>
      <c r="K192" s="26"/>
    </row>
    <row r="193" customFormat="false" ht="15" hidden="false" customHeight="false" outlineLevel="0" collapsed="false">
      <c r="A193" s="32"/>
      <c r="B193" s="17" t="str">
        <f aca="false">IF(A193="","",IFERROR(INDEX(Calendario!$A$4:$A$107,MATCH(A193,Calendario!$B$4:$B$107,1)),""))</f>
        <v/>
      </c>
      <c r="C193" s="17" t="str">
        <f aca="false">IF(A193="","",YEAR(A193)&amp;"-"&amp;TEXT(MONTH(A193),"00"))</f>
        <v/>
      </c>
      <c r="D193" s="26"/>
      <c r="E193" s="26"/>
      <c r="F193" s="26"/>
      <c r="G193" s="29"/>
      <c r="H193" s="26"/>
      <c r="I193" s="32"/>
      <c r="J193" s="26"/>
      <c r="K193" s="26"/>
    </row>
    <row r="194" customFormat="false" ht="15" hidden="false" customHeight="false" outlineLevel="0" collapsed="false">
      <c r="A194" s="32"/>
      <c r="B194" s="17" t="str">
        <f aca="false">IF(A194="","",IFERROR(INDEX(Calendario!$A$4:$A$107,MATCH(A194,Calendario!$B$4:$B$107,1)),""))</f>
        <v/>
      </c>
      <c r="C194" s="17" t="str">
        <f aca="false">IF(A194="","",YEAR(A194)&amp;"-"&amp;TEXT(MONTH(A194),"00"))</f>
        <v/>
      </c>
      <c r="D194" s="26"/>
      <c r="E194" s="26"/>
      <c r="F194" s="26"/>
      <c r="G194" s="29"/>
      <c r="H194" s="26"/>
      <c r="I194" s="32"/>
      <c r="J194" s="26"/>
      <c r="K194" s="26"/>
    </row>
    <row r="195" customFormat="false" ht="15" hidden="false" customHeight="false" outlineLevel="0" collapsed="false">
      <c r="A195" s="32"/>
      <c r="B195" s="17" t="str">
        <f aca="false">IF(A195="","",IFERROR(INDEX(Calendario!$A$4:$A$107,MATCH(A195,Calendario!$B$4:$B$107,1)),""))</f>
        <v/>
      </c>
      <c r="C195" s="17" t="str">
        <f aca="false">IF(A195="","",YEAR(A195)&amp;"-"&amp;TEXT(MONTH(A195),"00"))</f>
        <v/>
      </c>
      <c r="D195" s="26"/>
      <c r="E195" s="26"/>
      <c r="F195" s="26"/>
      <c r="G195" s="29"/>
      <c r="H195" s="26"/>
      <c r="I195" s="32"/>
      <c r="J195" s="26"/>
      <c r="K195" s="26"/>
    </row>
    <row r="196" customFormat="false" ht="15" hidden="false" customHeight="false" outlineLevel="0" collapsed="false">
      <c r="A196" s="32"/>
      <c r="B196" s="17" t="str">
        <f aca="false">IF(A196="","",IFERROR(INDEX(Calendario!$A$4:$A$107,MATCH(A196,Calendario!$B$4:$B$107,1)),""))</f>
        <v/>
      </c>
      <c r="C196" s="17" t="str">
        <f aca="false">IF(A196="","",YEAR(A196)&amp;"-"&amp;TEXT(MONTH(A196),"00"))</f>
        <v/>
      </c>
      <c r="D196" s="26"/>
      <c r="E196" s="26"/>
      <c r="F196" s="26"/>
      <c r="G196" s="29"/>
      <c r="H196" s="26"/>
      <c r="I196" s="32"/>
      <c r="J196" s="26"/>
      <c r="K196" s="26"/>
    </row>
    <row r="197" customFormat="false" ht="15" hidden="false" customHeight="false" outlineLevel="0" collapsed="false">
      <c r="A197" s="32"/>
      <c r="B197" s="17" t="str">
        <f aca="false">IF(A197="","",IFERROR(INDEX(Calendario!$A$4:$A$107,MATCH(A197,Calendario!$B$4:$B$107,1)),""))</f>
        <v/>
      </c>
      <c r="C197" s="17" t="str">
        <f aca="false">IF(A197="","",YEAR(A197)&amp;"-"&amp;TEXT(MONTH(A197),"00"))</f>
        <v/>
      </c>
      <c r="D197" s="26"/>
      <c r="E197" s="26"/>
      <c r="F197" s="26"/>
      <c r="G197" s="29"/>
      <c r="H197" s="26"/>
      <c r="I197" s="32"/>
      <c r="J197" s="26"/>
      <c r="K197" s="26"/>
    </row>
    <row r="198" customFormat="false" ht="15" hidden="false" customHeight="false" outlineLevel="0" collapsed="false">
      <c r="A198" s="32"/>
      <c r="B198" s="17" t="str">
        <f aca="false">IF(A198="","",IFERROR(INDEX(Calendario!$A$4:$A$107,MATCH(A198,Calendario!$B$4:$B$107,1)),""))</f>
        <v/>
      </c>
      <c r="C198" s="17" t="str">
        <f aca="false">IF(A198="","",YEAR(A198)&amp;"-"&amp;TEXT(MONTH(A198),"00"))</f>
        <v/>
      </c>
      <c r="D198" s="26"/>
      <c r="E198" s="26"/>
      <c r="F198" s="26"/>
      <c r="G198" s="29"/>
      <c r="H198" s="26"/>
      <c r="I198" s="32"/>
      <c r="J198" s="26"/>
      <c r="K198" s="26"/>
    </row>
    <row r="199" customFormat="false" ht="15" hidden="false" customHeight="false" outlineLevel="0" collapsed="false">
      <c r="A199" s="32"/>
      <c r="B199" s="17" t="str">
        <f aca="false">IF(A199="","",IFERROR(INDEX(Calendario!$A$4:$A$107,MATCH(A199,Calendario!$B$4:$B$107,1)),""))</f>
        <v/>
      </c>
      <c r="C199" s="17" t="str">
        <f aca="false">IF(A199="","",YEAR(A199)&amp;"-"&amp;TEXT(MONTH(A199),"00"))</f>
        <v/>
      </c>
      <c r="D199" s="26"/>
      <c r="E199" s="26"/>
      <c r="F199" s="26"/>
      <c r="G199" s="29"/>
      <c r="H199" s="26"/>
      <c r="I199" s="32"/>
      <c r="J199" s="26"/>
      <c r="K199" s="26"/>
    </row>
    <row r="200" customFormat="false" ht="15" hidden="false" customHeight="false" outlineLevel="0" collapsed="false">
      <c r="A200" s="32"/>
      <c r="B200" s="17" t="str">
        <f aca="false">IF(A200="","",IFERROR(INDEX(Calendario!$A$4:$A$107,MATCH(A200,Calendario!$B$4:$B$107,1)),""))</f>
        <v/>
      </c>
      <c r="C200" s="17" t="str">
        <f aca="false">IF(A200="","",YEAR(A200)&amp;"-"&amp;TEXT(MONTH(A200),"00"))</f>
        <v/>
      </c>
      <c r="D200" s="26"/>
      <c r="E200" s="26"/>
      <c r="F200" s="26"/>
      <c r="G200" s="29"/>
      <c r="H200" s="26"/>
      <c r="I200" s="32"/>
      <c r="J200" s="26"/>
      <c r="K200" s="26"/>
    </row>
    <row r="201" customFormat="false" ht="15" hidden="false" customHeight="false" outlineLevel="0" collapsed="false">
      <c r="A201" s="32"/>
      <c r="B201" s="17" t="str">
        <f aca="false">IF(A201="","",IFERROR(INDEX(Calendario!$A$4:$A$107,MATCH(A201,Calendario!$B$4:$B$107,1)),""))</f>
        <v/>
      </c>
      <c r="C201" s="17" t="str">
        <f aca="false">IF(A201="","",YEAR(A201)&amp;"-"&amp;TEXT(MONTH(A201),"00"))</f>
        <v/>
      </c>
      <c r="D201" s="26"/>
      <c r="E201" s="26"/>
      <c r="F201" s="26"/>
      <c r="G201" s="29"/>
      <c r="H201" s="26"/>
      <c r="I201" s="32"/>
      <c r="J201" s="26"/>
      <c r="K201" s="26"/>
    </row>
    <row r="202" customFormat="false" ht="15" hidden="false" customHeight="false" outlineLevel="0" collapsed="false">
      <c r="A202" s="32"/>
      <c r="B202" s="17" t="str">
        <f aca="false">IF(A202="","",IFERROR(INDEX(Calendario!$A$4:$A$107,MATCH(A202,Calendario!$B$4:$B$107,1)),""))</f>
        <v/>
      </c>
      <c r="C202" s="17" t="str">
        <f aca="false">IF(A202="","",YEAR(A202)&amp;"-"&amp;TEXT(MONTH(A202),"00"))</f>
        <v/>
      </c>
      <c r="D202" s="26"/>
      <c r="E202" s="26"/>
      <c r="F202" s="26"/>
      <c r="G202" s="29"/>
      <c r="H202" s="26"/>
      <c r="I202" s="32"/>
      <c r="J202" s="26"/>
      <c r="K202" s="26"/>
    </row>
    <row r="203" customFormat="false" ht="15" hidden="false" customHeight="false" outlineLevel="0" collapsed="false">
      <c r="A203" s="32"/>
      <c r="B203" s="17" t="str">
        <f aca="false">IF(A203="","",IFERROR(INDEX(Calendario!$A$4:$A$107,MATCH(A203,Calendario!$B$4:$B$107,1)),""))</f>
        <v/>
      </c>
      <c r="C203" s="17" t="str">
        <f aca="false">IF(A203="","",YEAR(A203)&amp;"-"&amp;TEXT(MONTH(A203),"00"))</f>
        <v/>
      </c>
      <c r="D203" s="26"/>
      <c r="E203" s="26"/>
      <c r="F203" s="26"/>
      <c r="G203" s="29"/>
      <c r="H203" s="26"/>
      <c r="I203" s="32"/>
      <c r="J203" s="26"/>
      <c r="K203" s="26"/>
    </row>
    <row r="204" customFormat="false" ht="15" hidden="false" customHeight="false" outlineLevel="0" collapsed="false">
      <c r="A204" s="32"/>
      <c r="B204" s="17" t="str">
        <f aca="false">IF(A204="","",IFERROR(INDEX(Calendario!$A$4:$A$107,MATCH(A204,Calendario!$B$4:$B$107,1)),""))</f>
        <v/>
      </c>
      <c r="C204" s="17" t="str">
        <f aca="false">IF(A204="","",YEAR(A204)&amp;"-"&amp;TEXT(MONTH(A204),"00"))</f>
        <v/>
      </c>
      <c r="D204" s="26"/>
      <c r="E204" s="26"/>
      <c r="F204" s="26"/>
      <c r="G204" s="29"/>
      <c r="H204" s="26"/>
      <c r="I204" s="32"/>
      <c r="J204" s="26"/>
      <c r="K204" s="26"/>
    </row>
    <row r="205" customFormat="false" ht="15" hidden="false" customHeight="false" outlineLevel="0" collapsed="false">
      <c r="A205" s="32"/>
      <c r="B205" s="17" t="str">
        <f aca="false">IF(A205="","",IFERROR(INDEX(Calendario!$A$4:$A$107,MATCH(A205,Calendario!$B$4:$B$107,1)),""))</f>
        <v/>
      </c>
      <c r="C205" s="17" t="str">
        <f aca="false">IF(A205="","",YEAR(A205)&amp;"-"&amp;TEXT(MONTH(A205),"00"))</f>
        <v/>
      </c>
      <c r="D205" s="26"/>
      <c r="E205" s="26"/>
      <c r="F205" s="26"/>
      <c r="G205" s="29"/>
      <c r="H205" s="26"/>
      <c r="I205" s="32"/>
      <c r="J205" s="26"/>
      <c r="K205" s="26"/>
    </row>
    <row r="206" customFormat="false" ht="15" hidden="false" customHeight="false" outlineLevel="0" collapsed="false">
      <c r="A206" s="32"/>
      <c r="B206" s="17" t="str">
        <f aca="false">IF(A206="","",IFERROR(INDEX(Calendario!$A$4:$A$107,MATCH(A206,Calendario!$B$4:$B$107,1)),""))</f>
        <v/>
      </c>
      <c r="C206" s="17" t="str">
        <f aca="false">IF(A206="","",YEAR(A206)&amp;"-"&amp;TEXT(MONTH(A206),"00"))</f>
        <v/>
      </c>
      <c r="D206" s="26"/>
      <c r="E206" s="26"/>
      <c r="F206" s="26"/>
      <c r="G206" s="29"/>
      <c r="H206" s="26"/>
      <c r="I206" s="32"/>
      <c r="J206" s="26"/>
      <c r="K206" s="26"/>
    </row>
    <row r="207" customFormat="false" ht="15" hidden="false" customHeight="false" outlineLevel="0" collapsed="false">
      <c r="A207" s="32"/>
      <c r="B207" s="17" t="str">
        <f aca="false">IF(A207="","",IFERROR(INDEX(Calendario!$A$4:$A$107,MATCH(A207,Calendario!$B$4:$B$107,1)),""))</f>
        <v/>
      </c>
      <c r="C207" s="17" t="str">
        <f aca="false">IF(A207="","",YEAR(A207)&amp;"-"&amp;TEXT(MONTH(A207),"00"))</f>
        <v/>
      </c>
      <c r="D207" s="26"/>
      <c r="E207" s="26"/>
      <c r="F207" s="26"/>
      <c r="G207" s="29"/>
      <c r="H207" s="26"/>
      <c r="I207" s="32"/>
      <c r="J207" s="26"/>
      <c r="K207" s="26"/>
    </row>
    <row r="208" customFormat="false" ht="15" hidden="false" customHeight="false" outlineLevel="0" collapsed="false">
      <c r="A208" s="32"/>
      <c r="B208" s="17" t="str">
        <f aca="false">IF(A208="","",IFERROR(INDEX(Calendario!$A$4:$A$107,MATCH(A208,Calendario!$B$4:$B$107,1)),""))</f>
        <v/>
      </c>
      <c r="C208" s="17" t="str">
        <f aca="false">IF(A208="","",YEAR(A208)&amp;"-"&amp;TEXT(MONTH(A208),"00"))</f>
        <v/>
      </c>
      <c r="D208" s="26"/>
      <c r="E208" s="26"/>
      <c r="F208" s="26"/>
      <c r="G208" s="29"/>
      <c r="H208" s="26"/>
      <c r="I208" s="32"/>
      <c r="J208" s="26"/>
      <c r="K208" s="26"/>
    </row>
    <row r="209" customFormat="false" ht="15" hidden="false" customHeight="false" outlineLevel="0" collapsed="false">
      <c r="A209" s="32"/>
      <c r="B209" s="17" t="str">
        <f aca="false">IF(A209="","",IFERROR(INDEX(Calendario!$A$4:$A$107,MATCH(A209,Calendario!$B$4:$B$107,1)),""))</f>
        <v/>
      </c>
      <c r="C209" s="17" t="str">
        <f aca="false">IF(A209="","",YEAR(A209)&amp;"-"&amp;TEXT(MONTH(A209),"00"))</f>
        <v/>
      </c>
      <c r="D209" s="26"/>
      <c r="E209" s="26"/>
      <c r="F209" s="26"/>
      <c r="G209" s="29"/>
      <c r="H209" s="26"/>
      <c r="I209" s="32"/>
      <c r="J209" s="26"/>
      <c r="K209" s="26"/>
    </row>
    <row r="210" customFormat="false" ht="15" hidden="false" customHeight="false" outlineLevel="0" collapsed="false">
      <c r="A210" s="32"/>
      <c r="B210" s="17" t="str">
        <f aca="false">IF(A210="","",IFERROR(INDEX(Calendario!$A$4:$A$107,MATCH(A210,Calendario!$B$4:$B$107,1)),""))</f>
        <v/>
      </c>
      <c r="C210" s="17" t="str">
        <f aca="false">IF(A210="","",YEAR(A210)&amp;"-"&amp;TEXT(MONTH(A210),"00"))</f>
        <v/>
      </c>
      <c r="D210" s="26"/>
      <c r="E210" s="26"/>
      <c r="F210" s="26"/>
      <c r="G210" s="29"/>
      <c r="H210" s="26"/>
      <c r="I210" s="32"/>
      <c r="J210" s="26"/>
      <c r="K210" s="26"/>
    </row>
    <row r="211" customFormat="false" ht="15" hidden="false" customHeight="false" outlineLevel="0" collapsed="false">
      <c r="A211" s="32"/>
      <c r="B211" s="17" t="str">
        <f aca="false">IF(A211="","",IFERROR(INDEX(Calendario!$A$4:$A$107,MATCH(A211,Calendario!$B$4:$B$107,1)),""))</f>
        <v/>
      </c>
      <c r="C211" s="17" t="str">
        <f aca="false">IF(A211="","",YEAR(A211)&amp;"-"&amp;TEXT(MONTH(A211),"00"))</f>
        <v/>
      </c>
      <c r="D211" s="26"/>
      <c r="E211" s="26"/>
      <c r="F211" s="26"/>
      <c r="G211" s="29"/>
      <c r="H211" s="26"/>
      <c r="I211" s="32"/>
      <c r="J211" s="26"/>
      <c r="K211" s="26"/>
    </row>
    <row r="212" customFormat="false" ht="15" hidden="false" customHeight="false" outlineLevel="0" collapsed="false">
      <c r="A212" s="32"/>
      <c r="B212" s="17" t="str">
        <f aca="false">IF(A212="","",IFERROR(INDEX(Calendario!$A$4:$A$107,MATCH(A212,Calendario!$B$4:$B$107,1)),""))</f>
        <v/>
      </c>
      <c r="C212" s="17" t="str">
        <f aca="false">IF(A212="","",YEAR(A212)&amp;"-"&amp;TEXT(MONTH(A212),"00"))</f>
        <v/>
      </c>
      <c r="D212" s="26"/>
      <c r="E212" s="26"/>
      <c r="F212" s="26"/>
      <c r="G212" s="29"/>
      <c r="H212" s="26"/>
      <c r="I212" s="32"/>
      <c r="J212" s="26"/>
      <c r="K212" s="26"/>
    </row>
    <row r="213" customFormat="false" ht="15" hidden="false" customHeight="false" outlineLevel="0" collapsed="false">
      <c r="A213" s="32"/>
      <c r="B213" s="17" t="str">
        <f aca="false">IF(A213="","",IFERROR(INDEX(Calendario!$A$4:$A$107,MATCH(A213,Calendario!$B$4:$B$107,1)),""))</f>
        <v/>
      </c>
      <c r="C213" s="17" t="str">
        <f aca="false">IF(A213="","",YEAR(A213)&amp;"-"&amp;TEXT(MONTH(A213),"00"))</f>
        <v/>
      </c>
      <c r="D213" s="26"/>
      <c r="E213" s="26"/>
      <c r="F213" s="26"/>
      <c r="G213" s="29"/>
      <c r="H213" s="26"/>
      <c r="I213" s="32"/>
      <c r="J213" s="26"/>
      <c r="K213" s="26"/>
    </row>
    <row r="214" customFormat="false" ht="15" hidden="false" customHeight="false" outlineLevel="0" collapsed="false">
      <c r="A214" s="32"/>
      <c r="B214" s="17" t="str">
        <f aca="false">IF(A214="","",IFERROR(INDEX(Calendario!$A$4:$A$107,MATCH(A214,Calendario!$B$4:$B$107,1)),""))</f>
        <v/>
      </c>
      <c r="C214" s="17" t="str">
        <f aca="false">IF(A214="","",YEAR(A214)&amp;"-"&amp;TEXT(MONTH(A214),"00"))</f>
        <v/>
      </c>
      <c r="D214" s="26"/>
      <c r="E214" s="26"/>
      <c r="F214" s="26"/>
      <c r="G214" s="29"/>
      <c r="H214" s="26"/>
      <c r="I214" s="32"/>
      <c r="J214" s="26"/>
      <c r="K214" s="26"/>
    </row>
    <row r="215" customFormat="false" ht="15" hidden="false" customHeight="false" outlineLevel="0" collapsed="false">
      <c r="A215" s="32"/>
      <c r="B215" s="17" t="str">
        <f aca="false">IF(A215="","",IFERROR(INDEX(Calendario!$A$4:$A$107,MATCH(A215,Calendario!$B$4:$B$107,1)),""))</f>
        <v/>
      </c>
      <c r="C215" s="17" t="str">
        <f aca="false">IF(A215="","",YEAR(A215)&amp;"-"&amp;TEXT(MONTH(A215),"00"))</f>
        <v/>
      </c>
      <c r="D215" s="26"/>
      <c r="E215" s="26"/>
      <c r="F215" s="26"/>
      <c r="G215" s="29"/>
      <c r="H215" s="26"/>
      <c r="I215" s="32"/>
      <c r="J215" s="26"/>
      <c r="K215" s="26"/>
    </row>
    <row r="216" customFormat="false" ht="15" hidden="false" customHeight="false" outlineLevel="0" collapsed="false">
      <c r="A216" s="32"/>
      <c r="B216" s="17" t="str">
        <f aca="false">IF(A216="","",IFERROR(INDEX(Calendario!$A$4:$A$107,MATCH(A216,Calendario!$B$4:$B$107,1)),""))</f>
        <v/>
      </c>
      <c r="C216" s="17" t="str">
        <f aca="false">IF(A216="","",YEAR(A216)&amp;"-"&amp;TEXT(MONTH(A216),"00"))</f>
        <v/>
      </c>
      <c r="D216" s="26"/>
      <c r="E216" s="26"/>
      <c r="F216" s="26"/>
      <c r="G216" s="29"/>
      <c r="H216" s="26"/>
      <c r="I216" s="32"/>
      <c r="J216" s="26"/>
      <c r="K216" s="26"/>
    </row>
    <row r="217" customFormat="false" ht="15" hidden="false" customHeight="false" outlineLevel="0" collapsed="false">
      <c r="A217" s="32"/>
      <c r="B217" s="17" t="str">
        <f aca="false">IF(A217="","",IFERROR(INDEX(Calendario!$A$4:$A$107,MATCH(A217,Calendario!$B$4:$B$107,1)),""))</f>
        <v/>
      </c>
      <c r="C217" s="17" t="str">
        <f aca="false">IF(A217="","",YEAR(A217)&amp;"-"&amp;TEXT(MONTH(A217),"00"))</f>
        <v/>
      </c>
      <c r="D217" s="26"/>
      <c r="E217" s="26"/>
      <c r="F217" s="26"/>
      <c r="G217" s="29"/>
      <c r="H217" s="26"/>
      <c r="I217" s="32"/>
      <c r="J217" s="26"/>
      <c r="K217" s="26"/>
    </row>
    <row r="218" customFormat="false" ht="15" hidden="false" customHeight="false" outlineLevel="0" collapsed="false">
      <c r="A218" s="32"/>
      <c r="B218" s="17" t="str">
        <f aca="false">IF(A218="","",IFERROR(INDEX(Calendario!$A$4:$A$107,MATCH(A218,Calendario!$B$4:$B$107,1)),""))</f>
        <v/>
      </c>
      <c r="C218" s="17" t="str">
        <f aca="false">IF(A218="","",YEAR(A218)&amp;"-"&amp;TEXT(MONTH(A218),"00"))</f>
        <v/>
      </c>
      <c r="D218" s="26"/>
      <c r="E218" s="26"/>
      <c r="F218" s="26"/>
      <c r="G218" s="29"/>
      <c r="H218" s="26"/>
      <c r="I218" s="32"/>
      <c r="J218" s="26"/>
      <c r="K218" s="26"/>
    </row>
    <row r="219" customFormat="false" ht="15" hidden="false" customHeight="false" outlineLevel="0" collapsed="false">
      <c r="A219" s="32"/>
      <c r="B219" s="17" t="str">
        <f aca="false">IF(A219="","",IFERROR(INDEX(Calendario!$A$4:$A$107,MATCH(A219,Calendario!$B$4:$B$107,1)),""))</f>
        <v/>
      </c>
      <c r="C219" s="17" t="str">
        <f aca="false">IF(A219="","",YEAR(A219)&amp;"-"&amp;TEXT(MONTH(A219),"00"))</f>
        <v/>
      </c>
      <c r="D219" s="26"/>
      <c r="E219" s="26"/>
      <c r="F219" s="26"/>
      <c r="G219" s="29"/>
      <c r="H219" s="26"/>
      <c r="I219" s="32"/>
      <c r="J219" s="26"/>
      <c r="K219" s="26"/>
    </row>
    <row r="220" customFormat="false" ht="15" hidden="false" customHeight="false" outlineLevel="0" collapsed="false">
      <c r="A220" s="32"/>
      <c r="B220" s="17" t="str">
        <f aca="false">IF(A220="","",IFERROR(INDEX(Calendario!$A$4:$A$107,MATCH(A220,Calendario!$B$4:$B$107,1)),""))</f>
        <v/>
      </c>
      <c r="C220" s="17" t="str">
        <f aca="false">IF(A220="","",YEAR(A220)&amp;"-"&amp;TEXT(MONTH(A220),"00"))</f>
        <v/>
      </c>
      <c r="D220" s="26"/>
      <c r="E220" s="26"/>
      <c r="F220" s="26"/>
      <c r="G220" s="29"/>
      <c r="H220" s="26"/>
      <c r="I220" s="32"/>
      <c r="J220" s="26"/>
      <c r="K220" s="26"/>
    </row>
    <row r="221" customFormat="false" ht="15" hidden="false" customHeight="false" outlineLevel="0" collapsed="false">
      <c r="A221" s="32"/>
      <c r="B221" s="17" t="str">
        <f aca="false">IF(A221="","",IFERROR(INDEX(Calendario!$A$4:$A$107,MATCH(A221,Calendario!$B$4:$B$107,1)),""))</f>
        <v/>
      </c>
      <c r="C221" s="17" t="str">
        <f aca="false">IF(A221="","",YEAR(A221)&amp;"-"&amp;TEXT(MONTH(A221),"00"))</f>
        <v/>
      </c>
      <c r="D221" s="26"/>
      <c r="E221" s="26"/>
      <c r="F221" s="26"/>
      <c r="G221" s="29"/>
      <c r="H221" s="26"/>
      <c r="I221" s="32"/>
      <c r="J221" s="26"/>
      <c r="K221" s="26"/>
    </row>
    <row r="222" customFormat="false" ht="15" hidden="false" customHeight="false" outlineLevel="0" collapsed="false">
      <c r="A222" s="32"/>
      <c r="B222" s="17" t="str">
        <f aca="false">IF(A222="","",IFERROR(INDEX(Calendario!$A$4:$A$107,MATCH(A222,Calendario!$B$4:$B$107,1)),""))</f>
        <v/>
      </c>
      <c r="C222" s="17" t="str">
        <f aca="false">IF(A222="","",YEAR(A222)&amp;"-"&amp;TEXT(MONTH(A222),"00"))</f>
        <v/>
      </c>
      <c r="D222" s="26"/>
      <c r="E222" s="26"/>
      <c r="F222" s="26"/>
      <c r="G222" s="29"/>
      <c r="H222" s="26"/>
      <c r="I222" s="32"/>
      <c r="J222" s="26"/>
      <c r="K222" s="26"/>
    </row>
    <row r="223" customFormat="false" ht="15" hidden="false" customHeight="false" outlineLevel="0" collapsed="false">
      <c r="A223" s="32"/>
      <c r="B223" s="17" t="str">
        <f aca="false">IF(A223="","",IFERROR(INDEX(Calendario!$A$4:$A$107,MATCH(A223,Calendario!$B$4:$B$107,1)),""))</f>
        <v/>
      </c>
      <c r="C223" s="17" t="str">
        <f aca="false">IF(A223="","",YEAR(A223)&amp;"-"&amp;TEXT(MONTH(A223),"00"))</f>
        <v/>
      </c>
      <c r="D223" s="26"/>
      <c r="E223" s="26"/>
      <c r="F223" s="26"/>
      <c r="G223" s="29"/>
      <c r="H223" s="26"/>
      <c r="I223" s="32"/>
      <c r="J223" s="26"/>
      <c r="K223" s="26"/>
    </row>
    <row r="224" customFormat="false" ht="15" hidden="false" customHeight="false" outlineLevel="0" collapsed="false">
      <c r="A224" s="32"/>
      <c r="B224" s="17" t="str">
        <f aca="false">IF(A224="","",IFERROR(INDEX(Calendario!$A$4:$A$107,MATCH(A224,Calendario!$B$4:$B$107,1)),""))</f>
        <v/>
      </c>
      <c r="C224" s="17" t="str">
        <f aca="false">IF(A224="","",YEAR(A224)&amp;"-"&amp;TEXT(MONTH(A224),"00"))</f>
        <v/>
      </c>
      <c r="D224" s="26"/>
      <c r="E224" s="26"/>
      <c r="F224" s="26"/>
      <c r="G224" s="29"/>
      <c r="H224" s="26"/>
      <c r="I224" s="32"/>
      <c r="J224" s="26"/>
      <c r="K224" s="26"/>
    </row>
    <row r="225" customFormat="false" ht="15" hidden="false" customHeight="false" outlineLevel="0" collapsed="false">
      <c r="A225" s="32"/>
      <c r="B225" s="17" t="str">
        <f aca="false">IF(A225="","",IFERROR(INDEX(Calendario!$A$4:$A$107,MATCH(A225,Calendario!$B$4:$B$107,1)),""))</f>
        <v/>
      </c>
      <c r="C225" s="17" t="str">
        <f aca="false">IF(A225="","",YEAR(A225)&amp;"-"&amp;TEXT(MONTH(A225),"00"))</f>
        <v/>
      </c>
      <c r="D225" s="26"/>
      <c r="E225" s="26"/>
      <c r="F225" s="26"/>
      <c r="G225" s="29"/>
      <c r="H225" s="26"/>
      <c r="I225" s="32"/>
      <c r="J225" s="26"/>
      <c r="K225" s="26"/>
    </row>
    <row r="226" customFormat="false" ht="15" hidden="false" customHeight="false" outlineLevel="0" collapsed="false">
      <c r="A226" s="32"/>
      <c r="B226" s="17" t="str">
        <f aca="false">IF(A226="","",IFERROR(INDEX(Calendario!$A$4:$A$107,MATCH(A226,Calendario!$B$4:$B$107,1)),""))</f>
        <v/>
      </c>
      <c r="C226" s="17" t="str">
        <f aca="false">IF(A226="","",YEAR(A226)&amp;"-"&amp;TEXT(MONTH(A226),"00"))</f>
        <v/>
      </c>
      <c r="D226" s="26"/>
      <c r="E226" s="26"/>
      <c r="F226" s="26"/>
      <c r="G226" s="29"/>
      <c r="H226" s="26"/>
      <c r="I226" s="32"/>
      <c r="J226" s="26"/>
      <c r="K226" s="26"/>
    </row>
    <row r="227" customFormat="false" ht="15" hidden="false" customHeight="false" outlineLevel="0" collapsed="false">
      <c r="A227" s="32"/>
      <c r="B227" s="17" t="str">
        <f aca="false">IF(A227="","",IFERROR(INDEX(Calendario!$A$4:$A$107,MATCH(A227,Calendario!$B$4:$B$107,1)),""))</f>
        <v/>
      </c>
      <c r="C227" s="17" t="str">
        <f aca="false">IF(A227="","",YEAR(A227)&amp;"-"&amp;TEXT(MONTH(A227),"00"))</f>
        <v/>
      </c>
      <c r="D227" s="26"/>
      <c r="E227" s="26"/>
      <c r="F227" s="26"/>
      <c r="G227" s="29"/>
      <c r="H227" s="26"/>
      <c r="I227" s="32"/>
      <c r="J227" s="26"/>
      <c r="K227" s="26"/>
    </row>
    <row r="228" customFormat="false" ht="15" hidden="false" customHeight="false" outlineLevel="0" collapsed="false">
      <c r="A228" s="32"/>
      <c r="B228" s="17" t="str">
        <f aca="false">IF(A228="","",IFERROR(INDEX(Calendario!$A$4:$A$107,MATCH(A228,Calendario!$B$4:$B$107,1)),""))</f>
        <v/>
      </c>
      <c r="C228" s="17" t="str">
        <f aca="false">IF(A228="","",YEAR(A228)&amp;"-"&amp;TEXT(MONTH(A228),"00"))</f>
        <v/>
      </c>
      <c r="D228" s="26"/>
      <c r="E228" s="26"/>
      <c r="F228" s="26"/>
      <c r="G228" s="29"/>
      <c r="H228" s="26"/>
      <c r="I228" s="32"/>
      <c r="J228" s="26"/>
      <c r="K228" s="26"/>
    </row>
    <row r="229" customFormat="false" ht="15" hidden="false" customHeight="false" outlineLevel="0" collapsed="false">
      <c r="A229" s="32"/>
      <c r="B229" s="17" t="str">
        <f aca="false">IF(A229="","",IFERROR(INDEX(Calendario!$A$4:$A$107,MATCH(A229,Calendario!$B$4:$B$107,1)),""))</f>
        <v/>
      </c>
      <c r="C229" s="17" t="str">
        <f aca="false">IF(A229="","",YEAR(A229)&amp;"-"&amp;TEXT(MONTH(A229),"00"))</f>
        <v/>
      </c>
      <c r="D229" s="26"/>
      <c r="E229" s="26"/>
      <c r="F229" s="26"/>
      <c r="G229" s="29"/>
      <c r="H229" s="26"/>
      <c r="I229" s="32"/>
      <c r="J229" s="26"/>
      <c r="K229" s="26"/>
    </row>
    <row r="230" customFormat="false" ht="15" hidden="false" customHeight="false" outlineLevel="0" collapsed="false">
      <c r="A230" s="32"/>
      <c r="B230" s="17" t="str">
        <f aca="false">IF(A230="","",IFERROR(INDEX(Calendario!$A$4:$A$107,MATCH(A230,Calendario!$B$4:$B$107,1)),""))</f>
        <v/>
      </c>
      <c r="C230" s="17" t="str">
        <f aca="false">IF(A230="","",YEAR(A230)&amp;"-"&amp;TEXT(MONTH(A230),"00"))</f>
        <v/>
      </c>
      <c r="D230" s="26"/>
      <c r="E230" s="26"/>
      <c r="F230" s="26"/>
      <c r="G230" s="29"/>
      <c r="H230" s="26"/>
      <c r="I230" s="32"/>
      <c r="J230" s="26"/>
      <c r="K230" s="26"/>
    </row>
    <row r="231" customFormat="false" ht="15" hidden="false" customHeight="false" outlineLevel="0" collapsed="false">
      <c r="A231" s="32"/>
      <c r="B231" s="17" t="str">
        <f aca="false">IF(A231="","",IFERROR(INDEX(Calendario!$A$4:$A$107,MATCH(A231,Calendario!$B$4:$B$107,1)),""))</f>
        <v/>
      </c>
      <c r="C231" s="17" t="str">
        <f aca="false">IF(A231="","",YEAR(A231)&amp;"-"&amp;TEXT(MONTH(A231),"00"))</f>
        <v/>
      </c>
      <c r="D231" s="26"/>
      <c r="E231" s="26"/>
      <c r="F231" s="26"/>
      <c r="G231" s="29"/>
      <c r="H231" s="26"/>
      <c r="I231" s="32"/>
      <c r="J231" s="26"/>
      <c r="K231" s="26"/>
    </row>
    <row r="232" customFormat="false" ht="15" hidden="false" customHeight="false" outlineLevel="0" collapsed="false">
      <c r="A232" s="32"/>
      <c r="B232" s="17" t="str">
        <f aca="false">IF(A232="","",IFERROR(INDEX(Calendario!$A$4:$A$107,MATCH(A232,Calendario!$B$4:$B$107,1)),""))</f>
        <v/>
      </c>
      <c r="C232" s="17" t="str">
        <f aca="false">IF(A232="","",YEAR(A232)&amp;"-"&amp;TEXT(MONTH(A232),"00"))</f>
        <v/>
      </c>
      <c r="D232" s="26"/>
      <c r="E232" s="26"/>
      <c r="F232" s="26"/>
      <c r="G232" s="29"/>
      <c r="H232" s="26"/>
      <c r="I232" s="32"/>
      <c r="J232" s="26"/>
      <c r="K232" s="26"/>
    </row>
    <row r="233" customFormat="false" ht="15" hidden="false" customHeight="false" outlineLevel="0" collapsed="false">
      <c r="A233" s="32"/>
      <c r="B233" s="17" t="str">
        <f aca="false">IF(A233="","",IFERROR(INDEX(Calendario!$A$4:$A$107,MATCH(A233,Calendario!$B$4:$B$107,1)),""))</f>
        <v/>
      </c>
      <c r="C233" s="17" t="str">
        <f aca="false">IF(A233="","",YEAR(A233)&amp;"-"&amp;TEXT(MONTH(A233),"00"))</f>
        <v/>
      </c>
      <c r="D233" s="26"/>
      <c r="E233" s="26"/>
      <c r="F233" s="26"/>
      <c r="G233" s="29"/>
      <c r="H233" s="26"/>
      <c r="I233" s="32"/>
      <c r="J233" s="26"/>
      <c r="K233" s="26"/>
    </row>
    <row r="234" customFormat="false" ht="15" hidden="false" customHeight="false" outlineLevel="0" collapsed="false">
      <c r="A234" s="32"/>
      <c r="B234" s="17" t="str">
        <f aca="false">IF(A234="","",IFERROR(INDEX(Calendario!$A$4:$A$107,MATCH(A234,Calendario!$B$4:$B$107,1)),""))</f>
        <v/>
      </c>
      <c r="C234" s="17" t="str">
        <f aca="false">IF(A234="","",YEAR(A234)&amp;"-"&amp;TEXT(MONTH(A234),"00"))</f>
        <v/>
      </c>
      <c r="D234" s="26"/>
      <c r="E234" s="26"/>
      <c r="F234" s="26"/>
      <c r="G234" s="29"/>
      <c r="H234" s="26"/>
      <c r="I234" s="32"/>
      <c r="J234" s="26"/>
      <c r="K234" s="26"/>
    </row>
    <row r="235" customFormat="false" ht="15" hidden="false" customHeight="false" outlineLevel="0" collapsed="false">
      <c r="A235" s="32"/>
      <c r="B235" s="17" t="str">
        <f aca="false">IF(A235="","",IFERROR(INDEX(Calendario!$A$4:$A$107,MATCH(A235,Calendario!$B$4:$B$107,1)),""))</f>
        <v/>
      </c>
      <c r="C235" s="17" t="str">
        <f aca="false">IF(A235="","",YEAR(A235)&amp;"-"&amp;TEXT(MONTH(A235),"00"))</f>
        <v/>
      </c>
      <c r="D235" s="26"/>
      <c r="E235" s="26"/>
      <c r="F235" s="26"/>
      <c r="G235" s="29"/>
      <c r="H235" s="26"/>
      <c r="I235" s="32"/>
      <c r="J235" s="26"/>
      <c r="K235" s="26"/>
    </row>
    <row r="236" customFormat="false" ht="15" hidden="false" customHeight="false" outlineLevel="0" collapsed="false">
      <c r="A236" s="32"/>
      <c r="B236" s="17" t="str">
        <f aca="false">IF(A236="","",IFERROR(INDEX(Calendario!$A$4:$A$107,MATCH(A236,Calendario!$B$4:$B$107,1)),""))</f>
        <v/>
      </c>
      <c r="C236" s="17" t="str">
        <f aca="false">IF(A236="","",YEAR(A236)&amp;"-"&amp;TEXT(MONTH(A236),"00"))</f>
        <v/>
      </c>
      <c r="D236" s="26"/>
      <c r="E236" s="26"/>
      <c r="F236" s="26"/>
      <c r="G236" s="29"/>
      <c r="H236" s="26"/>
      <c r="I236" s="32"/>
      <c r="J236" s="26"/>
      <c r="K236" s="26"/>
    </row>
    <row r="237" customFormat="false" ht="15" hidden="false" customHeight="false" outlineLevel="0" collapsed="false">
      <c r="A237" s="32"/>
      <c r="B237" s="17" t="str">
        <f aca="false">IF(A237="","",IFERROR(INDEX(Calendario!$A$4:$A$107,MATCH(A237,Calendario!$B$4:$B$107,1)),""))</f>
        <v/>
      </c>
      <c r="C237" s="17" t="str">
        <f aca="false">IF(A237="","",YEAR(A237)&amp;"-"&amp;TEXT(MONTH(A237),"00"))</f>
        <v/>
      </c>
      <c r="D237" s="26"/>
      <c r="E237" s="26"/>
      <c r="F237" s="26"/>
      <c r="G237" s="29"/>
      <c r="H237" s="26"/>
      <c r="I237" s="32"/>
      <c r="J237" s="26"/>
      <c r="K237" s="26"/>
    </row>
    <row r="238" customFormat="false" ht="15" hidden="false" customHeight="false" outlineLevel="0" collapsed="false">
      <c r="A238" s="32"/>
      <c r="B238" s="17" t="str">
        <f aca="false">IF(A238="","",IFERROR(INDEX(Calendario!$A$4:$A$107,MATCH(A238,Calendario!$B$4:$B$107,1)),""))</f>
        <v/>
      </c>
      <c r="C238" s="17" t="str">
        <f aca="false">IF(A238="","",YEAR(A238)&amp;"-"&amp;TEXT(MONTH(A238),"00"))</f>
        <v/>
      </c>
      <c r="D238" s="26"/>
      <c r="E238" s="26"/>
      <c r="F238" s="26"/>
      <c r="G238" s="29"/>
      <c r="H238" s="26"/>
      <c r="I238" s="32"/>
      <c r="J238" s="26"/>
      <c r="K238" s="26"/>
    </row>
    <row r="239" customFormat="false" ht="15" hidden="false" customHeight="false" outlineLevel="0" collapsed="false">
      <c r="A239" s="32"/>
      <c r="B239" s="17" t="str">
        <f aca="false">IF(A239="","",IFERROR(INDEX(Calendario!$A$4:$A$107,MATCH(A239,Calendario!$B$4:$B$107,1)),""))</f>
        <v/>
      </c>
      <c r="C239" s="17" t="str">
        <f aca="false">IF(A239="","",YEAR(A239)&amp;"-"&amp;TEXT(MONTH(A239),"00"))</f>
        <v/>
      </c>
      <c r="D239" s="26"/>
      <c r="E239" s="26"/>
      <c r="F239" s="26"/>
      <c r="G239" s="29"/>
      <c r="H239" s="26"/>
      <c r="I239" s="32"/>
      <c r="J239" s="26"/>
      <c r="K239" s="26"/>
    </row>
    <row r="240" customFormat="false" ht="15" hidden="false" customHeight="false" outlineLevel="0" collapsed="false">
      <c r="A240" s="32"/>
      <c r="B240" s="17" t="str">
        <f aca="false">IF(A240="","",IFERROR(INDEX(Calendario!$A$4:$A$107,MATCH(A240,Calendario!$B$4:$B$107,1)),""))</f>
        <v/>
      </c>
      <c r="C240" s="17" t="str">
        <f aca="false">IF(A240="","",YEAR(A240)&amp;"-"&amp;TEXT(MONTH(A240),"00"))</f>
        <v/>
      </c>
      <c r="D240" s="26"/>
      <c r="E240" s="26"/>
      <c r="F240" s="26"/>
      <c r="G240" s="29"/>
      <c r="H240" s="26"/>
      <c r="I240" s="32"/>
      <c r="J240" s="26"/>
      <c r="K240" s="26"/>
    </row>
    <row r="241" customFormat="false" ht="15" hidden="false" customHeight="false" outlineLevel="0" collapsed="false">
      <c r="A241" s="32"/>
      <c r="B241" s="17" t="str">
        <f aca="false">IF(A241="","",IFERROR(INDEX(Calendario!$A$4:$A$107,MATCH(A241,Calendario!$B$4:$B$107,1)),""))</f>
        <v/>
      </c>
      <c r="C241" s="17" t="str">
        <f aca="false">IF(A241="","",YEAR(A241)&amp;"-"&amp;TEXT(MONTH(A241),"00"))</f>
        <v/>
      </c>
      <c r="D241" s="26"/>
      <c r="E241" s="26"/>
      <c r="F241" s="26"/>
      <c r="G241" s="29"/>
      <c r="H241" s="26"/>
      <c r="I241" s="32"/>
      <c r="J241" s="26"/>
      <c r="K241" s="26"/>
    </row>
    <row r="242" customFormat="false" ht="15" hidden="false" customHeight="false" outlineLevel="0" collapsed="false">
      <c r="A242" s="32"/>
      <c r="B242" s="17" t="str">
        <f aca="false">IF(A242="","",IFERROR(INDEX(Calendario!$A$4:$A$107,MATCH(A242,Calendario!$B$4:$B$107,1)),""))</f>
        <v/>
      </c>
      <c r="C242" s="17" t="str">
        <f aca="false">IF(A242="","",YEAR(A242)&amp;"-"&amp;TEXT(MONTH(A242),"00"))</f>
        <v/>
      </c>
      <c r="D242" s="26"/>
      <c r="E242" s="26"/>
      <c r="F242" s="26"/>
      <c r="G242" s="29"/>
      <c r="H242" s="26"/>
      <c r="I242" s="32"/>
      <c r="J242" s="26"/>
      <c r="K242" s="26"/>
    </row>
    <row r="243" customFormat="false" ht="15" hidden="false" customHeight="false" outlineLevel="0" collapsed="false">
      <c r="A243" s="32"/>
      <c r="B243" s="17" t="str">
        <f aca="false">IF(A243="","",IFERROR(INDEX(Calendario!$A$4:$A$107,MATCH(A243,Calendario!$B$4:$B$107,1)),""))</f>
        <v/>
      </c>
      <c r="C243" s="17" t="str">
        <f aca="false">IF(A243="","",YEAR(A243)&amp;"-"&amp;TEXT(MONTH(A243),"00"))</f>
        <v/>
      </c>
      <c r="D243" s="26"/>
      <c r="E243" s="26"/>
      <c r="F243" s="26"/>
      <c r="G243" s="29"/>
      <c r="H243" s="26"/>
      <c r="I243" s="32"/>
      <c r="J243" s="26"/>
      <c r="K243" s="26"/>
    </row>
    <row r="244" customFormat="false" ht="15" hidden="false" customHeight="false" outlineLevel="0" collapsed="false">
      <c r="A244" s="32"/>
      <c r="B244" s="17" t="str">
        <f aca="false">IF(A244="","",IFERROR(INDEX(Calendario!$A$4:$A$107,MATCH(A244,Calendario!$B$4:$B$107,1)),""))</f>
        <v/>
      </c>
      <c r="C244" s="17" t="str">
        <f aca="false">IF(A244="","",YEAR(A244)&amp;"-"&amp;TEXT(MONTH(A244),"00"))</f>
        <v/>
      </c>
      <c r="D244" s="26"/>
      <c r="E244" s="26"/>
      <c r="F244" s="26"/>
      <c r="G244" s="29"/>
      <c r="H244" s="26"/>
      <c r="I244" s="32"/>
      <c r="J244" s="26"/>
      <c r="K244" s="26"/>
    </row>
    <row r="245" customFormat="false" ht="15" hidden="false" customHeight="false" outlineLevel="0" collapsed="false">
      <c r="A245" s="32"/>
      <c r="B245" s="17" t="str">
        <f aca="false">IF(A245="","",IFERROR(INDEX(Calendario!$A$4:$A$107,MATCH(A245,Calendario!$B$4:$B$107,1)),""))</f>
        <v/>
      </c>
      <c r="C245" s="17" t="str">
        <f aca="false">IF(A245="","",YEAR(A245)&amp;"-"&amp;TEXT(MONTH(A245),"00"))</f>
        <v/>
      </c>
      <c r="D245" s="26"/>
      <c r="E245" s="26"/>
      <c r="F245" s="26"/>
      <c r="G245" s="29"/>
      <c r="H245" s="26"/>
      <c r="I245" s="32"/>
      <c r="J245" s="26"/>
      <c r="K245" s="26"/>
    </row>
    <row r="246" customFormat="false" ht="15" hidden="false" customHeight="false" outlineLevel="0" collapsed="false">
      <c r="A246" s="32"/>
      <c r="B246" s="17" t="str">
        <f aca="false">IF(A246="","",IFERROR(INDEX(Calendario!$A$4:$A$107,MATCH(A246,Calendario!$B$4:$B$107,1)),""))</f>
        <v/>
      </c>
      <c r="C246" s="17" t="str">
        <f aca="false">IF(A246="","",YEAR(A246)&amp;"-"&amp;TEXT(MONTH(A246),"00"))</f>
        <v/>
      </c>
      <c r="D246" s="26"/>
      <c r="E246" s="26"/>
      <c r="F246" s="26"/>
      <c r="G246" s="29"/>
      <c r="H246" s="26"/>
      <c r="I246" s="32"/>
      <c r="J246" s="26"/>
      <c r="K246" s="26"/>
    </row>
    <row r="247" customFormat="false" ht="15" hidden="false" customHeight="false" outlineLevel="0" collapsed="false">
      <c r="A247" s="32"/>
      <c r="B247" s="17" t="str">
        <f aca="false">IF(A247="","",IFERROR(INDEX(Calendario!$A$4:$A$107,MATCH(A247,Calendario!$B$4:$B$107,1)),""))</f>
        <v/>
      </c>
      <c r="C247" s="17" t="str">
        <f aca="false">IF(A247="","",YEAR(A247)&amp;"-"&amp;TEXT(MONTH(A247),"00"))</f>
        <v/>
      </c>
      <c r="D247" s="26"/>
      <c r="E247" s="26"/>
      <c r="F247" s="26"/>
      <c r="G247" s="29"/>
      <c r="H247" s="26"/>
      <c r="I247" s="32"/>
      <c r="J247" s="26"/>
      <c r="K247" s="26"/>
    </row>
    <row r="248" customFormat="false" ht="15" hidden="false" customHeight="false" outlineLevel="0" collapsed="false">
      <c r="A248" s="32"/>
      <c r="B248" s="17" t="str">
        <f aca="false">IF(A248="","",IFERROR(INDEX(Calendario!$A$4:$A$107,MATCH(A248,Calendario!$B$4:$B$107,1)),""))</f>
        <v/>
      </c>
      <c r="C248" s="17" t="str">
        <f aca="false">IF(A248="","",YEAR(A248)&amp;"-"&amp;TEXT(MONTH(A248),"00"))</f>
        <v/>
      </c>
      <c r="D248" s="26"/>
      <c r="E248" s="26"/>
      <c r="F248" s="26"/>
      <c r="G248" s="29"/>
      <c r="H248" s="26"/>
      <c r="I248" s="32"/>
      <c r="J248" s="26"/>
      <c r="K248" s="26"/>
    </row>
    <row r="249" customFormat="false" ht="15" hidden="false" customHeight="false" outlineLevel="0" collapsed="false">
      <c r="A249" s="32"/>
      <c r="B249" s="17" t="str">
        <f aca="false">IF(A249="","",IFERROR(INDEX(Calendario!$A$4:$A$107,MATCH(A249,Calendario!$B$4:$B$107,1)),""))</f>
        <v/>
      </c>
      <c r="C249" s="17" t="str">
        <f aca="false">IF(A249="","",YEAR(A249)&amp;"-"&amp;TEXT(MONTH(A249),"00"))</f>
        <v/>
      </c>
      <c r="D249" s="26"/>
      <c r="E249" s="26"/>
      <c r="F249" s="26"/>
      <c r="G249" s="29"/>
      <c r="H249" s="26"/>
      <c r="I249" s="32"/>
      <c r="J249" s="26"/>
      <c r="K249" s="26"/>
    </row>
    <row r="250" customFormat="false" ht="15" hidden="false" customHeight="false" outlineLevel="0" collapsed="false">
      <c r="A250" s="32"/>
      <c r="B250" s="17" t="str">
        <f aca="false">IF(A250="","",IFERROR(INDEX(Calendario!$A$4:$A$107,MATCH(A250,Calendario!$B$4:$B$107,1)),""))</f>
        <v/>
      </c>
      <c r="C250" s="17" t="str">
        <f aca="false">IF(A250="","",YEAR(A250)&amp;"-"&amp;TEXT(MONTH(A250),"00"))</f>
        <v/>
      </c>
      <c r="D250" s="26"/>
      <c r="E250" s="26"/>
      <c r="F250" s="26"/>
      <c r="G250" s="29"/>
      <c r="H250" s="26"/>
      <c r="I250" s="32"/>
      <c r="J250" s="26"/>
      <c r="K250" s="26"/>
    </row>
    <row r="251" customFormat="false" ht="15" hidden="false" customHeight="false" outlineLevel="0" collapsed="false">
      <c r="A251" s="32"/>
      <c r="B251" s="17" t="str">
        <f aca="false">IF(A251="","",IFERROR(INDEX(Calendario!$A$4:$A$107,MATCH(A251,Calendario!$B$4:$B$107,1)),""))</f>
        <v/>
      </c>
      <c r="C251" s="17" t="str">
        <f aca="false">IF(A251="","",YEAR(A251)&amp;"-"&amp;TEXT(MONTH(A251),"00"))</f>
        <v/>
      </c>
      <c r="D251" s="26"/>
      <c r="E251" s="26"/>
      <c r="F251" s="26"/>
      <c r="G251" s="29"/>
      <c r="H251" s="26"/>
      <c r="I251" s="32"/>
      <c r="J251" s="26"/>
      <c r="K251" s="26"/>
    </row>
    <row r="252" customFormat="false" ht="15" hidden="false" customHeight="false" outlineLevel="0" collapsed="false">
      <c r="A252" s="32"/>
      <c r="B252" s="17" t="str">
        <f aca="false">IF(A252="","",IFERROR(INDEX(Calendario!$A$4:$A$107,MATCH(A252,Calendario!$B$4:$B$107,1)),""))</f>
        <v/>
      </c>
      <c r="C252" s="17" t="str">
        <f aca="false">IF(A252="","",YEAR(A252)&amp;"-"&amp;TEXT(MONTH(A252),"00"))</f>
        <v/>
      </c>
      <c r="D252" s="26"/>
      <c r="E252" s="26"/>
      <c r="F252" s="26"/>
      <c r="G252" s="29"/>
      <c r="H252" s="26"/>
      <c r="I252" s="32"/>
      <c r="J252" s="26"/>
      <c r="K252" s="26"/>
    </row>
    <row r="253" customFormat="false" ht="15" hidden="false" customHeight="false" outlineLevel="0" collapsed="false">
      <c r="A253" s="32"/>
      <c r="B253" s="17" t="str">
        <f aca="false">IF(A253="","",IFERROR(INDEX(Calendario!$A$4:$A$107,MATCH(A253,Calendario!$B$4:$B$107,1)),""))</f>
        <v/>
      </c>
      <c r="C253" s="17" t="str">
        <f aca="false">IF(A253="","",YEAR(A253)&amp;"-"&amp;TEXT(MONTH(A253),"00"))</f>
        <v/>
      </c>
      <c r="D253" s="26"/>
      <c r="E253" s="26"/>
      <c r="F253" s="26"/>
      <c r="G253" s="29"/>
      <c r="H253" s="26"/>
      <c r="I253" s="32"/>
      <c r="J253" s="26"/>
      <c r="K253" s="26"/>
    </row>
    <row r="254" customFormat="false" ht="15" hidden="false" customHeight="false" outlineLevel="0" collapsed="false">
      <c r="A254" s="32"/>
      <c r="B254" s="17" t="str">
        <f aca="false">IF(A254="","",IFERROR(INDEX(Calendario!$A$4:$A$107,MATCH(A254,Calendario!$B$4:$B$107,1)),""))</f>
        <v/>
      </c>
      <c r="C254" s="17" t="str">
        <f aca="false">IF(A254="","",YEAR(A254)&amp;"-"&amp;TEXT(MONTH(A254),"00"))</f>
        <v/>
      </c>
      <c r="D254" s="26"/>
      <c r="E254" s="26"/>
      <c r="F254" s="26"/>
      <c r="G254" s="29"/>
      <c r="H254" s="26"/>
      <c r="I254" s="32"/>
      <c r="J254" s="26"/>
      <c r="K254" s="26"/>
    </row>
    <row r="255" customFormat="false" ht="15" hidden="false" customHeight="false" outlineLevel="0" collapsed="false">
      <c r="A255" s="32"/>
      <c r="B255" s="17" t="str">
        <f aca="false">IF(A255="","",IFERROR(INDEX(Calendario!$A$4:$A$107,MATCH(A255,Calendario!$B$4:$B$107,1)),""))</f>
        <v/>
      </c>
      <c r="C255" s="17" t="str">
        <f aca="false">IF(A255="","",YEAR(A255)&amp;"-"&amp;TEXT(MONTH(A255),"00"))</f>
        <v/>
      </c>
      <c r="D255" s="26"/>
      <c r="E255" s="26"/>
      <c r="F255" s="26"/>
      <c r="G255" s="29"/>
      <c r="H255" s="26"/>
      <c r="I255" s="32"/>
      <c r="J255" s="26"/>
      <c r="K255" s="26"/>
    </row>
    <row r="256" customFormat="false" ht="15" hidden="false" customHeight="false" outlineLevel="0" collapsed="false">
      <c r="A256" s="32"/>
      <c r="B256" s="17" t="str">
        <f aca="false">IF(A256="","",IFERROR(INDEX(Calendario!$A$4:$A$107,MATCH(A256,Calendario!$B$4:$B$107,1)),""))</f>
        <v/>
      </c>
      <c r="C256" s="17" t="str">
        <f aca="false">IF(A256="","",YEAR(A256)&amp;"-"&amp;TEXT(MONTH(A256),"00"))</f>
        <v/>
      </c>
      <c r="D256" s="26"/>
      <c r="E256" s="26"/>
      <c r="F256" s="26"/>
      <c r="G256" s="29"/>
      <c r="H256" s="26"/>
      <c r="I256" s="32"/>
      <c r="J256" s="26"/>
      <c r="K256" s="26"/>
    </row>
    <row r="257" customFormat="false" ht="15" hidden="false" customHeight="false" outlineLevel="0" collapsed="false">
      <c r="A257" s="32"/>
      <c r="B257" s="17" t="str">
        <f aca="false">IF(A257="","",IFERROR(INDEX(Calendario!$A$4:$A$107,MATCH(A257,Calendario!$B$4:$B$107,1)),""))</f>
        <v/>
      </c>
      <c r="C257" s="17" t="str">
        <f aca="false">IF(A257="","",YEAR(A257)&amp;"-"&amp;TEXT(MONTH(A257),"00"))</f>
        <v/>
      </c>
      <c r="D257" s="26"/>
      <c r="E257" s="26"/>
      <c r="F257" s="26"/>
      <c r="G257" s="29"/>
      <c r="H257" s="26"/>
      <c r="I257" s="32"/>
      <c r="J257" s="26"/>
      <c r="K257" s="26"/>
    </row>
    <row r="258" customFormat="false" ht="15" hidden="false" customHeight="false" outlineLevel="0" collapsed="false">
      <c r="A258" s="32"/>
      <c r="B258" s="17" t="str">
        <f aca="false">IF(A258="","",IFERROR(INDEX(Calendario!$A$4:$A$107,MATCH(A258,Calendario!$B$4:$B$107,1)),""))</f>
        <v/>
      </c>
      <c r="C258" s="17" t="str">
        <f aca="false">IF(A258="","",YEAR(A258)&amp;"-"&amp;TEXT(MONTH(A258),"00"))</f>
        <v/>
      </c>
      <c r="D258" s="26"/>
      <c r="E258" s="26"/>
      <c r="F258" s="26"/>
      <c r="G258" s="29"/>
      <c r="H258" s="26"/>
      <c r="I258" s="32"/>
      <c r="J258" s="26"/>
      <c r="K258" s="26"/>
    </row>
    <row r="259" customFormat="false" ht="15" hidden="false" customHeight="false" outlineLevel="0" collapsed="false">
      <c r="A259" s="32"/>
      <c r="B259" s="17" t="str">
        <f aca="false">IF(A259="","",IFERROR(INDEX(Calendario!$A$4:$A$107,MATCH(A259,Calendario!$B$4:$B$107,1)),""))</f>
        <v/>
      </c>
      <c r="C259" s="17" t="str">
        <f aca="false">IF(A259="","",YEAR(A259)&amp;"-"&amp;TEXT(MONTH(A259),"00"))</f>
        <v/>
      </c>
      <c r="D259" s="26"/>
      <c r="E259" s="26"/>
      <c r="F259" s="26"/>
      <c r="G259" s="29"/>
      <c r="H259" s="26"/>
      <c r="I259" s="32"/>
      <c r="J259" s="26"/>
      <c r="K259" s="26"/>
    </row>
    <row r="260" customFormat="false" ht="15" hidden="false" customHeight="false" outlineLevel="0" collapsed="false">
      <c r="A260" s="32"/>
      <c r="B260" s="17" t="str">
        <f aca="false">IF(A260="","",IFERROR(INDEX(Calendario!$A$4:$A$107,MATCH(A260,Calendario!$B$4:$B$107,1)),""))</f>
        <v/>
      </c>
      <c r="C260" s="17" t="str">
        <f aca="false">IF(A260="","",YEAR(A260)&amp;"-"&amp;TEXT(MONTH(A260),"00"))</f>
        <v/>
      </c>
      <c r="D260" s="26"/>
      <c r="E260" s="26"/>
      <c r="F260" s="26"/>
      <c r="G260" s="29"/>
      <c r="H260" s="26"/>
      <c r="I260" s="32"/>
      <c r="J260" s="26"/>
      <c r="K260" s="26"/>
    </row>
    <row r="261" customFormat="false" ht="15" hidden="false" customHeight="false" outlineLevel="0" collapsed="false">
      <c r="A261" s="32"/>
      <c r="B261" s="17" t="str">
        <f aca="false">IF(A261="","",IFERROR(INDEX(Calendario!$A$4:$A$107,MATCH(A261,Calendario!$B$4:$B$107,1)),""))</f>
        <v/>
      </c>
      <c r="C261" s="17" t="str">
        <f aca="false">IF(A261="","",YEAR(A261)&amp;"-"&amp;TEXT(MONTH(A261),"00"))</f>
        <v/>
      </c>
      <c r="D261" s="26"/>
      <c r="E261" s="26"/>
      <c r="F261" s="26"/>
      <c r="G261" s="29"/>
      <c r="H261" s="26"/>
      <c r="I261" s="32"/>
      <c r="J261" s="26"/>
      <c r="K261" s="26"/>
    </row>
    <row r="262" customFormat="false" ht="15" hidden="false" customHeight="false" outlineLevel="0" collapsed="false">
      <c r="A262" s="32"/>
      <c r="B262" s="17" t="str">
        <f aca="false">IF(A262="","",IFERROR(INDEX(Calendario!$A$4:$A$107,MATCH(A262,Calendario!$B$4:$B$107,1)),""))</f>
        <v/>
      </c>
      <c r="C262" s="17" t="str">
        <f aca="false">IF(A262="","",YEAR(A262)&amp;"-"&amp;TEXT(MONTH(A262),"00"))</f>
        <v/>
      </c>
      <c r="D262" s="26"/>
      <c r="E262" s="26"/>
      <c r="F262" s="26"/>
      <c r="G262" s="29"/>
      <c r="H262" s="26"/>
      <c r="I262" s="32"/>
      <c r="J262" s="26"/>
      <c r="K262" s="26"/>
    </row>
    <row r="263" customFormat="false" ht="15" hidden="false" customHeight="false" outlineLevel="0" collapsed="false">
      <c r="A263" s="32"/>
      <c r="B263" s="17" t="str">
        <f aca="false">IF(A263="","",IFERROR(INDEX(Calendario!$A$4:$A$107,MATCH(A263,Calendario!$B$4:$B$107,1)),""))</f>
        <v/>
      </c>
      <c r="C263" s="17" t="str">
        <f aca="false">IF(A263="","",YEAR(A263)&amp;"-"&amp;TEXT(MONTH(A263),"00"))</f>
        <v/>
      </c>
      <c r="D263" s="26"/>
      <c r="E263" s="26"/>
      <c r="F263" s="26"/>
      <c r="G263" s="29"/>
      <c r="H263" s="26"/>
      <c r="I263" s="32"/>
      <c r="J263" s="26"/>
      <c r="K263" s="26"/>
    </row>
    <row r="264" customFormat="false" ht="15" hidden="false" customHeight="false" outlineLevel="0" collapsed="false">
      <c r="A264" s="32"/>
      <c r="B264" s="17" t="str">
        <f aca="false">IF(A264="","",IFERROR(INDEX(Calendario!$A$4:$A$107,MATCH(A264,Calendario!$B$4:$B$107,1)),""))</f>
        <v/>
      </c>
      <c r="C264" s="17" t="str">
        <f aca="false">IF(A264="","",YEAR(A264)&amp;"-"&amp;TEXT(MONTH(A264),"00"))</f>
        <v/>
      </c>
      <c r="D264" s="26"/>
      <c r="E264" s="26"/>
      <c r="F264" s="26"/>
      <c r="G264" s="29"/>
      <c r="H264" s="26"/>
      <c r="I264" s="32"/>
      <c r="J264" s="26"/>
      <c r="K264" s="26"/>
    </row>
    <row r="265" customFormat="false" ht="15" hidden="false" customHeight="false" outlineLevel="0" collapsed="false">
      <c r="A265" s="32"/>
      <c r="B265" s="17" t="str">
        <f aca="false">IF(A265="","",IFERROR(INDEX(Calendario!$A$4:$A$107,MATCH(A265,Calendario!$B$4:$B$107,1)),""))</f>
        <v/>
      </c>
      <c r="C265" s="17" t="str">
        <f aca="false">IF(A265="","",YEAR(A265)&amp;"-"&amp;TEXT(MONTH(A265),"00"))</f>
        <v/>
      </c>
      <c r="D265" s="26"/>
      <c r="E265" s="26"/>
      <c r="F265" s="26"/>
      <c r="G265" s="29"/>
      <c r="H265" s="26"/>
      <c r="I265" s="32"/>
      <c r="J265" s="26"/>
      <c r="K265" s="26"/>
    </row>
    <row r="266" customFormat="false" ht="15" hidden="false" customHeight="false" outlineLevel="0" collapsed="false">
      <c r="A266" s="32"/>
      <c r="B266" s="17" t="str">
        <f aca="false">IF(A266="","",IFERROR(INDEX(Calendario!$A$4:$A$107,MATCH(A266,Calendario!$B$4:$B$107,1)),""))</f>
        <v/>
      </c>
      <c r="C266" s="17" t="str">
        <f aca="false">IF(A266="","",YEAR(A266)&amp;"-"&amp;TEXT(MONTH(A266),"00"))</f>
        <v/>
      </c>
      <c r="D266" s="26"/>
      <c r="E266" s="26"/>
      <c r="F266" s="26"/>
      <c r="G266" s="29"/>
      <c r="H266" s="26"/>
      <c r="I266" s="32"/>
      <c r="J266" s="26"/>
      <c r="K266" s="26"/>
    </row>
    <row r="267" customFormat="false" ht="15" hidden="false" customHeight="false" outlineLevel="0" collapsed="false">
      <c r="A267" s="32"/>
      <c r="B267" s="17" t="str">
        <f aca="false">IF(A267="","",IFERROR(INDEX(Calendario!$A$4:$A$107,MATCH(A267,Calendario!$B$4:$B$107,1)),""))</f>
        <v/>
      </c>
      <c r="C267" s="17" t="str">
        <f aca="false">IF(A267="","",YEAR(A267)&amp;"-"&amp;TEXT(MONTH(A267),"00"))</f>
        <v/>
      </c>
      <c r="D267" s="26"/>
      <c r="E267" s="26"/>
      <c r="F267" s="26"/>
      <c r="G267" s="29"/>
      <c r="H267" s="26"/>
      <c r="I267" s="32"/>
      <c r="J267" s="26"/>
      <c r="K267" s="26"/>
    </row>
    <row r="268" customFormat="false" ht="15" hidden="false" customHeight="false" outlineLevel="0" collapsed="false">
      <c r="A268" s="32"/>
      <c r="B268" s="17" t="str">
        <f aca="false">IF(A268="","",IFERROR(INDEX(Calendario!$A$4:$A$107,MATCH(A268,Calendario!$B$4:$B$107,1)),""))</f>
        <v/>
      </c>
      <c r="C268" s="17" t="str">
        <f aca="false">IF(A268="","",YEAR(A268)&amp;"-"&amp;TEXT(MONTH(A268),"00"))</f>
        <v/>
      </c>
      <c r="D268" s="26"/>
      <c r="E268" s="26"/>
      <c r="F268" s="26"/>
      <c r="G268" s="29"/>
      <c r="H268" s="26"/>
      <c r="I268" s="32"/>
      <c r="J268" s="26"/>
      <c r="K268" s="26"/>
    </row>
    <row r="269" customFormat="false" ht="15" hidden="false" customHeight="false" outlineLevel="0" collapsed="false">
      <c r="A269" s="32"/>
      <c r="B269" s="17" t="str">
        <f aca="false">IF(A269="","",IFERROR(INDEX(Calendario!$A$4:$A$107,MATCH(A269,Calendario!$B$4:$B$107,1)),""))</f>
        <v/>
      </c>
      <c r="C269" s="17" t="str">
        <f aca="false">IF(A269="","",YEAR(A269)&amp;"-"&amp;TEXT(MONTH(A269),"00"))</f>
        <v/>
      </c>
      <c r="D269" s="26"/>
      <c r="E269" s="26"/>
      <c r="F269" s="26"/>
      <c r="G269" s="29"/>
      <c r="H269" s="26"/>
      <c r="I269" s="32"/>
      <c r="J269" s="26"/>
      <c r="K269" s="26"/>
    </row>
    <row r="270" customFormat="false" ht="15" hidden="false" customHeight="false" outlineLevel="0" collapsed="false">
      <c r="A270" s="32"/>
      <c r="B270" s="17" t="str">
        <f aca="false">IF(A270="","",IFERROR(INDEX(Calendario!$A$4:$A$107,MATCH(A270,Calendario!$B$4:$B$107,1)),""))</f>
        <v/>
      </c>
      <c r="C270" s="17" t="str">
        <f aca="false">IF(A270="","",YEAR(A270)&amp;"-"&amp;TEXT(MONTH(A270),"00"))</f>
        <v/>
      </c>
      <c r="D270" s="26"/>
      <c r="E270" s="26"/>
      <c r="F270" s="26"/>
      <c r="G270" s="29"/>
      <c r="H270" s="26"/>
      <c r="I270" s="32"/>
      <c r="J270" s="26"/>
      <c r="K270" s="26"/>
    </row>
    <row r="271" customFormat="false" ht="15" hidden="false" customHeight="false" outlineLevel="0" collapsed="false">
      <c r="A271" s="32"/>
      <c r="B271" s="17" t="str">
        <f aca="false">IF(A271="","",IFERROR(INDEX(Calendario!$A$4:$A$107,MATCH(A271,Calendario!$B$4:$B$107,1)),""))</f>
        <v/>
      </c>
      <c r="C271" s="17" t="str">
        <f aca="false">IF(A271="","",YEAR(A271)&amp;"-"&amp;TEXT(MONTH(A271),"00"))</f>
        <v/>
      </c>
      <c r="D271" s="26"/>
      <c r="E271" s="26"/>
      <c r="F271" s="26"/>
      <c r="G271" s="29"/>
      <c r="H271" s="26"/>
      <c r="I271" s="32"/>
      <c r="J271" s="26"/>
      <c r="K271" s="26"/>
    </row>
    <row r="272" customFormat="false" ht="15" hidden="false" customHeight="false" outlineLevel="0" collapsed="false">
      <c r="A272" s="32"/>
      <c r="B272" s="17" t="str">
        <f aca="false">IF(A272="","",IFERROR(INDEX(Calendario!$A$4:$A$107,MATCH(A272,Calendario!$B$4:$B$107,1)),""))</f>
        <v/>
      </c>
      <c r="C272" s="17" t="str">
        <f aca="false">IF(A272="","",YEAR(A272)&amp;"-"&amp;TEXT(MONTH(A272),"00"))</f>
        <v/>
      </c>
      <c r="D272" s="26"/>
      <c r="E272" s="26"/>
      <c r="F272" s="26"/>
      <c r="G272" s="29"/>
      <c r="H272" s="26"/>
      <c r="I272" s="32"/>
      <c r="J272" s="26"/>
      <c r="K272" s="26"/>
    </row>
    <row r="273" customFormat="false" ht="15" hidden="false" customHeight="false" outlineLevel="0" collapsed="false">
      <c r="A273" s="32"/>
      <c r="B273" s="17" t="str">
        <f aca="false">IF(A273="","",IFERROR(INDEX(Calendario!$A$4:$A$107,MATCH(A273,Calendario!$B$4:$B$107,1)),""))</f>
        <v/>
      </c>
      <c r="C273" s="17" t="str">
        <f aca="false">IF(A273="","",YEAR(A273)&amp;"-"&amp;TEXT(MONTH(A273),"00"))</f>
        <v/>
      </c>
      <c r="D273" s="26"/>
      <c r="E273" s="26"/>
      <c r="F273" s="26"/>
      <c r="G273" s="29"/>
      <c r="H273" s="26"/>
      <c r="I273" s="32"/>
      <c r="J273" s="26"/>
      <c r="K273" s="26"/>
    </row>
    <row r="274" customFormat="false" ht="15" hidden="false" customHeight="false" outlineLevel="0" collapsed="false">
      <c r="A274" s="32"/>
      <c r="B274" s="17" t="str">
        <f aca="false">IF(A274="","",IFERROR(INDEX(Calendario!$A$4:$A$107,MATCH(A274,Calendario!$B$4:$B$107,1)),""))</f>
        <v/>
      </c>
      <c r="C274" s="17" t="str">
        <f aca="false">IF(A274="","",YEAR(A274)&amp;"-"&amp;TEXT(MONTH(A274),"00"))</f>
        <v/>
      </c>
      <c r="D274" s="26"/>
      <c r="E274" s="26"/>
      <c r="F274" s="26"/>
      <c r="G274" s="29"/>
      <c r="H274" s="26"/>
      <c r="I274" s="32"/>
      <c r="J274" s="26"/>
      <c r="K274" s="26"/>
    </row>
    <row r="275" customFormat="false" ht="15" hidden="false" customHeight="false" outlineLevel="0" collapsed="false">
      <c r="A275" s="32"/>
      <c r="B275" s="17" t="str">
        <f aca="false">IF(A275="","",IFERROR(INDEX(Calendario!$A$4:$A$107,MATCH(A275,Calendario!$B$4:$B$107,1)),""))</f>
        <v/>
      </c>
      <c r="C275" s="17" t="str">
        <f aca="false">IF(A275="","",YEAR(A275)&amp;"-"&amp;TEXT(MONTH(A275),"00"))</f>
        <v/>
      </c>
      <c r="D275" s="26"/>
      <c r="E275" s="26"/>
      <c r="F275" s="26"/>
      <c r="G275" s="29"/>
      <c r="H275" s="26"/>
      <c r="I275" s="32"/>
      <c r="J275" s="26"/>
      <c r="K275" s="26"/>
    </row>
    <row r="276" customFormat="false" ht="15" hidden="false" customHeight="false" outlineLevel="0" collapsed="false">
      <c r="A276" s="32"/>
      <c r="B276" s="17" t="str">
        <f aca="false">IF(A276="","",IFERROR(INDEX(Calendario!$A$4:$A$107,MATCH(A276,Calendario!$B$4:$B$107,1)),""))</f>
        <v/>
      </c>
      <c r="C276" s="17" t="str">
        <f aca="false">IF(A276="","",YEAR(A276)&amp;"-"&amp;TEXT(MONTH(A276),"00"))</f>
        <v/>
      </c>
      <c r="D276" s="26"/>
      <c r="E276" s="26"/>
      <c r="F276" s="26"/>
      <c r="G276" s="29"/>
      <c r="H276" s="26"/>
      <c r="I276" s="32"/>
      <c r="J276" s="26"/>
      <c r="K276" s="26"/>
    </row>
    <row r="277" customFormat="false" ht="15" hidden="false" customHeight="false" outlineLevel="0" collapsed="false">
      <c r="A277" s="32"/>
      <c r="B277" s="17" t="str">
        <f aca="false">IF(A277="","",IFERROR(INDEX(Calendario!$A$4:$A$107,MATCH(A277,Calendario!$B$4:$B$107,1)),""))</f>
        <v/>
      </c>
      <c r="C277" s="17" t="str">
        <f aca="false">IF(A277="","",YEAR(A277)&amp;"-"&amp;TEXT(MONTH(A277),"00"))</f>
        <v/>
      </c>
      <c r="D277" s="26"/>
      <c r="E277" s="26"/>
      <c r="F277" s="26"/>
      <c r="G277" s="29"/>
      <c r="H277" s="26"/>
      <c r="I277" s="32"/>
      <c r="J277" s="26"/>
      <c r="K277" s="26"/>
    </row>
    <row r="278" customFormat="false" ht="15" hidden="false" customHeight="false" outlineLevel="0" collapsed="false">
      <c r="A278" s="32"/>
      <c r="B278" s="17" t="str">
        <f aca="false">IF(A278="","",IFERROR(INDEX(Calendario!$A$4:$A$107,MATCH(A278,Calendario!$B$4:$B$107,1)),""))</f>
        <v/>
      </c>
      <c r="C278" s="17" t="str">
        <f aca="false">IF(A278="","",YEAR(A278)&amp;"-"&amp;TEXT(MONTH(A278),"00"))</f>
        <v/>
      </c>
      <c r="D278" s="26"/>
      <c r="E278" s="26"/>
      <c r="F278" s="26"/>
      <c r="G278" s="29"/>
      <c r="H278" s="26"/>
      <c r="I278" s="32"/>
      <c r="J278" s="26"/>
      <c r="K278" s="26"/>
    </row>
    <row r="279" customFormat="false" ht="15" hidden="false" customHeight="false" outlineLevel="0" collapsed="false">
      <c r="A279" s="32"/>
      <c r="B279" s="17" t="str">
        <f aca="false">IF(A279="","",IFERROR(INDEX(Calendario!$A$4:$A$107,MATCH(A279,Calendario!$B$4:$B$107,1)),""))</f>
        <v/>
      </c>
      <c r="C279" s="17" t="str">
        <f aca="false">IF(A279="","",YEAR(A279)&amp;"-"&amp;TEXT(MONTH(A279),"00"))</f>
        <v/>
      </c>
      <c r="D279" s="26"/>
      <c r="E279" s="26"/>
      <c r="F279" s="26"/>
      <c r="G279" s="29"/>
      <c r="H279" s="26"/>
      <c r="I279" s="32"/>
      <c r="J279" s="26"/>
      <c r="K279" s="26"/>
    </row>
    <row r="280" customFormat="false" ht="15" hidden="false" customHeight="false" outlineLevel="0" collapsed="false">
      <c r="A280" s="32"/>
      <c r="B280" s="17" t="str">
        <f aca="false">IF(A280="","",IFERROR(INDEX(Calendario!$A$4:$A$107,MATCH(A280,Calendario!$B$4:$B$107,1)),""))</f>
        <v/>
      </c>
      <c r="C280" s="17" t="str">
        <f aca="false">IF(A280="","",YEAR(A280)&amp;"-"&amp;TEXT(MONTH(A280),"00"))</f>
        <v/>
      </c>
      <c r="D280" s="26"/>
      <c r="E280" s="26"/>
      <c r="F280" s="26"/>
      <c r="G280" s="29"/>
      <c r="H280" s="26"/>
      <c r="I280" s="32"/>
      <c r="J280" s="26"/>
      <c r="K280" s="26"/>
    </row>
    <row r="281" customFormat="false" ht="15" hidden="false" customHeight="false" outlineLevel="0" collapsed="false">
      <c r="A281" s="32"/>
      <c r="B281" s="17" t="str">
        <f aca="false">IF(A281="","",IFERROR(INDEX(Calendario!$A$4:$A$107,MATCH(A281,Calendario!$B$4:$B$107,1)),""))</f>
        <v/>
      </c>
      <c r="C281" s="17" t="str">
        <f aca="false">IF(A281="","",YEAR(A281)&amp;"-"&amp;TEXT(MONTH(A281),"00"))</f>
        <v/>
      </c>
      <c r="D281" s="26"/>
      <c r="E281" s="26"/>
      <c r="F281" s="26"/>
      <c r="G281" s="29"/>
      <c r="H281" s="26"/>
      <c r="I281" s="32"/>
      <c r="J281" s="26"/>
      <c r="K281" s="26"/>
    </row>
    <row r="282" customFormat="false" ht="15" hidden="false" customHeight="false" outlineLevel="0" collapsed="false">
      <c r="A282" s="32"/>
      <c r="B282" s="17" t="str">
        <f aca="false">IF(A282="","",IFERROR(INDEX(Calendario!$A$4:$A$107,MATCH(A282,Calendario!$B$4:$B$107,1)),""))</f>
        <v/>
      </c>
      <c r="C282" s="17" t="str">
        <f aca="false">IF(A282="","",YEAR(A282)&amp;"-"&amp;TEXT(MONTH(A282),"00"))</f>
        <v/>
      </c>
      <c r="D282" s="26"/>
      <c r="E282" s="26"/>
      <c r="F282" s="26"/>
      <c r="G282" s="29"/>
      <c r="H282" s="26"/>
      <c r="I282" s="32"/>
      <c r="J282" s="26"/>
      <c r="K282" s="26"/>
    </row>
    <row r="283" customFormat="false" ht="15" hidden="false" customHeight="false" outlineLevel="0" collapsed="false">
      <c r="A283" s="32"/>
      <c r="B283" s="17" t="str">
        <f aca="false">IF(A283="","",IFERROR(INDEX(Calendario!$A$4:$A$107,MATCH(A283,Calendario!$B$4:$B$107,1)),""))</f>
        <v/>
      </c>
      <c r="C283" s="17" t="str">
        <f aca="false">IF(A283="","",YEAR(A283)&amp;"-"&amp;TEXT(MONTH(A283),"00"))</f>
        <v/>
      </c>
      <c r="D283" s="26"/>
      <c r="E283" s="26"/>
      <c r="F283" s="26"/>
      <c r="G283" s="29"/>
      <c r="H283" s="26"/>
      <c r="I283" s="32"/>
      <c r="J283" s="26"/>
      <c r="K283" s="26"/>
    </row>
    <row r="284" customFormat="false" ht="15" hidden="false" customHeight="false" outlineLevel="0" collapsed="false">
      <c r="A284" s="32"/>
      <c r="B284" s="17" t="str">
        <f aca="false">IF(A284="","",IFERROR(INDEX(Calendario!$A$4:$A$107,MATCH(A284,Calendario!$B$4:$B$107,1)),""))</f>
        <v/>
      </c>
      <c r="C284" s="17" t="str">
        <f aca="false">IF(A284="","",YEAR(A284)&amp;"-"&amp;TEXT(MONTH(A284),"00"))</f>
        <v/>
      </c>
      <c r="D284" s="26"/>
      <c r="E284" s="26"/>
      <c r="F284" s="26"/>
      <c r="G284" s="29"/>
      <c r="H284" s="26"/>
      <c r="I284" s="32"/>
      <c r="J284" s="26"/>
      <c r="K284" s="26"/>
    </row>
    <row r="285" customFormat="false" ht="15" hidden="false" customHeight="false" outlineLevel="0" collapsed="false">
      <c r="A285" s="32"/>
      <c r="B285" s="17" t="str">
        <f aca="false">IF(A285="","",IFERROR(INDEX(Calendario!$A$4:$A$107,MATCH(A285,Calendario!$B$4:$B$107,1)),""))</f>
        <v/>
      </c>
      <c r="C285" s="17" t="str">
        <f aca="false">IF(A285="","",YEAR(A285)&amp;"-"&amp;TEXT(MONTH(A285),"00"))</f>
        <v/>
      </c>
      <c r="D285" s="26"/>
      <c r="E285" s="26"/>
      <c r="F285" s="26"/>
      <c r="G285" s="29"/>
      <c r="H285" s="26"/>
      <c r="I285" s="32"/>
      <c r="J285" s="26"/>
      <c r="K285" s="26"/>
    </row>
    <row r="286" customFormat="false" ht="15" hidden="false" customHeight="false" outlineLevel="0" collapsed="false">
      <c r="A286" s="32"/>
      <c r="B286" s="17" t="str">
        <f aca="false">IF(A286="","",IFERROR(INDEX(Calendario!$A$4:$A$107,MATCH(A286,Calendario!$B$4:$B$107,1)),""))</f>
        <v/>
      </c>
      <c r="C286" s="17" t="str">
        <f aca="false">IF(A286="","",YEAR(A286)&amp;"-"&amp;TEXT(MONTH(A286),"00"))</f>
        <v/>
      </c>
      <c r="D286" s="26"/>
      <c r="E286" s="26"/>
      <c r="F286" s="26"/>
      <c r="G286" s="29"/>
      <c r="H286" s="26"/>
      <c r="I286" s="32"/>
      <c r="J286" s="26"/>
      <c r="K286" s="26"/>
    </row>
    <row r="287" customFormat="false" ht="15" hidden="false" customHeight="false" outlineLevel="0" collapsed="false">
      <c r="A287" s="32"/>
      <c r="B287" s="17" t="str">
        <f aca="false">IF(A287="","",IFERROR(INDEX(Calendario!$A$4:$A$107,MATCH(A287,Calendario!$B$4:$B$107,1)),""))</f>
        <v/>
      </c>
      <c r="C287" s="17" t="str">
        <f aca="false">IF(A287="","",YEAR(A287)&amp;"-"&amp;TEXT(MONTH(A287),"00"))</f>
        <v/>
      </c>
      <c r="D287" s="26"/>
      <c r="E287" s="26"/>
      <c r="F287" s="26"/>
      <c r="G287" s="29"/>
      <c r="H287" s="26"/>
      <c r="I287" s="32"/>
      <c r="J287" s="26"/>
      <c r="K287" s="26"/>
    </row>
    <row r="288" customFormat="false" ht="15" hidden="false" customHeight="false" outlineLevel="0" collapsed="false">
      <c r="A288" s="32"/>
      <c r="B288" s="17" t="str">
        <f aca="false">IF(A288="","",IFERROR(INDEX(Calendario!$A$4:$A$107,MATCH(A288,Calendario!$B$4:$B$107,1)),""))</f>
        <v/>
      </c>
      <c r="C288" s="17" t="str">
        <f aca="false">IF(A288="","",YEAR(A288)&amp;"-"&amp;TEXT(MONTH(A288),"00"))</f>
        <v/>
      </c>
      <c r="D288" s="26"/>
      <c r="E288" s="26"/>
      <c r="F288" s="26"/>
      <c r="G288" s="29"/>
      <c r="H288" s="26"/>
      <c r="I288" s="32"/>
      <c r="J288" s="26"/>
      <c r="K288" s="26"/>
    </row>
    <row r="289" customFormat="false" ht="15" hidden="false" customHeight="false" outlineLevel="0" collapsed="false">
      <c r="A289" s="32"/>
      <c r="B289" s="17" t="str">
        <f aca="false">IF(A289="","",IFERROR(INDEX(Calendario!$A$4:$A$107,MATCH(A289,Calendario!$B$4:$B$107,1)),""))</f>
        <v/>
      </c>
      <c r="C289" s="17" t="str">
        <f aca="false">IF(A289="","",YEAR(A289)&amp;"-"&amp;TEXT(MONTH(A289),"00"))</f>
        <v/>
      </c>
      <c r="D289" s="26"/>
      <c r="E289" s="26"/>
      <c r="F289" s="26"/>
      <c r="G289" s="29"/>
      <c r="H289" s="26"/>
      <c r="I289" s="32"/>
      <c r="J289" s="26"/>
      <c r="K289" s="26"/>
    </row>
    <row r="290" customFormat="false" ht="15" hidden="false" customHeight="false" outlineLevel="0" collapsed="false">
      <c r="A290" s="32"/>
      <c r="B290" s="17" t="str">
        <f aca="false">IF(A290="","",IFERROR(INDEX(Calendario!$A$4:$A$107,MATCH(A290,Calendario!$B$4:$B$107,1)),""))</f>
        <v/>
      </c>
      <c r="C290" s="17" t="str">
        <f aca="false">IF(A290="","",YEAR(A290)&amp;"-"&amp;TEXT(MONTH(A290),"00"))</f>
        <v/>
      </c>
      <c r="D290" s="26"/>
      <c r="E290" s="26"/>
      <c r="F290" s="26"/>
      <c r="G290" s="29"/>
      <c r="H290" s="26"/>
      <c r="I290" s="32"/>
      <c r="J290" s="26"/>
      <c r="K290" s="26"/>
    </row>
    <row r="291" customFormat="false" ht="15" hidden="false" customHeight="false" outlineLevel="0" collapsed="false">
      <c r="A291" s="32"/>
      <c r="B291" s="17" t="str">
        <f aca="false">IF(A291="","",IFERROR(INDEX(Calendario!$A$4:$A$107,MATCH(A291,Calendario!$B$4:$B$107,1)),""))</f>
        <v/>
      </c>
      <c r="C291" s="17" t="str">
        <f aca="false">IF(A291="","",YEAR(A291)&amp;"-"&amp;TEXT(MONTH(A291),"00"))</f>
        <v/>
      </c>
      <c r="D291" s="26"/>
      <c r="E291" s="26"/>
      <c r="F291" s="26"/>
      <c r="G291" s="29"/>
      <c r="H291" s="26"/>
      <c r="I291" s="32"/>
      <c r="J291" s="26"/>
      <c r="K291" s="26"/>
    </row>
    <row r="292" customFormat="false" ht="15" hidden="false" customHeight="false" outlineLevel="0" collapsed="false">
      <c r="A292" s="32"/>
      <c r="B292" s="17" t="str">
        <f aca="false">IF(A292="","",IFERROR(INDEX(Calendario!$A$4:$A$107,MATCH(A292,Calendario!$B$4:$B$107,1)),""))</f>
        <v/>
      </c>
      <c r="C292" s="17" t="str">
        <f aca="false">IF(A292="","",YEAR(A292)&amp;"-"&amp;TEXT(MONTH(A292),"00"))</f>
        <v/>
      </c>
      <c r="D292" s="26"/>
      <c r="E292" s="26"/>
      <c r="F292" s="26"/>
      <c r="G292" s="29"/>
      <c r="H292" s="26"/>
      <c r="I292" s="32"/>
      <c r="J292" s="26"/>
      <c r="K292" s="26"/>
    </row>
    <row r="293" customFormat="false" ht="15" hidden="false" customHeight="false" outlineLevel="0" collapsed="false">
      <c r="A293" s="32"/>
      <c r="B293" s="17" t="str">
        <f aca="false">IF(A293="","",IFERROR(INDEX(Calendario!$A$4:$A$107,MATCH(A293,Calendario!$B$4:$B$107,1)),""))</f>
        <v/>
      </c>
      <c r="C293" s="17" t="str">
        <f aca="false">IF(A293="","",YEAR(A293)&amp;"-"&amp;TEXT(MONTH(A293),"00"))</f>
        <v/>
      </c>
      <c r="D293" s="26"/>
      <c r="E293" s="26"/>
      <c r="F293" s="26"/>
      <c r="G293" s="29"/>
      <c r="H293" s="26"/>
      <c r="I293" s="32"/>
      <c r="J293" s="26"/>
      <c r="K293" s="26"/>
    </row>
    <row r="294" customFormat="false" ht="15" hidden="false" customHeight="false" outlineLevel="0" collapsed="false">
      <c r="A294" s="32"/>
      <c r="B294" s="17" t="str">
        <f aca="false">IF(A294="","",IFERROR(INDEX(Calendario!$A$4:$A$107,MATCH(A294,Calendario!$B$4:$B$107,1)),""))</f>
        <v/>
      </c>
      <c r="C294" s="17" t="str">
        <f aca="false">IF(A294="","",YEAR(A294)&amp;"-"&amp;TEXT(MONTH(A294),"00"))</f>
        <v/>
      </c>
      <c r="D294" s="26"/>
      <c r="E294" s="26"/>
      <c r="F294" s="26"/>
      <c r="G294" s="29"/>
      <c r="H294" s="26"/>
      <c r="I294" s="32"/>
      <c r="J294" s="26"/>
      <c r="K294" s="26"/>
    </row>
    <row r="295" customFormat="false" ht="15" hidden="false" customHeight="false" outlineLevel="0" collapsed="false">
      <c r="A295" s="32"/>
      <c r="B295" s="17" t="str">
        <f aca="false">IF(A295="","",IFERROR(INDEX(Calendario!$A$4:$A$107,MATCH(A295,Calendario!$B$4:$B$107,1)),""))</f>
        <v/>
      </c>
      <c r="C295" s="17" t="str">
        <f aca="false">IF(A295="","",YEAR(A295)&amp;"-"&amp;TEXT(MONTH(A295),"00"))</f>
        <v/>
      </c>
      <c r="D295" s="26"/>
      <c r="E295" s="26"/>
      <c r="F295" s="26"/>
      <c r="G295" s="29"/>
      <c r="H295" s="26"/>
      <c r="I295" s="32"/>
      <c r="J295" s="26"/>
      <c r="K295" s="26"/>
    </row>
    <row r="296" customFormat="false" ht="15" hidden="false" customHeight="false" outlineLevel="0" collapsed="false">
      <c r="A296" s="32"/>
      <c r="B296" s="17" t="str">
        <f aca="false">IF(A296="","",IFERROR(INDEX(Calendario!$A$4:$A$107,MATCH(A296,Calendario!$B$4:$B$107,1)),""))</f>
        <v/>
      </c>
      <c r="C296" s="17" t="str">
        <f aca="false">IF(A296="","",YEAR(A296)&amp;"-"&amp;TEXT(MONTH(A296),"00"))</f>
        <v/>
      </c>
      <c r="D296" s="26"/>
      <c r="E296" s="26"/>
      <c r="F296" s="26"/>
      <c r="G296" s="29"/>
      <c r="H296" s="26"/>
      <c r="I296" s="32"/>
      <c r="J296" s="26"/>
      <c r="K296" s="26"/>
    </row>
    <row r="297" customFormat="false" ht="15" hidden="false" customHeight="false" outlineLevel="0" collapsed="false">
      <c r="A297" s="32"/>
      <c r="B297" s="17" t="str">
        <f aca="false">IF(A297="","",IFERROR(INDEX(Calendario!$A$4:$A$107,MATCH(A297,Calendario!$B$4:$B$107,1)),""))</f>
        <v/>
      </c>
      <c r="C297" s="17" t="str">
        <f aca="false">IF(A297="","",YEAR(A297)&amp;"-"&amp;TEXT(MONTH(A297),"00"))</f>
        <v/>
      </c>
      <c r="D297" s="26"/>
      <c r="E297" s="26"/>
      <c r="F297" s="26"/>
      <c r="G297" s="29"/>
      <c r="H297" s="26"/>
      <c r="I297" s="32"/>
      <c r="J297" s="26"/>
      <c r="K297" s="26"/>
    </row>
    <row r="298" customFormat="false" ht="15" hidden="false" customHeight="false" outlineLevel="0" collapsed="false">
      <c r="A298" s="32"/>
      <c r="B298" s="17" t="str">
        <f aca="false">IF(A298="","",IFERROR(INDEX(Calendario!$A$4:$A$107,MATCH(A298,Calendario!$B$4:$B$107,1)),""))</f>
        <v/>
      </c>
      <c r="C298" s="17" t="str">
        <f aca="false">IF(A298="","",YEAR(A298)&amp;"-"&amp;TEXT(MONTH(A298),"00"))</f>
        <v/>
      </c>
      <c r="D298" s="26"/>
      <c r="E298" s="26"/>
      <c r="F298" s="26"/>
      <c r="G298" s="29"/>
      <c r="H298" s="26"/>
      <c r="I298" s="32"/>
      <c r="J298" s="26"/>
      <c r="K298" s="26"/>
    </row>
    <row r="299" customFormat="false" ht="15" hidden="false" customHeight="false" outlineLevel="0" collapsed="false">
      <c r="A299" s="32"/>
      <c r="B299" s="17" t="str">
        <f aca="false">IF(A299="","",IFERROR(INDEX(Calendario!$A$4:$A$107,MATCH(A299,Calendario!$B$4:$B$107,1)),""))</f>
        <v/>
      </c>
      <c r="C299" s="17" t="str">
        <f aca="false">IF(A299="","",YEAR(A299)&amp;"-"&amp;TEXT(MONTH(A299),"00"))</f>
        <v/>
      </c>
      <c r="D299" s="26"/>
      <c r="E299" s="26"/>
      <c r="F299" s="26"/>
      <c r="G299" s="29"/>
      <c r="H299" s="26"/>
      <c r="I299" s="32"/>
      <c r="J299" s="26"/>
      <c r="K299" s="26"/>
    </row>
    <row r="300" customFormat="false" ht="15" hidden="false" customHeight="false" outlineLevel="0" collapsed="false">
      <c r="A300" s="32"/>
      <c r="B300" s="17" t="str">
        <f aca="false">IF(A300="","",IFERROR(INDEX(Calendario!$A$4:$A$107,MATCH(A300,Calendario!$B$4:$B$107,1)),""))</f>
        <v/>
      </c>
      <c r="C300" s="17" t="str">
        <f aca="false">IF(A300="","",YEAR(A300)&amp;"-"&amp;TEXT(MONTH(A300),"00"))</f>
        <v/>
      </c>
      <c r="D300" s="26"/>
      <c r="E300" s="26"/>
      <c r="F300" s="26"/>
      <c r="G300" s="29"/>
      <c r="H300" s="26"/>
      <c r="I300" s="32"/>
      <c r="J300" s="26"/>
      <c r="K300" s="26"/>
    </row>
    <row r="301" customFormat="false" ht="15" hidden="false" customHeight="false" outlineLevel="0" collapsed="false">
      <c r="A301" s="32"/>
      <c r="B301" s="17" t="str">
        <f aca="false">IF(A301="","",IFERROR(INDEX(Calendario!$A$4:$A$107,MATCH(A301,Calendario!$B$4:$B$107,1)),""))</f>
        <v/>
      </c>
      <c r="C301" s="17" t="str">
        <f aca="false">IF(A301="","",YEAR(A301)&amp;"-"&amp;TEXT(MONTH(A301),"00"))</f>
        <v/>
      </c>
      <c r="D301" s="26"/>
      <c r="E301" s="26"/>
      <c r="F301" s="26"/>
      <c r="G301" s="29"/>
      <c r="H301" s="26"/>
      <c r="I301" s="32"/>
      <c r="J301" s="26"/>
      <c r="K301" s="26"/>
    </row>
    <row r="302" customFormat="false" ht="15" hidden="false" customHeight="false" outlineLevel="0" collapsed="false">
      <c r="A302" s="32"/>
      <c r="B302" s="17" t="str">
        <f aca="false">IF(A302="","",IFERROR(INDEX(Calendario!$A$4:$A$107,MATCH(A302,Calendario!$B$4:$B$107,1)),""))</f>
        <v/>
      </c>
      <c r="C302" s="17" t="str">
        <f aca="false">IF(A302="","",YEAR(A302)&amp;"-"&amp;TEXT(MONTH(A302),"00"))</f>
        <v/>
      </c>
      <c r="D302" s="26"/>
      <c r="E302" s="26"/>
      <c r="F302" s="26"/>
      <c r="G302" s="29"/>
      <c r="H302" s="26"/>
      <c r="I302" s="32"/>
      <c r="J302" s="26"/>
      <c r="K302" s="26"/>
    </row>
    <row r="303" customFormat="false" ht="15" hidden="false" customHeight="false" outlineLevel="0" collapsed="false">
      <c r="A303" s="32"/>
      <c r="B303" s="17" t="str">
        <f aca="false">IF(A303="","",IFERROR(INDEX(Calendario!$A$4:$A$107,MATCH(A303,Calendario!$B$4:$B$107,1)),""))</f>
        <v/>
      </c>
      <c r="C303" s="17" t="str">
        <f aca="false">IF(A303="","",YEAR(A303)&amp;"-"&amp;TEXT(MONTH(A303),"00"))</f>
        <v/>
      </c>
      <c r="D303" s="26"/>
      <c r="E303" s="26"/>
      <c r="F303" s="26"/>
      <c r="G303" s="29"/>
      <c r="H303" s="26"/>
      <c r="I303" s="32"/>
      <c r="J303" s="26"/>
      <c r="K303" s="26"/>
    </row>
    <row r="304" customFormat="false" ht="15" hidden="false" customHeight="false" outlineLevel="0" collapsed="false">
      <c r="A304" s="32"/>
      <c r="B304" s="17" t="str">
        <f aca="false">IF(A304="","",IFERROR(INDEX(Calendario!$A$4:$A$107,MATCH(A304,Calendario!$B$4:$B$107,1)),""))</f>
        <v/>
      </c>
      <c r="C304" s="17" t="str">
        <f aca="false">IF(A304="","",YEAR(A304)&amp;"-"&amp;TEXT(MONTH(A304),"00"))</f>
        <v/>
      </c>
      <c r="D304" s="26"/>
      <c r="E304" s="26"/>
      <c r="F304" s="26"/>
      <c r="G304" s="29"/>
      <c r="H304" s="26"/>
      <c r="I304" s="32"/>
      <c r="J304" s="26"/>
      <c r="K304" s="26"/>
    </row>
    <row r="305" customFormat="false" ht="15" hidden="false" customHeight="false" outlineLevel="0" collapsed="false">
      <c r="A305" s="32"/>
      <c r="B305" s="17" t="str">
        <f aca="false">IF(A305="","",IFERROR(INDEX(Calendario!$A$4:$A$107,MATCH(A305,Calendario!$B$4:$B$107,1)),""))</f>
        <v/>
      </c>
      <c r="C305" s="17" t="str">
        <f aca="false">IF(A305="","",YEAR(A305)&amp;"-"&amp;TEXT(MONTH(A305),"00"))</f>
        <v/>
      </c>
      <c r="D305" s="26"/>
      <c r="E305" s="26"/>
      <c r="F305" s="26"/>
      <c r="G305" s="29"/>
      <c r="H305" s="26"/>
      <c r="I305" s="32"/>
      <c r="J305" s="26"/>
      <c r="K305" s="26"/>
    </row>
    <row r="306" customFormat="false" ht="15" hidden="false" customHeight="false" outlineLevel="0" collapsed="false">
      <c r="A306" s="32"/>
      <c r="B306" s="17" t="str">
        <f aca="false">IF(A306="","",IFERROR(INDEX(Calendario!$A$4:$A$107,MATCH(A306,Calendario!$B$4:$B$107,1)),""))</f>
        <v/>
      </c>
      <c r="C306" s="17" t="str">
        <f aca="false">IF(A306="","",YEAR(A306)&amp;"-"&amp;TEXT(MONTH(A306),"00"))</f>
        <v/>
      </c>
      <c r="D306" s="26"/>
      <c r="E306" s="26"/>
      <c r="F306" s="26"/>
      <c r="G306" s="29"/>
      <c r="H306" s="26"/>
      <c r="I306" s="32"/>
      <c r="J306" s="26"/>
      <c r="K306" s="26"/>
    </row>
    <row r="307" customFormat="false" ht="15" hidden="false" customHeight="false" outlineLevel="0" collapsed="false">
      <c r="A307" s="32"/>
      <c r="B307" s="17" t="str">
        <f aca="false">IF(A307="","",IFERROR(INDEX(Calendario!$A$4:$A$107,MATCH(A307,Calendario!$B$4:$B$107,1)),""))</f>
        <v/>
      </c>
      <c r="C307" s="17" t="str">
        <f aca="false">IF(A307="","",YEAR(A307)&amp;"-"&amp;TEXT(MONTH(A307),"00"))</f>
        <v/>
      </c>
      <c r="D307" s="26"/>
      <c r="E307" s="26"/>
      <c r="F307" s="26"/>
      <c r="G307" s="29"/>
      <c r="H307" s="26"/>
      <c r="I307" s="32"/>
      <c r="J307" s="26"/>
      <c r="K307" s="26"/>
    </row>
    <row r="308" customFormat="false" ht="15" hidden="false" customHeight="false" outlineLevel="0" collapsed="false">
      <c r="A308" s="32"/>
      <c r="B308" s="17" t="str">
        <f aca="false">IF(A308="","",IFERROR(INDEX(Calendario!$A$4:$A$107,MATCH(A308,Calendario!$B$4:$B$107,1)),""))</f>
        <v/>
      </c>
      <c r="C308" s="17" t="str">
        <f aca="false">IF(A308="","",YEAR(A308)&amp;"-"&amp;TEXT(MONTH(A308),"00"))</f>
        <v/>
      </c>
      <c r="D308" s="26"/>
      <c r="E308" s="26"/>
      <c r="F308" s="26"/>
      <c r="G308" s="29"/>
      <c r="H308" s="26"/>
      <c r="I308" s="32"/>
      <c r="J308" s="26"/>
      <c r="K308" s="26"/>
    </row>
    <row r="309" customFormat="false" ht="15" hidden="false" customHeight="false" outlineLevel="0" collapsed="false">
      <c r="A309" s="32"/>
      <c r="B309" s="17" t="str">
        <f aca="false">IF(A309="","",IFERROR(INDEX(Calendario!$A$4:$A$107,MATCH(A309,Calendario!$B$4:$B$107,1)),""))</f>
        <v/>
      </c>
      <c r="C309" s="17" t="str">
        <f aca="false">IF(A309="","",YEAR(A309)&amp;"-"&amp;TEXT(MONTH(A309),"00"))</f>
        <v/>
      </c>
      <c r="D309" s="26"/>
      <c r="E309" s="26"/>
      <c r="F309" s="26"/>
      <c r="G309" s="29"/>
      <c r="H309" s="26"/>
      <c r="I309" s="32"/>
      <c r="J309" s="26"/>
      <c r="K309" s="26"/>
    </row>
    <row r="310" customFormat="false" ht="15" hidden="false" customHeight="false" outlineLevel="0" collapsed="false">
      <c r="A310" s="32"/>
      <c r="B310" s="17" t="str">
        <f aca="false">IF(A310="","",IFERROR(INDEX(Calendario!$A$4:$A$107,MATCH(A310,Calendario!$B$4:$B$107,1)),""))</f>
        <v/>
      </c>
      <c r="C310" s="17" t="str">
        <f aca="false">IF(A310="","",YEAR(A310)&amp;"-"&amp;TEXT(MONTH(A310),"00"))</f>
        <v/>
      </c>
      <c r="D310" s="26"/>
      <c r="E310" s="26"/>
      <c r="F310" s="26"/>
      <c r="G310" s="29"/>
      <c r="H310" s="26"/>
      <c r="I310" s="32"/>
      <c r="J310" s="26"/>
      <c r="K310" s="26"/>
    </row>
    <row r="311" customFormat="false" ht="15" hidden="false" customHeight="false" outlineLevel="0" collapsed="false">
      <c r="A311" s="32"/>
      <c r="B311" s="17" t="str">
        <f aca="false">IF(A311="","",IFERROR(INDEX(Calendario!$A$4:$A$107,MATCH(A311,Calendario!$B$4:$B$107,1)),""))</f>
        <v/>
      </c>
      <c r="C311" s="17" t="str">
        <f aca="false">IF(A311="","",YEAR(A311)&amp;"-"&amp;TEXT(MONTH(A311),"00"))</f>
        <v/>
      </c>
      <c r="D311" s="26"/>
      <c r="E311" s="26"/>
      <c r="F311" s="26"/>
      <c r="G311" s="29"/>
      <c r="H311" s="26"/>
      <c r="I311" s="32"/>
      <c r="J311" s="26"/>
      <c r="K311" s="26"/>
    </row>
    <row r="312" customFormat="false" ht="15" hidden="false" customHeight="false" outlineLevel="0" collapsed="false">
      <c r="A312" s="32"/>
      <c r="B312" s="17" t="str">
        <f aca="false">IF(A312="","",IFERROR(INDEX(Calendario!$A$4:$A$107,MATCH(A312,Calendario!$B$4:$B$107,1)),""))</f>
        <v/>
      </c>
      <c r="C312" s="17" t="str">
        <f aca="false">IF(A312="","",YEAR(A312)&amp;"-"&amp;TEXT(MONTH(A312),"00"))</f>
        <v/>
      </c>
      <c r="D312" s="26"/>
      <c r="E312" s="26"/>
      <c r="F312" s="26"/>
      <c r="G312" s="29"/>
      <c r="H312" s="26"/>
      <c r="I312" s="32"/>
      <c r="J312" s="26"/>
      <c r="K312" s="26"/>
    </row>
    <row r="313" customFormat="false" ht="15" hidden="false" customHeight="false" outlineLevel="0" collapsed="false">
      <c r="A313" s="32"/>
      <c r="B313" s="17" t="str">
        <f aca="false">IF(A313="","",IFERROR(INDEX(Calendario!$A$4:$A$107,MATCH(A313,Calendario!$B$4:$B$107,1)),""))</f>
        <v/>
      </c>
      <c r="C313" s="17" t="str">
        <f aca="false">IF(A313="","",YEAR(A313)&amp;"-"&amp;TEXT(MONTH(A313),"00"))</f>
        <v/>
      </c>
      <c r="D313" s="26"/>
      <c r="E313" s="26"/>
      <c r="F313" s="26"/>
      <c r="G313" s="29"/>
      <c r="H313" s="26"/>
      <c r="I313" s="32"/>
      <c r="J313" s="26"/>
      <c r="K313" s="26"/>
    </row>
    <row r="314" customFormat="false" ht="15" hidden="false" customHeight="false" outlineLevel="0" collapsed="false">
      <c r="A314" s="32"/>
      <c r="B314" s="17" t="str">
        <f aca="false">IF(A314="","",IFERROR(INDEX(Calendario!$A$4:$A$107,MATCH(A314,Calendario!$B$4:$B$107,1)),""))</f>
        <v/>
      </c>
      <c r="C314" s="17" t="str">
        <f aca="false">IF(A314="","",YEAR(A314)&amp;"-"&amp;TEXT(MONTH(A314),"00"))</f>
        <v/>
      </c>
      <c r="D314" s="26"/>
      <c r="E314" s="26"/>
      <c r="F314" s="26"/>
      <c r="G314" s="29"/>
      <c r="H314" s="26"/>
      <c r="I314" s="32"/>
      <c r="J314" s="26"/>
      <c r="K314" s="26"/>
    </row>
    <row r="315" customFormat="false" ht="15" hidden="false" customHeight="false" outlineLevel="0" collapsed="false">
      <c r="A315" s="32"/>
      <c r="B315" s="17" t="str">
        <f aca="false">IF(A315="","",IFERROR(INDEX(Calendario!$A$4:$A$107,MATCH(A315,Calendario!$B$4:$B$107,1)),""))</f>
        <v/>
      </c>
      <c r="C315" s="17" t="str">
        <f aca="false">IF(A315="","",YEAR(A315)&amp;"-"&amp;TEXT(MONTH(A315),"00"))</f>
        <v/>
      </c>
      <c r="D315" s="26"/>
      <c r="E315" s="26"/>
      <c r="F315" s="26"/>
      <c r="G315" s="29"/>
      <c r="H315" s="26"/>
      <c r="I315" s="32"/>
      <c r="J315" s="26"/>
      <c r="K315" s="26"/>
    </row>
    <row r="316" customFormat="false" ht="15" hidden="false" customHeight="false" outlineLevel="0" collapsed="false">
      <c r="A316" s="32"/>
      <c r="B316" s="17" t="str">
        <f aca="false">IF(A316="","",IFERROR(INDEX(Calendario!$A$4:$A$107,MATCH(A316,Calendario!$B$4:$B$107,1)),""))</f>
        <v/>
      </c>
      <c r="C316" s="17" t="str">
        <f aca="false">IF(A316="","",YEAR(A316)&amp;"-"&amp;TEXT(MONTH(A316),"00"))</f>
        <v/>
      </c>
      <c r="D316" s="26"/>
      <c r="E316" s="26"/>
      <c r="F316" s="26"/>
      <c r="G316" s="29"/>
      <c r="H316" s="26"/>
      <c r="I316" s="32"/>
      <c r="J316" s="26"/>
      <c r="K316" s="26"/>
    </row>
    <row r="317" customFormat="false" ht="15" hidden="false" customHeight="false" outlineLevel="0" collapsed="false">
      <c r="A317" s="32"/>
      <c r="B317" s="17" t="str">
        <f aca="false">IF(A317="","",IFERROR(INDEX(Calendario!$A$4:$A$107,MATCH(A317,Calendario!$B$4:$B$107,1)),""))</f>
        <v/>
      </c>
      <c r="C317" s="17" t="str">
        <f aca="false">IF(A317="","",YEAR(A317)&amp;"-"&amp;TEXT(MONTH(A317),"00"))</f>
        <v/>
      </c>
      <c r="D317" s="26"/>
      <c r="E317" s="26"/>
      <c r="F317" s="26"/>
      <c r="G317" s="29"/>
      <c r="H317" s="26"/>
      <c r="I317" s="32"/>
      <c r="J317" s="26"/>
      <c r="K317" s="26"/>
    </row>
    <row r="318" customFormat="false" ht="15" hidden="false" customHeight="false" outlineLevel="0" collapsed="false">
      <c r="A318" s="32"/>
      <c r="B318" s="17" t="str">
        <f aca="false">IF(A318="","",IFERROR(INDEX(Calendario!$A$4:$A$107,MATCH(A318,Calendario!$B$4:$B$107,1)),""))</f>
        <v/>
      </c>
      <c r="C318" s="17" t="str">
        <f aca="false">IF(A318="","",YEAR(A318)&amp;"-"&amp;TEXT(MONTH(A318),"00"))</f>
        <v/>
      </c>
      <c r="D318" s="26"/>
      <c r="E318" s="26"/>
      <c r="F318" s="26"/>
      <c r="G318" s="29"/>
      <c r="H318" s="26"/>
      <c r="I318" s="32"/>
      <c r="J318" s="26"/>
      <c r="K318" s="26"/>
    </row>
    <row r="319" customFormat="false" ht="15" hidden="false" customHeight="false" outlineLevel="0" collapsed="false">
      <c r="A319" s="32"/>
      <c r="B319" s="17" t="str">
        <f aca="false">IF(A319="","",IFERROR(INDEX(Calendario!$A$4:$A$107,MATCH(A319,Calendario!$B$4:$B$107,1)),""))</f>
        <v/>
      </c>
      <c r="C319" s="17" t="str">
        <f aca="false">IF(A319="","",YEAR(A319)&amp;"-"&amp;TEXT(MONTH(A319),"00"))</f>
        <v/>
      </c>
      <c r="D319" s="26"/>
      <c r="E319" s="26"/>
      <c r="F319" s="26"/>
      <c r="G319" s="29"/>
      <c r="H319" s="26"/>
      <c r="I319" s="32"/>
      <c r="J319" s="26"/>
      <c r="K319" s="26"/>
    </row>
    <row r="320" customFormat="false" ht="15" hidden="false" customHeight="false" outlineLevel="0" collapsed="false">
      <c r="A320" s="32"/>
      <c r="B320" s="17" t="str">
        <f aca="false">IF(A320="","",IFERROR(INDEX(Calendario!$A$4:$A$107,MATCH(A320,Calendario!$B$4:$B$107,1)),""))</f>
        <v/>
      </c>
      <c r="C320" s="17" t="str">
        <f aca="false">IF(A320="","",YEAR(A320)&amp;"-"&amp;TEXT(MONTH(A320),"00"))</f>
        <v/>
      </c>
      <c r="D320" s="26"/>
      <c r="E320" s="26"/>
      <c r="F320" s="26"/>
      <c r="G320" s="29"/>
      <c r="H320" s="26"/>
      <c r="I320" s="32"/>
      <c r="J320" s="26"/>
      <c r="K320" s="26"/>
    </row>
    <row r="321" customFormat="false" ht="15" hidden="false" customHeight="false" outlineLevel="0" collapsed="false">
      <c r="A321" s="32"/>
      <c r="B321" s="17" t="str">
        <f aca="false">IF(A321="","",IFERROR(INDEX(Calendario!$A$4:$A$107,MATCH(A321,Calendario!$B$4:$B$107,1)),""))</f>
        <v/>
      </c>
      <c r="C321" s="17" t="str">
        <f aca="false">IF(A321="","",YEAR(A321)&amp;"-"&amp;TEXT(MONTH(A321),"00"))</f>
        <v/>
      </c>
      <c r="D321" s="26"/>
      <c r="E321" s="26"/>
      <c r="F321" s="26"/>
      <c r="G321" s="29"/>
      <c r="H321" s="26"/>
      <c r="I321" s="32"/>
      <c r="J321" s="26"/>
      <c r="K321" s="26"/>
    </row>
    <row r="322" customFormat="false" ht="15" hidden="false" customHeight="false" outlineLevel="0" collapsed="false">
      <c r="A322" s="32"/>
      <c r="B322" s="17" t="str">
        <f aca="false">IF(A322="","",IFERROR(INDEX(Calendario!$A$4:$A$107,MATCH(A322,Calendario!$B$4:$B$107,1)),""))</f>
        <v/>
      </c>
      <c r="C322" s="17" t="str">
        <f aca="false">IF(A322="","",YEAR(A322)&amp;"-"&amp;TEXT(MONTH(A322),"00"))</f>
        <v/>
      </c>
      <c r="D322" s="26"/>
      <c r="E322" s="26"/>
      <c r="F322" s="26"/>
      <c r="G322" s="29"/>
      <c r="H322" s="26"/>
      <c r="I322" s="32"/>
      <c r="J322" s="26"/>
      <c r="K322" s="26"/>
    </row>
    <row r="323" customFormat="false" ht="15" hidden="false" customHeight="false" outlineLevel="0" collapsed="false">
      <c r="A323" s="32"/>
      <c r="B323" s="17" t="str">
        <f aca="false">IF(A323="","",IFERROR(INDEX(Calendario!$A$4:$A$107,MATCH(A323,Calendario!$B$4:$B$107,1)),""))</f>
        <v/>
      </c>
      <c r="C323" s="17" t="str">
        <f aca="false">IF(A323="","",YEAR(A323)&amp;"-"&amp;TEXT(MONTH(A323),"00"))</f>
        <v/>
      </c>
      <c r="D323" s="26"/>
      <c r="E323" s="26"/>
      <c r="F323" s="26"/>
      <c r="G323" s="29"/>
      <c r="H323" s="26"/>
      <c r="I323" s="32"/>
      <c r="J323" s="26"/>
      <c r="K323" s="26"/>
    </row>
    <row r="324" customFormat="false" ht="15" hidden="false" customHeight="false" outlineLevel="0" collapsed="false">
      <c r="A324" s="32"/>
      <c r="B324" s="17" t="str">
        <f aca="false">IF(A324="","",IFERROR(INDEX(Calendario!$A$4:$A$107,MATCH(A324,Calendario!$B$4:$B$107,1)),""))</f>
        <v/>
      </c>
      <c r="C324" s="17" t="str">
        <f aca="false">IF(A324="","",YEAR(A324)&amp;"-"&amp;TEXT(MONTH(A324),"00"))</f>
        <v/>
      </c>
      <c r="D324" s="26"/>
      <c r="E324" s="26"/>
      <c r="F324" s="26"/>
      <c r="G324" s="29"/>
      <c r="H324" s="26"/>
      <c r="I324" s="32"/>
      <c r="J324" s="26"/>
      <c r="K324" s="26"/>
    </row>
    <row r="325" customFormat="false" ht="15" hidden="false" customHeight="false" outlineLevel="0" collapsed="false">
      <c r="A325" s="32"/>
      <c r="B325" s="17" t="str">
        <f aca="false">IF(A325="","",IFERROR(INDEX(Calendario!$A$4:$A$107,MATCH(A325,Calendario!$B$4:$B$107,1)),""))</f>
        <v/>
      </c>
      <c r="C325" s="17" t="str">
        <f aca="false">IF(A325="","",YEAR(A325)&amp;"-"&amp;TEXT(MONTH(A325),"00"))</f>
        <v/>
      </c>
      <c r="D325" s="26"/>
      <c r="E325" s="26"/>
      <c r="F325" s="26"/>
      <c r="G325" s="29"/>
      <c r="H325" s="26"/>
      <c r="I325" s="32"/>
      <c r="J325" s="26"/>
      <c r="K325" s="26"/>
    </row>
    <row r="326" customFormat="false" ht="15" hidden="false" customHeight="false" outlineLevel="0" collapsed="false">
      <c r="A326" s="32"/>
      <c r="B326" s="17" t="str">
        <f aca="false">IF(A326="","",IFERROR(INDEX(Calendario!$A$4:$A$107,MATCH(A326,Calendario!$B$4:$B$107,1)),""))</f>
        <v/>
      </c>
      <c r="C326" s="17" t="str">
        <f aca="false">IF(A326="","",YEAR(A326)&amp;"-"&amp;TEXT(MONTH(A326),"00"))</f>
        <v/>
      </c>
      <c r="D326" s="26"/>
      <c r="E326" s="26"/>
      <c r="F326" s="26"/>
      <c r="G326" s="29"/>
      <c r="H326" s="26"/>
      <c r="I326" s="32"/>
      <c r="J326" s="26"/>
      <c r="K326" s="26"/>
    </row>
    <row r="327" customFormat="false" ht="15" hidden="false" customHeight="false" outlineLevel="0" collapsed="false">
      <c r="A327" s="32"/>
      <c r="B327" s="17" t="str">
        <f aca="false">IF(A327="","",IFERROR(INDEX(Calendario!$A$4:$A$107,MATCH(A327,Calendario!$B$4:$B$107,1)),""))</f>
        <v/>
      </c>
      <c r="C327" s="17" t="str">
        <f aca="false">IF(A327="","",YEAR(A327)&amp;"-"&amp;TEXT(MONTH(A327),"00"))</f>
        <v/>
      </c>
      <c r="D327" s="26"/>
      <c r="E327" s="26"/>
      <c r="F327" s="26"/>
      <c r="G327" s="29"/>
      <c r="H327" s="26"/>
      <c r="I327" s="32"/>
      <c r="J327" s="26"/>
      <c r="K327" s="26"/>
    </row>
    <row r="328" customFormat="false" ht="15" hidden="false" customHeight="false" outlineLevel="0" collapsed="false">
      <c r="A328" s="32"/>
      <c r="B328" s="17" t="str">
        <f aca="false">IF(A328="","",IFERROR(INDEX(Calendario!$A$4:$A$107,MATCH(A328,Calendario!$B$4:$B$107,1)),""))</f>
        <v/>
      </c>
      <c r="C328" s="17" t="str">
        <f aca="false">IF(A328="","",YEAR(A328)&amp;"-"&amp;TEXT(MONTH(A328),"00"))</f>
        <v/>
      </c>
      <c r="D328" s="26"/>
      <c r="E328" s="26"/>
      <c r="F328" s="26"/>
      <c r="G328" s="29"/>
      <c r="H328" s="26"/>
      <c r="I328" s="32"/>
      <c r="J328" s="26"/>
      <c r="K328" s="26"/>
    </row>
    <row r="329" customFormat="false" ht="15" hidden="false" customHeight="false" outlineLevel="0" collapsed="false">
      <c r="A329" s="32"/>
      <c r="B329" s="17" t="str">
        <f aca="false">IF(A329="","",IFERROR(INDEX(Calendario!$A$4:$A$107,MATCH(A329,Calendario!$B$4:$B$107,1)),""))</f>
        <v/>
      </c>
      <c r="C329" s="17" t="str">
        <f aca="false">IF(A329="","",YEAR(A329)&amp;"-"&amp;TEXT(MONTH(A329),"00"))</f>
        <v/>
      </c>
      <c r="D329" s="26"/>
      <c r="E329" s="26"/>
      <c r="F329" s="26"/>
      <c r="G329" s="29"/>
      <c r="H329" s="26"/>
      <c r="I329" s="32"/>
      <c r="J329" s="26"/>
      <c r="K329" s="26"/>
    </row>
    <row r="330" customFormat="false" ht="15" hidden="false" customHeight="false" outlineLevel="0" collapsed="false">
      <c r="A330" s="32"/>
      <c r="B330" s="17" t="str">
        <f aca="false">IF(A330="","",IFERROR(INDEX(Calendario!$A$4:$A$107,MATCH(A330,Calendario!$B$4:$B$107,1)),""))</f>
        <v/>
      </c>
      <c r="C330" s="17" t="str">
        <f aca="false">IF(A330="","",YEAR(A330)&amp;"-"&amp;TEXT(MONTH(A330),"00"))</f>
        <v/>
      </c>
      <c r="D330" s="26"/>
      <c r="E330" s="26"/>
      <c r="F330" s="26"/>
      <c r="G330" s="29"/>
      <c r="H330" s="26"/>
      <c r="I330" s="32"/>
      <c r="J330" s="26"/>
      <c r="K330" s="26"/>
    </row>
    <row r="331" customFormat="false" ht="15" hidden="false" customHeight="false" outlineLevel="0" collapsed="false">
      <c r="A331" s="32"/>
      <c r="B331" s="17" t="str">
        <f aca="false">IF(A331="","",IFERROR(INDEX(Calendario!$A$4:$A$107,MATCH(A331,Calendario!$B$4:$B$107,1)),""))</f>
        <v/>
      </c>
      <c r="C331" s="17" t="str">
        <f aca="false">IF(A331="","",YEAR(A331)&amp;"-"&amp;TEXT(MONTH(A331),"00"))</f>
        <v/>
      </c>
      <c r="D331" s="26"/>
      <c r="E331" s="26"/>
      <c r="F331" s="26"/>
      <c r="G331" s="29"/>
      <c r="H331" s="26"/>
      <c r="I331" s="32"/>
      <c r="J331" s="26"/>
      <c r="K331" s="26"/>
    </row>
    <row r="332" customFormat="false" ht="15" hidden="false" customHeight="false" outlineLevel="0" collapsed="false">
      <c r="A332" s="32"/>
      <c r="B332" s="17" t="str">
        <f aca="false">IF(A332="","",IFERROR(INDEX(Calendario!$A$4:$A$107,MATCH(A332,Calendario!$B$4:$B$107,1)),""))</f>
        <v/>
      </c>
      <c r="C332" s="17" t="str">
        <f aca="false">IF(A332="","",YEAR(A332)&amp;"-"&amp;TEXT(MONTH(A332),"00"))</f>
        <v/>
      </c>
      <c r="D332" s="26"/>
      <c r="E332" s="26"/>
      <c r="F332" s="26"/>
      <c r="G332" s="29"/>
      <c r="H332" s="26"/>
      <c r="I332" s="32"/>
      <c r="J332" s="26"/>
      <c r="K332" s="26"/>
    </row>
    <row r="333" customFormat="false" ht="15" hidden="false" customHeight="false" outlineLevel="0" collapsed="false">
      <c r="A333" s="32"/>
      <c r="B333" s="17" t="str">
        <f aca="false">IF(A333="","",IFERROR(INDEX(Calendario!$A$4:$A$107,MATCH(A333,Calendario!$B$4:$B$107,1)),""))</f>
        <v/>
      </c>
      <c r="C333" s="17" t="str">
        <f aca="false">IF(A333="","",YEAR(A333)&amp;"-"&amp;TEXT(MONTH(A333),"00"))</f>
        <v/>
      </c>
      <c r="D333" s="26"/>
      <c r="E333" s="26"/>
      <c r="F333" s="26"/>
      <c r="G333" s="29"/>
      <c r="H333" s="26"/>
      <c r="I333" s="32"/>
      <c r="J333" s="26"/>
      <c r="K333" s="26"/>
    </row>
    <row r="334" customFormat="false" ht="15" hidden="false" customHeight="false" outlineLevel="0" collapsed="false">
      <c r="A334" s="32"/>
      <c r="B334" s="17" t="str">
        <f aca="false">IF(A334="","",IFERROR(INDEX(Calendario!$A$4:$A$107,MATCH(A334,Calendario!$B$4:$B$107,1)),""))</f>
        <v/>
      </c>
      <c r="C334" s="17" t="str">
        <f aca="false">IF(A334="","",YEAR(A334)&amp;"-"&amp;TEXT(MONTH(A334),"00"))</f>
        <v/>
      </c>
      <c r="D334" s="26"/>
      <c r="E334" s="26"/>
      <c r="F334" s="26"/>
      <c r="G334" s="29"/>
      <c r="H334" s="26"/>
      <c r="I334" s="32"/>
      <c r="J334" s="26"/>
      <c r="K334" s="26"/>
    </row>
    <row r="335" customFormat="false" ht="15" hidden="false" customHeight="false" outlineLevel="0" collapsed="false">
      <c r="A335" s="32"/>
      <c r="B335" s="17" t="str">
        <f aca="false">IF(A335="","",IFERROR(INDEX(Calendario!$A$4:$A$107,MATCH(A335,Calendario!$B$4:$B$107,1)),""))</f>
        <v/>
      </c>
      <c r="C335" s="17" t="str">
        <f aca="false">IF(A335="","",YEAR(A335)&amp;"-"&amp;TEXT(MONTH(A335),"00"))</f>
        <v/>
      </c>
      <c r="D335" s="26"/>
      <c r="E335" s="26"/>
      <c r="F335" s="26"/>
      <c r="G335" s="29"/>
      <c r="H335" s="26"/>
      <c r="I335" s="32"/>
      <c r="J335" s="26"/>
      <c r="K335" s="26"/>
    </row>
    <row r="336" customFormat="false" ht="15" hidden="false" customHeight="false" outlineLevel="0" collapsed="false">
      <c r="A336" s="32"/>
      <c r="B336" s="17" t="str">
        <f aca="false">IF(A336="","",IFERROR(INDEX(Calendario!$A$4:$A$107,MATCH(A336,Calendario!$B$4:$B$107,1)),""))</f>
        <v/>
      </c>
      <c r="C336" s="17" t="str">
        <f aca="false">IF(A336="","",YEAR(A336)&amp;"-"&amp;TEXT(MONTH(A336),"00"))</f>
        <v/>
      </c>
      <c r="D336" s="26"/>
      <c r="E336" s="26"/>
      <c r="F336" s="26"/>
      <c r="G336" s="29"/>
      <c r="H336" s="26"/>
      <c r="I336" s="32"/>
      <c r="J336" s="26"/>
      <c r="K336" s="26"/>
    </row>
    <row r="337" customFormat="false" ht="15" hidden="false" customHeight="false" outlineLevel="0" collapsed="false">
      <c r="A337" s="32"/>
      <c r="B337" s="17" t="str">
        <f aca="false">IF(A337="","",IFERROR(INDEX(Calendario!$A$4:$A$107,MATCH(A337,Calendario!$B$4:$B$107,1)),""))</f>
        <v/>
      </c>
      <c r="C337" s="17" t="str">
        <f aca="false">IF(A337="","",YEAR(A337)&amp;"-"&amp;TEXT(MONTH(A337),"00"))</f>
        <v/>
      </c>
      <c r="D337" s="26"/>
      <c r="E337" s="26"/>
      <c r="F337" s="26"/>
      <c r="G337" s="29"/>
      <c r="H337" s="26"/>
      <c r="I337" s="32"/>
      <c r="J337" s="26"/>
      <c r="K337" s="26"/>
    </row>
    <row r="338" customFormat="false" ht="15" hidden="false" customHeight="false" outlineLevel="0" collapsed="false">
      <c r="A338" s="32"/>
      <c r="B338" s="17" t="str">
        <f aca="false">IF(A338="","",IFERROR(INDEX(Calendario!$A$4:$A$107,MATCH(A338,Calendario!$B$4:$B$107,1)),""))</f>
        <v/>
      </c>
      <c r="C338" s="17" t="str">
        <f aca="false">IF(A338="","",YEAR(A338)&amp;"-"&amp;TEXT(MONTH(A338),"00"))</f>
        <v/>
      </c>
      <c r="D338" s="26"/>
      <c r="E338" s="26"/>
      <c r="F338" s="26"/>
      <c r="G338" s="29"/>
      <c r="H338" s="26"/>
      <c r="I338" s="32"/>
      <c r="J338" s="26"/>
      <c r="K338" s="26"/>
    </row>
    <row r="339" customFormat="false" ht="15" hidden="false" customHeight="false" outlineLevel="0" collapsed="false">
      <c r="A339" s="32"/>
      <c r="B339" s="17" t="str">
        <f aca="false">IF(A339="","",IFERROR(INDEX(Calendario!$A$4:$A$107,MATCH(A339,Calendario!$B$4:$B$107,1)),""))</f>
        <v/>
      </c>
      <c r="C339" s="17" t="str">
        <f aca="false">IF(A339="","",YEAR(A339)&amp;"-"&amp;TEXT(MONTH(A339),"00"))</f>
        <v/>
      </c>
      <c r="D339" s="26"/>
      <c r="E339" s="26"/>
      <c r="F339" s="26"/>
      <c r="G339" s="29"/>
      <c r="H339" s="26"/>
      <c r="I339" s="32"/>
      <c r="J339" s="26"/>
      <c r="K339" s="26"/>
    </row>
    <row r="340" customFormat="false" ht="15" hidden="false" customHeight="false" outlineLevel="0" collapsed="false">
      <c r="A340" s="32"/>
      <c r="B340" s="17" t="str">
        <f aca="false">IF(A340="","",IFERROR(INDEX(Calendario!$A$4:$A$107,MATCH(A340,Calendario!$B$4:$B$107,1)),""))</f>
        <v/>
      </c>
      <c r="C340" s="17" t="str">
        <f aca="false">IF(A340="","",YEAR(A340)&amp;"-"&amp;TEXT(MONTH(A340),"00"))</f>
        <v/>
      </c>
      <c r="D340" s="26"/>
      <c r="E340" s="26"/>
      <c r="F340" s="26"/>
      <c r="G340" s="29"/>
      <c r="H340" s="26"/>
      <c r="I340" s="32"/>
      <c r="J340" s="26"/>
      <c r="K340" s="26"/>
    </row>
    <row r="341" customFormat="false" ht="15" hidden="false" customHeight="false" outlineLevel="0" collapsed="false">
      <c r="A341" s="32"/>
      <c r="B341" s="17" t="str">
        <f aca="false">IF(A341="","",IFERROR(INDEX(Calendario!$A$4:$A$107,MATCH(A341,Calendario!$B$4:$B$107,1)),""))</f>
        <v/>
      </c>
      <c r="C341" s="17" t="str">
        <f aca="false">IF(A341="","",YEAR(A341)&amp;"-"&amp;TEXT(MONTH(A341),"00"))</f>
        <v/>
      </c>
      <c r="D341" s="26"/>
      <c r="E341" s="26"/>
      <c r="F341" s="26"/>
      <c r="G341" s="29"/>
      <c r="H341" s="26"/>
      <c r="I341" s="32"/>
      <c r="J341" s="26"/>
      <c r="K341" s="26"/>
    </row>
    <row r="342" customFormat="false" ht="15" hidden="false" customHeight="false" outlineLevel="0" collapsed="false">
      <c r="A342" s="32"/>
      <c r="B342" s="17" t="str">
        <f aca="false">IF(A342="","",IFERROR(INDEX(Calendario!$A$4:$A$107,MATCH(A342,Calendario!$B$4:$B$107,1)),""))</f>
        <v/>
      </c>
      <c r="C342" s="17" t="str">
        <f aca="false">IF(A342="","",YEAR(A342)&amp;"-"&amp;TEXT(MONTH(A342),"00"))</f>
        <v/>
      </c>
      <c r="D342" s="26"/>
      <c r="E342" s="26"/>
      <c r="F342" s="26"/>
      <c r="G342" s="29"/>
      <c r="H342" s="26"/>
      <c r="I342" s="32"/>
      <c r="J342" s="26"/>
      <c r="K342" s="26"/>
    </row>
    <row r="343" customFormat="false" ht="15" hidden="false" customHeight="false" outlineLevel="0" collapsed="false">
      <c r="A343" s="32"/>
      <c r="B343" s="17" t="str">
        <f aca="false">IF(A343="","",IFERROR(INDEX(Calendario!$A$4:$A$107,MATCH(A343,Calendario!$B$4:$B$107,1)),""))</f>
        <v/>
      </c>
      <c r="C343" s="17" t="str">
        <f aca="false">IF(A343="","",YEAR(A343)&amp;"-"&amp;TEXT(MONTH(A343),"00"))</f>
        <v/>
      </c>
      <c r="D343" s="26"/>
      <c r="E343" s="26"/>
      <c r="F343" s="26"/>
      <c r="G343" s="29"/>
      <c r="H343" s="26"/>
      <c r="I343" s="32"/>
      <c r="J343" s="26"/>
      <c r="K343" s="26"/>
    </row>
    <row r="344" customFormat="false" ht="15" hidden="false" customHeight="false" outlineLevel="0" collapsed="false">
      <c r="A344" s="32"/>
      <c r="B344" s="17" t="str">
        <f aca="false">IF(A344="","",IFERROR(INDEX(Calendario!$A$4:$A$107,MATCH(A344,Calendario!$B$4:$B$107,1)),""))</f>
        <v/>
      </c>
      <c r="C344" s="17" t="str">
        <f aca="false">IF(A344="","",YEAR(A344)&amp;"-"&amp;TEXT(MONTH(A344),"00"))</f>
        <v/>
      </c>
      <c r="D344" s="26"/>
      <c r="E344" s="26"/>
      <c r="F344" s="26"/>
      <c r="G344" s="29"/>
      <c r="H344" s="26"/>
      <c r="I344" s="32"/>
      <c r="J344" s="26"/>
      <c r="K344" s="26"/>
    </row>
    <row r="345" customFormat="false" ht="15" hidden="false" customHeight="false" outlineLevel="0" collapsed="false">
      <c r="A345" s="32"/>
      <c r="B345" s="17" t="str">
        <f aca="false">IF(A345="","",IFERROR(INDEX(Calendario!$A$4:$A$107,MATCH(A345,Calendario!$B$4:$B$107,1)),""))</f>
        <v/>
      </c>
      <c r="C345" s="17" t="str">
        <f aca="false">IF(A345="","",YEAR(A345)&amp;"-"&amp;TEXT(MONTH(A345),"00"))</f>
        <v/>
      </c>
      <c r="D345" s="26"/>
      <c r="E345" s="26"/>
      <c r="F345" s="26"/>
      <c r="G345" s="29"/>
      <c r="H345" s="26"/>
      <c r="I345" s="32"/>
      <c r="J345" s="26"/>
      <c r="K345" s="26"/>
    </row>
    <row r="346" customFormat="false" ht="15" hidden="false" customHeight="false" outlineLevel="0" collapsed="false">
      <c r="A346" s="32"/>
      <c r="B346" s="17" t="str">
        <f aca="false">IF(A346="","",IFERROR(INDEX(Calendario!$A$4:$A$107,MATCH(A346,Calendario!$B$4:$B$107,1)),""))</f>
        <v/>
      </c>
      <c r="C346" s="17" t="str">
        <f aca="false">IF(A346="","",YEAR(A346)&amp;"-"&amp;TEXT(MONTH(A346),"00"))</f>
        <v/>
      </c>
      <c r="D346" s="26"/>
      <c r="E346" s="26"/>
      <c r="F346" s="26"/>
      <c r="G346" s="29"/>
      <c r="H346" s="26"/>
      <c r="I346" s="32"/>
      <c r="J346" s="26"/>
      <c r="K346" s="26"/>
    </row>
    <row r="347" customFormat="false" ht="15" hidden="false" customHeight="false" outlineLevel="0" collapsed="false">
      <c r="A347" s="32"/>
      <c r="B347" s="17" t="str">
        <f aca="false">IF(A347="","",IFERROR(INDEX(Calendario!$A$4:$A$107,MATCH(A347,Calendario!$B$4:$B$107,1)),""))</f>
        <v/>
      </c>
      <c r="C347" s="17" t="str">
        <f aca="false">IF(A347="","",YEAR(A347)&amp;"-"&amp;TEXT(MONTH(A347),"00"))</f>
        <v/>
      </c>
      <c r="D347" s="26"/>
      <c r="E347" s="26"/>
      <c r="F347" s="26"/>
      <c r="G347" s="29"/>
      <c r="H347" s="26"/>
      <c r="I347" s="32"/>
      <c r="J347" s="26"/>
      <c r="K347" s="26"/>
    </row>
    <row r="348" customFormat="false" ht="15" hidden="false" customHeight="false" outlineLevel="0" collapsed="false">
      <c r="A348" s="32"/>
      <c r="B348" s="17" t="str">
        <f aca="false">IF(A348="","",IFERROR(INDEX(Calendario!$A$4:$A$107,MATCH(A348,Calendario!$B$4:$B$107,1)),""))</f>
        <v/>
      </c>
      <c r="C348" s="17" t="str">
        <f aca="false">IF(A348="","",YEAR(A348)&amp;"-"&amp;TEXT(MONTH(A348),"00"))</f>
        <v/>
      </c>
      <c r="D348" s="26"/>
      <c r="E348" s="26"/>
      <c r="F348" s="26"/>
      <c r="G348" s="29"/>
      <c r="H348" s="26"/>
      <c r="I348" s="32"/>
      <c r="J348" s="26"/>
      <c r="K348" s="26"/>
    </row>
    <row r="349" customFormat="false" ht="15" hidden="false" customHeight="false" outlineLevel="0" collapsed="false">
      <c r="A349" s="32"/>
      <c r="B349" s="17" t="str">
        <f aca="false">IF(A349="","",IFERROR(INDEX(Calendario!$A$4:$A$107,MATCH(A349,Calendario!$B$4:$B$107,1)),""))</f>
        <v/>
      </c>
      <c r="C349" s="17" t="str">
        <f aca="false">IF(A349="","",YEAR(A349)&amp;"-"&amp;TEXT(MONTH(A349),"00"))</f>
        <v/>
      </c>
      <c r="D349" s="26"/>
      <c r="E349" s="26"/>
      <c r="F349" s="26"/>
      <c r="G349" s="29"/>
      <c r="H349" s="26"/>
      <c r="I349" s="32"/>
      <c r="J349" s="26"/>
      <c r="K349" s="26"/>
    </row>
    <row r="350" customFormat="false" ht="15" hidden="false" customHeight="false" outlineLevel="0" collapsed="false">
      <c r="A350" s="32"/>
      <c r="B350" s="17" t="str">
        <f aca="false">IF(A350="","",IFERROR(INDEX(Calendario!$A$4:$A$107,MATCH(A350,Calendario!$B$4:$B$107,1)),""))</f>
        <v/>
      </c>
      <c r="C350" s="17" t="str">
        <f aca="false">IF(A350="","",YEAR(A350)&amp;"-"&amp;TEXT(MONTH(A350),"00"))</f>
        <v/>
      </c>
      <c r="D350" s="26"/>
      <c r="E350" s="26"/>
      <c r="F350" s="26"/>
      <c r="G350" s="29"/>
      <c r="H350" s="26"/>
      <c r="I350" s="32"/>
      <c r="J350" s="26"/>
      <c r="K350" s="26"/>
    </row>
    <row r="351" customFormat="false" ht="15" hidden="false" customHeight="false" outlineLevel="0" collapsed="false">
      <c r="A351" s="32"/>
      <c r="B351" s="17" t="str">
        <f aca="false">IF(A351="","",IFERROR(INDEX(Calendario!$A$4:$A$107,MATCH(A351,Calendario!$B$4:$B$107,1)),""))</f>
        <v/>
      </c>
      <c r="C351" s="17" t="str">
        <f aca="false">IF(A351="","",YEAR(A351)&amp;"-"&amp;TEXT(MONTH(A351),"00"))</f>
        <v/>
      </c>
      <c r="D351" s="26"/>
      <c r="E351" s="26"/>
      <c r="F351" s="26"/>
      <c r="G351" s="29"/>
      <c r="H351" s="26"/>
      <c r="I351" s="32"/>
      <c r="J351" s="26"/>
      <c r="K351" s="26"/>
    </row>
    <row r="352" customFormat="false" ht="15" hidden="false" customHeight="false" outlineLevel="0" collapsed="false">
      <c r="A352" s="32"/>
      <c r="B352" s="17" t="str">
        <f aca="false">IF(A352="","",IFERROR(INDEX(Calendario!$A$4:$A$107,MATCH(A352,Calendario!$B$4:$B$107,1)),""))</f>
        <v/>
      </c>
      <c r="C352" s="17" t="str">
        <f aca="false">IF(A352="","",YEAR(A352)&amp;"-"&amp;TEXT(MONTH(A352),"00"))</f>
        <v/>
      </c>
      <c r="D352" s="26"/>
      <c r="E352" s="26"/>
      <c r="F352" s="26"/>
      <c r="G352" s="29"/>
      <c r="H352" s="26"/>
      <c r="I352" s="32"/>
      <c r="J352" s="26"/>
      <c r="K352" s="26"/>
    </row>
    <row r="353" customFormat="false" ht="15" hidden="false" customHeight="false" outlineLevel="0" collapsed="false">
      <c r="A353" s="32"/>
      <c r="B353" s="17" t="str">
        <f aca="false">IF(A353="","",IFERROR(INDEX(Calendario!$A$4:$A$107,MATCH(A353,Calendario!$B$4:$B$107,1)),""))</f>
        <v/>
      </c>
      <c r="C353" s="17" t="str">
        <f aca="false">IF(A353="","",YEAR(A353)&amp;"-"&amp;TEXT(MONTH(A353),"00"))</f>
        <v/>
      </c>
      <c r="D353" s="26"/>
      <c r="E353" s="26"/>
      <c r="F353" s="26"/>
      <c r="G353" s="29"/>
      <c r="H353" s="26"/>
      <c r="I353" s="32"/>
      <c r="J353" s="26"/>
      <c r="K353" s="26"/>
    </row>
    <row r="354" customFormat="false" ht="15" hidden="false" customHeight="false" outlineLevel="0" collapsed="false">
      <c r="A354" s="32"/>
      <c r="B354" s="17" t="str">
        <f aca="false">IF(A354="","",IFERROR(INDEX(Calendario!$A$4:$A$107,MATCH(A354,Calendario!$B$4:$B$107,1)),""))</f>
        <v/>
      </c>
      <c r="C354" s="17" t="str">
        <f aca="false">IF(A354="","",YEAR(A354)&amp;"-"&amp;TEXT(MONTH(A354),"00"))</f>
        <v/>
      </c>
      <c r="D354" s="26"/>
      <c r="E354" s="26"/>
      <c r="F354" s="26"/>
      <c r="G354" s="29"/>
      <c r="H354" s="26"/>
      <c r="I354" s="32"/>
      <c r="J354" s="26"/>
      <c r="K354" s="26"/>
    </row>
    <row r="355" customFormat="false" ht="15" hidden="false" customHeight="false" outlineLevel="0" collapsed="false">
      <c r="A355" s="32"/>
      <c r="B355" s="17" t="str">
        <f aca="false">IF(A355="","",IFERROR(INDEX(Calendario!$A$4:$A$107,MATCH(A355,Calendario!$B$4:$B$107,1)),""))</f>
        <v/>
      </c>
      <c r="C355" s="17" t="str">
        <f aca="false">IF(A355="","",YEAR(A355)&amp;"-"&amp;TEXT(MONTH(A355),"00"))</f>
        <v/>
      </c>
      <c r="D355" s="26"/>
      <c r="E355" s="26"/>
      <c r="F355" s="26"/>
      <c r="G355" s="29"/>
      <c r="H355" s="26"/>
      <c r="I355" s="32"/>
      <c r="J355" s="26"/>
      <c r="K355" s="26"/>
    </row>
    <row r="356" customFormat="false" ht="15" hidden="false" customHeight="false" outlineLevel="0" collapsed="false">
      <c r="A356" s="32"/>
      <c r="B356" s="17" t="str">
        <f aca="false">IF(A356="","",IFERROR(INDEX(Calendario!$A$4:$A$107,MATCH(A356,Calendario!$B$4:$B$107,1)),""))</f>
        <v/>
      </c>
      <c r="C356" s="17" t="str">
        <f aca="false">IF(A356="","",YEAR(A356)&amp;"-"&amp;TEXT(MONTH(A356),"00"))</f>
        <v/>
      </c>
      <c r="D356" s="26"/>
      <c r="E356" s="26"/>
      <c r="F356" s="26"/>
      <c r="G356" s="29"/>
      <c r="H356" s="26"/>
      <c r="I356" s="32"/>
      <c r="J356" s="26"/>
      <c r="K356" s="26"/>
    </row>
    <row r="357" customFormat="false" ht="15" hidden="false" customHeight="false" outlineLevel="0" collapsed="false">
      <c r="A357" s="32"/>
      <c r="B357" s="17" t="str">
        <f aca="false">IF(A357="","",IFERROR(INDEX(Calendario!$A$4:$A$107,MATCH(A357,Calendario!$B$4:$B$107,1)),""))</f>
        <v/>
      </c>
      <c r="C357" s="17" t="str">
        <f aca="false">IF(A357="","",YEAR(A357)&amp;"-"&amp;TEXT(MONTH(A357),"00"))</f>
        <v/>
      </c>
      <c r="D357" s="26"/>
      <c r="E357" s="26"/>
      <c r="F357" s="26"/>
      <c r="G357" s="29"/>
      <c r="H357" s="26"/>
      <c r="I357" s="32"/>
      <c r="J357" s="26"/>
      <c r="K357" s="26"/>
    </row>
    <row r="358" customFormat="false" ht="15" hidden="false" customHeight="false" outlineLevel="0" collapsed="false">
      <c r="A358" s="32"/>
      <c r="B358" s="17" t="str">
        <f aca="false">IF(A358="","",IFERROR(INDEX(Calendario!$A$4:$A$107,MATCH(A358,Calendario!$B$4:$B$107,1)),""))</f>
        <v/>
      </c>
      <c r="C358" s="17" t="str">
        <f aca="false">IF(A358="","",YEAR(A358)&amp;"-"&amp;TEXT(MONTH(A358),"00"))</f>
        <v/>
      </c>
      <c r="D358" s="26"/>
      <c r="E358" s="26"/>
      <c r="F358" s="26"/>
      <c r="G358" s="29"/>
      <c r="H358" s="26"/>
      <c r="I358" s="32"/>
      <c r="J358" s="26"/>
      <c r="K358" s="26"/>
    </row>
    <row r="359" customFormat="false" ht="15" hidden="false" customHeight="false" outlineLevel="0" collapsed="false">
      <c r="A359" s="32"/>
      <c r="B359" s="17" t="str">
        <f aca="false">IF(A359="","",IFERROR(INDEX(Calendario!$A$4:$A$107,MATCH(A359,Calendario!$B$4:$B$107,1)),""))</f>
        <v/>
      </c>
      <c r="C359" s="17" t="str">
        <f aca="false">IF(A359="","",YEAR(A359)&amp;"-"&amp;TEXT(MONTH(A359),"00"))</f>
        <v/>
      </c>
      <c r="D359" s="26"/>
      <c r="E359" s="26"/>
      <c r="F359" s="26"/>
      <c r="G359" s="29"/>
      <c r="H359" s="26"/>
      <c r="I359" s="32"/>
      <c r="J359" s="26"/>
      <c r="K359" s="26"/>
    </row>
    <row r="360" customFormat="false" ht="15" hidden="false" customHeight="false" outlineLevel="0" collapsed="false">
      <c r="A360" s="32"/>
      <c r="B360" s="17" t="str">
        <f aca="false">IF(A360="","",IFERROR(INDEX(Calendario!$A$4:$A$107,MATCH(A360,Calendario!$B$4:$B$107,1)),""))</f>
        <v/>
      </c>
      <c r="C360" s="17" t="str">
        <f aca="false">IF(A360="","",YEAR(A360)&amp;"-"&amp;TEXT(MONTH(A360),"00"))</f>
        <v/>
      </c>
      <c r="D360" s="26"/>
      <c r="E360" s="26"/>
      <c r="F360" s="26"/>
      <c r="G360" s="29"/>
      <c r="H360" s="26"/>
      <c r="I360" s="32"/>
      <c r="J360" s="26"/>
      <c r="K360" s="26"/>
    </row>
    <row r="361" customFormat="false" ht="15" hidden="false" customHeight="false" outlineLevel="0" collapsed="false">
      <c r="A361" s="32"/>
      <c r="B361" s="17" t="str">
        <f aca="false">IF(A361="","",IFERROR(INDEX(Calendario!$A$4:$A$107,MATCH(A361,Calendario!$B$4:$B$107,1)),""))</f>
        <v/>
      </c>
      <c r="C361" s="17" t="str">
        <f aca="false">IF(A361="","",YEAR(A361)&amp;"-"&amp;TEXT(MONTH(A361),"00"))</f>
        <v/>
      </c>
      <c r="D361" s="26"/>
      <c r="E361" s="26"/>
      <c r="F361" s="26"/>
      <c r="G361" s="29"/>
      <c r="H361" s="26"/>
      <c r="I361" s="32"/>
      <c r="J361" s="26"/>
      <c r="K361" s="26"/>
    </row>
    <row r="362" customFormat="false" ht="15" hidden="false" customHeight="false" outlineLevel="0" collapsed="false">
      <c r="A362" s="32"/>
      <c r="B362" s="17" t="str">
        <f aca="false">IF(A362="","",IFERROR(INDEX(Calendario!$A$4:$A$107,MATCH(A362,Calendario!$B$4:$B$107,1)),""))</f>
        <v/>
      </c>
      <c r="C362" s="17" t="str">
        <f aca="false">IF(A362="","",YEAR(A362)&amp;"-"&amp;TEXT(MONTH(A362),"00"))</f>
        <v/>
      </c>
      <c r="D362" s="26"/>
      <c r="E362" s="26"/>
      <c r="F362" s="26"/>
      <c r="G362" s="29"/>
      <c r="H362" s="26"/>
      <c r="I362" s="32"/>
      <c r="J362" s="26"/>
      <c r="K362" s="26"/>
    </row>
    <row r="363" customFormat="false" ht="15" hidden="false" customHeight="false" outlineLevel="0" collapsed="false">
      <c r="A363" s="32"/>
      <c r="B363" s="17" t="str">
        <f aca="false">IF(A363="","",IFERROR(INDEX(Calendario!$A$4:$A$107,MATCH(A363,Calendario!$B$4:$B$107,1)),""))</f>
        <v/>
      </c>
      <c r="C363" s="17" t="str">
        <f aca="false">IF(A363="","",YEAR(A363)&amp;"-"&amp;TEXT(MONTH(A363),"00"))</f>
        <v/>
      </c>
      <c r="D363" s="26"/>
      <c r="E363" s="26"/>
      <c r="F363" s="26"/>
      <c r="G363" s="29"/>
      <c r="H363" s="26"/>
      <c r="I363" s="32"/>
      <c r="J363" s="26"/>
      <c r="K363" s="26"/>
    </row>
    <row r="364" customFormat="false" ht="15" hidden="false" customHeight="false" outlineLevel="0" collapsed="false">
      <c r="A364" s="32"/>
      <c r="B364" s="17" t="str">
        <f aca="false">IF(A364="","",IFERROR(INDEX(Calendario!$A$4:$A$107,MATCH(A364,Calendario!$B$4:$B$107,1)),""))</f>
        <v/>
      </c>
      <c r="C364" s="17" t="str">
        <f aca="false">IF(A364="","",YEAR(A364)&amp;"-"&amp;TEXT(MONTH(A364),"00"))</f>
        <v/>
      </c>
      <c r="D364" s="26"/>
      <c r="E364" s="26"/>
      <c r="F364" s="26"/>
      <c r="G364" s="29"/>
      <c r="H364" s="26"/>
      <c r="I364" s="32"/>
      <c r="J364" s="26"/>
      <c r="K364" s="26"/>
    </row>
    <row r="365" customFormat="false" ht="15" hidden="false" customHeight="false" outlineLevel="0" collapsed="false">
      <c r="A365" s="32"/>
      <c r="B365" s="17" t="str">
        <f aca="false">IF(A365="","",IFERROR(INDEX(Calendario!$A$4:$A$107,MATCH(A365,Calendario!$B$4:$B$107,1)),""))</f>
        <v/>
      </c>
      <c r="C365" s="17" t="str">
        <f aca="false">IF(A365="","",YEAR(A365)&amp;"-"&amp;TEXT(MONTH(A365),"00"))</f>
        <v/>
      </c>
      <c r="D365" s="26"/>
      <c r="E365" s="26"/>
      <c r="F365" s="26"/>
      <c r="G365" s="29"/>
      <c r="H365" s="26"/>
      <c r="I365" s="32"/>
      <c r="J365" s="26"/>
      <c r="K365" s="26"/>
    </row>
    <row r="366" customFormat="false" ht="15" hidden="false" customHeight="false" outlineLevel="0" collapsed="false">
      <c r="A366" s="32"/>
      <c r="B366" s="17" t="str">
        <f aca="false">IF(A366="","",IFERROR(INDEX(Calendario!$A$4:$A$107,MATCH(A366,Calendario!$B$4:$B$107,1)),""))</f>
        <v/>
      </c>
      <c r="C366" s="17" t="str">
        <f aca="false">IF(A366="","",YEAR(A366)&amp;"-"&amp;TEXT(MONTH(A366),"00"))</f>
        <v/>
      </c>
      <c r="D366" s="26"/>
      <c r="E366" s="26"/>
      <c r="F366" s="26"/>
      <c r="G366" s="29"/>
      <c r="H366" s="26"/>
      <c r="I366" s="32"/>
      <c r="J366" s="26"/>
      <c r="K366" s="26"/>
    </row>
    <row r="367" customFormat="false" ht="15" hidden="false" customHeight="false" outlineLevel="0" collapsed="false">
      <c r="A367" s="32"/>
      <c r="B367" s="17" t="str">
        <f aca="false">IF(A367="","",IFERROR(INDEX(Calendario!$A$4:$A$107,MATCH(A367,Calendario!$B$4:$B$107,1)),""))</f>
        <v/>
      </c>
      <c r="C367" s="17" t="str">
        <f aca="false">IF(A367="","",YEAR(A367)&amp;"-"&amp;TEXT(MONTH(A367),"00"))</f>
        <v/>
      </c>
      <c r="D367" s="26"/>
      <c r="E367" s="26"/>
      <c r="F367" s="26"/>
      <c r="G367" s="29"/>
      <c r="H367" s="26"/>
      <c r="I367" s="32"/>
      <c r="J367" s="26"/>
      <c r="K367" s="26"/>
    </row>
    <row r="368" customFormat="false" ht="15" hidden="false" customHeight="false" outlineLevel="0" collapsed="false">
      <c r="A368" s="32"/>
      <c r="B368" s="17" t="str">
        <f aca="false">IF(A368="","",IFERROR(INDEX(Calendario!$A$4:$A$107,MATCH(A368,Calendario!$B$4:$B$107,1)),""))</f>
        <v/>
      </c>
      <c r="C368" s="17" t="str">
        <f aca="false">IF(A368="","",YEAR(A368)&amp;"-"&amp;TEXT(MONTH(A368),"00"))</f>
        <v/>
      </c>
      <c r="D368" s="26"/>
      <c r="E368" s="26"/>
      <c r="F368" s="26"/>
      <c r="G368" s="29"/>
      <c r="H368" s="26"/>
      <c r="I368" s="32"/>
      <c r="J368" s="26"/>
      <c r="K368" s="26"/>
    </row>
    <row r="369" customFormat="false" ht="15" hidden="false" customHeight="false" outlineLevel="0" collapsed="false">
      <c r="A369" s="32"/>
      <c r="B369" s="17" t="str">
        <f aca="false">IF(A369="","",IFERROR(INDEX(Calendario!$A$4:$A$107,MATCH(A369,Calendario!$B$4:$B$107,1)),""))</f>
        <v/>
      </c>
      <c r="C369" s="17" t="str">
        <f aca="false">IF(A369="","",YEAR(A369)&amp;"-"&amp;TEXT(MONTH(A369),"00"))</f>
        <v/>
      </c>
      <c r="D369" s="26"/>
      <c r="E369" s="26"/>
      <c r="F369" s="26"/>
      <c r="G369" s="29"/>
      <c r="H369" s="26"/>
      <c r="I369" s="32"/>
      <c r="J369" s="26"/>
      <c r="K369" s="26"/>
    </row>
    <row r="370" customFormat="false" ht="15" hidden="false" customHeight="false" outlineLevel="0" collapsed="false">
      <c r="A370" s="32"/>
      <c r="B370" s="17" t="str">
        <f aca="false">IF(A370="","",IFERROR(INDEX(Calendario!$A$4:$A$107,MATCH(A370,Calendario!$B$4:$B$107,1)),""))</f>
        <v/>
      </c>
      <c r="C370" s="17" t="str">
        <f aca="false">IF(A370="","",YEAR(A370)&amp;"-"&amp;TEXT(MONTH(A370),"00"))</f>
        <v/>
      </c>
      <c r="D370" s="26"/>
      <c r="E370" s="26"/>
      <c r="F370" s="26"/>
      <c r="G370" s="29"/>
      <c r="H370" s="26"/>
      <c r="I370" s="32"/>
      <c r="J370" s="26"/>
      <c r="K370" s="26"/>
    </row>
    <row r="371" customFormat="false" ht="15" hidden="false" customHeight="false" outlineLevel="0" collapsed="false">
      <c r="A371" s="32"/>
      <c r="B371" s="17" t="str">
        <f aca="false">IF(A371="","",IFERROR(INDEX(Calendario!$A$4:$A$107,MATCH(A371,Calendario!$B$4:$B$107,1)),""))</f>
        <v/>
      </c>
      <c r="C371" s="17" t="str">
        <f aca="false">IF(A371="","",YEAR(A371)&amp;"-"&amp;TEXT(MONTH(A371),"00"))</f>
        <v/>
      </c>
      <c r="D371" s="26"/>
      <c r="E371" s="26"/>
      <c r="F371" s="26"/>
      <c r="G371" s="29"/>
      <c r="H371" s="26"/>
      <c r="I371" s="32"/>
      <c r="J371" s="26"/>
      <c r="K371" s="26"/>
    </row>
    <row r="372" customFormat="false" ht="15" hidden="false" customHeight="false" outlineLevel="0" collapsed="false">
      <c r="A372" s="32"/>
      <c r="B372" s="17" t="str">
        <f aca="false">IF(A372="","",IFERROR(INDEX(Calendario!$A$4:$A$107,MATCH(A372,Calendario!$B$4:$B$107,1)),""))</f>
        <v/>
      </c>
      <c r="C372" s="17" t="str">
        <f aca="false">IF(A372="","",YEAR(A372)&amp;"-"&amp;TEXT(MONTH(A372),"00"))</f>
        <v/>
      </c>
      <c r="D372" s="26"/>
      <c r="E372" s="26"/>
      <c r="F372" s="26"/>
      <c r="G372" s="29"/>
      <c r="H372" s="26"/>
      <c r="I372" s="32"/>
      <c r="J372" s="26"/>
      <c r="K372" s="26"/>
    </row>
    <row r="373" customFormat="false" ht="15" hidden="false" customHeight="false" outlineLevel="0" collapsed="false">
      <c r="A373" s="32"/>
      <c r="B373" s="17" t="str">
        <f aca="false">IF(A373="","",IFERROR(INDEX(Calendario!$A$4:$A$107,MATCH(A373,Calendario!$B$4:$B$107,1)),""))</f>
        <v/>
      </c>
      <c r="C373" s="17" t="str">
        <f aca="false">IF(A373="","",YEAR(A373)&amp;"-"&amp;TEXT(MONTH(A373),"00"))</f>
        <v/>
      </c>
      <c r="D373" s="26"/>
      <c r="E373" s="26"/>
      <c r="F373" s="26"/>
      <c r="G373" s="29"/>
      <c r="H373" s="26"/>
      <c r="I373" s="32"/>
      <c r="J373" s="26"/>
      <c r="K373" s="26"/>
    </row>
    <row r="374" customFormat="false" ht="15" hidden="false" customHeight="false" outlineLevel="0" collapsed="false">
      <c r="A374" s="32"/>
      <c r="B374" s="17" t="str">
        <f aca="false">IF(A374="","",IFERROR(INDEX(Calendario!$A$4:$A$107,MATCH(A374,Calendario!$B$4:$B$107,1)),""))</f>
        <v/>
      </c>
      <c r="C374" s="17" t="str">
        <f aca="false">IF(A374="","",YEAR(A374)&amp;"-"&amp;TEXT(MONTH(A374),"00"))</f>
        <v/>
      </c>
      <c r="D374" s="26"/>
      <c r="E374" s="26"/>
      <c r="F374" s="26"/>
      <c r="G374" s="29"/>
      <c r="H374" s="26"/>
      <c r="I374" s="32"/>
      <c r="J374" s="26"/>
      <c r="K374" s="26"/>
    </row>
    <row r="375" customFormat="false" ht="15" hidden="false" customHeight="false" outlineLevel="0" collapsed="false">
      <c r="A375" s="32"/>
      <c r="B375" s="17" t="str">
        <f aca="false">IF(A375="","",IFERROR(INDEX(Calendario!$A$4:$A$107,MATCH(A375,Calendario!$B$4:$B$107,1)),""))</f>
        <v/>
      </c>
      <c r="C375" s="17" t="str">
        <f aca="false">IF(A375="","",YEAR(A375)&amp;"-"&amp;TEXT(MONTH(A375),"00"))</f>
        <v/>
      </c>
      <c r="D375" s="26"/>
      <c r="E375" s="26"/>
      <c r="F375" s="26"/>
      <c r="G375" s="29"/>
      <c r="H375" s="26"/>
      <c r="I375" s="32"/>
      <c r="J375" s="26"/>
      <c r="K375" s="26"/>
    </row>
    <row r="376" customFormat="false" ht="15" hidden="false" customHeight="false" outlineLevel="0" collapsed="false">
      <c r="A376" s="32"/>
      <c r="B376" s="17" t="str">
        <f aca="false">IF(A376="","",IFERROR(INDEX(Calendario!$A$4:$A$107,MATCH(A376,Calendario!$B$4:$B$107,1)),""))</f>
        <v/>
      </c>
      <c r="C376" s="17" t="str">
        <f aca="false">IF(A376="","",YEAR(A376)&amp;"-"&amp;TEXT(MONTH(A376),"00"))</f>
        <v/>
      </c>
      <c r="D376" s="26"/>
      <c r="E376" s="26"/>
      <c r="F376" s="26"/>
      <c r="G376" s="29"/>
      <c r="H376" s="26"/>
      <c r="I376" s="32"/>
      <c r="J376" s="26"/>
      <c r="K376" s="26"/>
    </row>
    <row r="377" customFormat="false" ht="15" hidden="false" customHeight="false" outlineLevel="0" collapsed="false">
      <c r="A377" s="32"/>
      <c r="B377" s="17" t="str">
        <f aca="false">IF(A377="","",IFERROR(INDEX(Calendario!$A$4:$A$107,MATCH(A377,Calendario!$B$4:$B$107,1)),""))</f>
        <v/>
      </c>
      <c r="C377" s="17" t="str">
        <f aca="false">IF(A377="","",YEAR(A377)&amp;"-"&amp;TEXT(MONTH(A377),"00"))</f>
        <v/>
      </c>
      <c r="D377" s="26"/>
      <c r="E377" s="26"/>
      <c r="F377" s="26"/>
      <c r="G377" s="29"/>
      <c r="H377" s="26"/>
      <c r="I377" s="32"/>
      <c r="J377" s="26"/>
      <c r="K377" s="26"/>
    </row>
    <row r="378" customFormat="false" ht="15" hidden="false" customHeight="false" outlineLevel="0" collapsed="false">
      <c r="A378" s="32"/>
      <c r="B378" s="17" t="str">
        <f aca="false">IF(A378="","",IFERROR(INDEX(Calendario!$A$4:$A$107,MATCH(A378,Calendario!$B$4:$B$107,1)),""))</f>
        <v/>
      </c>
      <c r="C378" s="17" t="str">
        <f aca="false">IF(A378="","",YEAR(A378)&amp;"-"&amp;TEXT(MONTH(A378),"00"))</f>
        <v/>
      </c>
      <c r="D378" s="26"/>
      <c r="E378" s="26"/>
      <c r="F378" s="26"/>
      <c r="G378" s="29"/>
      <c r="H378" s="26"/>
      <c r="I378" s="32"/>
      <c r="J378" s="26"/>
      <c r="K378" s="26"/>
    </row>
    <row r="379" customFormat="false" ht="15" hidden="false" customHeight="false" outlineLevel="0" collapsed="false">
      <c r="A379" s="32"/>
      <c r="B379" s="17" t="str">
        <f aca="false">IF(A379="","",IFERROR(INDEX(Calendario!$A$4:$A$107,MATCH(A379,Calendario!$B$4:$B$107,1)),""))</f>
        <v/>
      </c>
      <c r="C379" s="17" t="str">
        <f aca="false">IF(A379="","",YEAR(A379)&amp;"-"&amp;TEXT(MONTH(A379),"00"))</f>
        <v/>
      </c>
      <c r="D379" s="26"/>
      <c r="E379" s="26"/>
      <c r="F379" s="26"/>
      <c r="G379" s="29"/>
      <c r="H379" s="26"/>
      <c r="I379" s="32"/>
      <c r="J379" s="26"/>
      <c r="K379" s="26"/>
    </row>
    <row r="380" customFormat="false" ht="15" hidden="false" customHeight="false" outlineLevel="0" collapsed="false">
      <c r="A380" s="32"/>
      <c r="B380" s="17" t="str">
        <f aca="false">IF(A380="","",IFERROR(INDEX(Calendario!$A$4:$A$107,MATCH(A380,Calendario!$B$4:$B$107,1)),""))</f>
        <v/>
      </c>
      <c r="C380" s="17" t="str">
        <f aca="false">IF(A380="","",YEAR(A380)&amp;"-"&amp;TEXT(MONTH(A380),"00"))</f>
        <v/>
      </c>
      <c r="D380" s="26"/>
      <c r="E380" s="26"/>
      <c r="F380" s="26"/>
      <c r="G380" s="29"/>
      <c r="H380" s="26"/>
      <c r="I380" s="32"/>
      <c r="J380" s="26"/>
      <c r="K380" s="26"/>
    </row>
    <row r="381" customFormat="false" ht="15" hidden="false" customHeight="false" outlineLevel="0" collapsed="false">
      <c r="A381" s="32"/>
      <c r="B381" s="17" t="str">
        <f aca="false">IF(A381="","",IFERROR(INDEX(Calendario!$A$4:$A$107,MATCH(A381,Calendario!$B$4:$B$107,1)),""))</f>
        <v/>
      </c>
      <c r="C381" s="17" t="str">
        <f aca="false">IF(A381="","",YEAR(A381)&amp;"-"&amp;TEXT(MONTH(A381),"00"))</f>
        <v/>
      </c>
      <c r="D381" s="26"/>
      <c r="E381" s="26"/>
      <c r="F381" s="26"/>
      <c r="G381" s="29"/>
      <c r="H381" s="26"/>
      <c r="I381" s="32"/>
      <c r="J381" s="26"/>
      <c r="K381" s="26"/>
    </row>
    <row r="382" customFormat="false" ht="15" hidden="false" customHeight="false" outlineLevel="0" collapsed="false">
      <c r="A382" s="32"/>
      <c r="B382" s="17" t="str">
        <f aca="false">IF(A382="","",IFERROR(INDEX(Calendario!$A$4:$A$107,MATCH(A382,Calendario!$B$4:$B$107,1)),""))</f>
        <v/>
      </c>
      <c r="C382" s="17" t="str">
        <f aca="false">IF(A382="","",YEAR(A382)&amp;"-"&amp;TEXT(MONTH(A382),"00"))</f>
        <v/>
      </c>
      <c r="D382" s="26"/>
      <c r="E382" s="26"/>
      <c r="F382" s="26"/>
      <c r="G382" s="29"/>
      <c r="H382" s="26"/>
      <c r="I382" s="32"/>
      <c r="J382" s="26"/>
      <c r="K382" s="26"/>
    </row>
    <row r="383" customFormat="false" ht="15" hidden="false" customHeight="false" outlineLevel="0" collapsed="false">
      <c r="A383" s="32"/>
      <c r="B383" s="17" t="str">
        <f aca="false">IF(A383="","",IFERROR(INDEX(Calendario!$A$4:$A$107,MATCH(A383,Calendario!$B$4:$B$107,1)),""))</f>
        <v/>
      </c>
      <c r="C383" s="17" t="str">
        <f aca="false">IF(A383="","",YEAR(A383)&amp;"-"&amp;TEXT(MONTH(A383),"00"))</f>
        <v/>
      </c>
      <c r="D383" s="26"/>
      <c r="E383" s="26"/>
      <c r="F383" s="26"/>
      <c r="G383" s="29"/>
      <c r="H383" s="26"/>
      <c r="I383" s="32"/>
      <c r="J383" s="26"/>
      <c r="K383" s="26"/>
    </row>
    <row r="384" customFormat="false" ht="15" hidden="false" customHeight="false" outlineLevel="0" collapsed="false">
      <c r="A384" s="32"/>
      <c r="B384" s="17" t="str">
        <f aca="false">IF(A384="","",IFERROR(INDEX(Calendario!$A$4:$A$107,MATCH(A384,Calendario!$B$4:$B$107,1)),""))</f>
        <v/>
      </c>
      <c r="C384" s="17" t="str">
        <f aca="false">IF(A384="","",YEAR(A384)&amp;"-"&amp;TEXT(MONTH(A384),"00"))</f>
        <v/>
      </c>
      <c r="D384" s="26"/>
      <c r="E384" s="26"/>
      <c r="F384" s="26"/>
      <c r="G384" s="29"/>
      <c r="H384" s="26"/>
      <c r="I384" s="32"/>
      <c r="J384" s="26"/>
      <c r="K384" s="26"/>
    </row>
    <row r="385" customFormat="false" ht="15" hidden="false" customHeight="false" outlineLevel="0" collapsed="false">
      <c r="A385" s="32"/>
      <c r="B385" s="17" t="str">
        <f aca="false">IF(A385="","",IFERROR(INDEX(Calendario!$A$4:$A$107,MATCH(A385,Calendario!$B$4:$B$107,1)),""))</f>
        <v/>
      </c>
      <c r="C385" s="17" t="str">
        <f aca="false">IF(A385="","",YEAR(A385)&amp;"-"&amp;TEXT(MONTH(A385),"00"))</f>
        <v/>
      </c>
      <c r="D385" s="26"/>
      <c r="E385" s="26"/>
      <c r="F385" s="26"/>
      <c r="G385" s="29"/>
      <c r="H385" s="26"/>
      <c r="I385" s="32"/>
      <c r="J385" s="26"/>
      <c r="K385" s="26"/>
    </row>
    <row r="386" customFormat="false" ht="15" hidden="false" customHeight="false" outlineLevel="0" collapsed="false">
      <c r="A386" s="32"/>
      <c r="B386" s="17" t="str">
        <f aca="false">IF(A386="","",IFERROR(INDEX(Calendario!$A$4:$A$107,MATCH(A386,Calendario!$B$4:$B$107,1)),""))</f>
        <v/>
      </c>
      <c r="C386" s="17" t="str">
        <f aca="false">IF(A386="","",YEAR(A386)&amp;"-"&amp;TEXT(MONTH(A386),"00"))</f>
        <v/>
      </c>
      <c r="D386" s="26"/>
      <c r="E386" s="26"/>
      <c r="F386" s="26"/>
      <c r="G386" s="29"/>
      <c r="H386" s="26"/>
      <c r="I386" s="32"/>
      <c r="J386" s="26"/>
      <c r="K386" s="26"/>
    </row>
    <row r="387" customFormat="false" ht="15" hidden="false" customHeight="false" outlineLevel="0" collapsed="false">
      <c r="A387" s="32"/>
      <c r="B387" s="17" t="str">
        <f aca="false">IF(A387="","",IFERROR(INDEX(Calendario!$A$4:$A$107,MATCH(A387,Calendario!$B$4:$B$107,1)),""))</f>
        <v/>
      </c>
      <c r="C387" s="17" t="str">
        <f aca="false">IF(A387="","",YEAR(A387)&amp;"-"&amp;TEXT(MONTH(A387),"00"))</f>
        <v/>
      </c>
      <c r="D387" s="26"/>
      <c r="E387" s="26"/>
      <c r="F387" s="26"/>
      <c r="G387" s="29"/>
      <c r="H387" s="26"/>
      <c r="I387" s="32"/>
      <c r="J387" s="26"/>
      <c r="K387" s="26"/>
    </row>
    <row r="388" customFormat="false" ht="15" hidden="false" customHeight="false" outlineLevel="0" collapsed="false">
      <c r="A388" s="32"/>
      <c r="B388" s="17" t="str">
        <f aca="false">IF(A388="","",IFERROR(INDEX(Calendario!$A$4:$A$107,MATCH(A388,Calendario!$B$4:$B$107,1)),""))</f>
        <v/>
      </c>
      <c r="C388" s="17" t="str">
        <f aca="false">IF(A388="","",YEAR(A388)&amp;"-"&amp;TEXT(MONTH(A388),"00"))</f>
        <v/>
      </c>
      <c r="D388" s="26"/>
      <c r="E388" s="26"/>
      <c r="F388" s="26"/>
      <c r="G388" s="29"/>
      <c r="H388" s="26"/>
      <c r="I388" s="32"/>
      <c r="J388" s="26"/>
      <c r="K388" s="26"/>
    </row>
    <row r="389" customFormat="false" ht="15" hidden="false" customHeight="false" outlineLevel="0" collapsed="false">
      <c r="A389" s="32"/>
      <c r="B389" s="17" t="str">
        <f aca="false">IF(A389="","",IFERROR(INDEX(Calendario!$A$4:$A$107,MATCH(A389,Calendario!$B$4:$B$107,1)),""))</f>
        <v/>
      </c>
      <c r="C389" s="17" t="str">
        <f aca="false">IF(A389="","",YEAR(A389)&amp;"-"&amp;TEXT(MONTH(A389),"00"))</f>
        <v/>
      </c>
      <c r="D389" s="26"/>
      <c r="E389" s="26"/>
      <c r="F389" s="26"/>
      <c r="G389" s="29"/>
      <c r="H389" s="26"/>
      <c r="I389" s="32"/>
      <c r="J389" s="26"/>
      <c r="K389" s="26"/>
    </row>
    <row r="390" customFormat="false" ht="15" hidden="false" customHeight="false" outlineLevel="0" collapsed="false">
      <c r="A390" s="32"/>
      <c r="B390" s="17" t="str">
        <f aca="false">IF(A390="","",IFERROR(INDEX(Calendario!$A$4:$A$107,MATCH(A390,Calendario!$B$4:$B$107,1)),""))</f>
        <v/>
      </c>
      <c r="C390" s="17" t="str">
        <f aca="false">IF(A390="","",YEAR(A390)&amp;"-"&amp;TEXT(MONTH(A390),"00"))</f>
        <v/>
      </c>
      <c r="D390" s="26"/>
      <c r="E390" s="26"/>
      <c r="F390" s="26"/>
      <c r="G390" s="29"/>
      <c r="H390" s="26"/>
      <c r="I390" s="32"/>
      <c r="J390" s="26"/>
      <c r="K390" s="26"/>
    </row>
    <row r="391" customFormat="false" ht="15" hidden="false" customHeight="false" outlineLevel="0" collapsed="false">
      <c r="A391" s="32"/>
      <c r="B391" s="17" t="str">
        <f aca="false">IF(A391="","",IFERROR(INDEX(Calendario!$A$4:$A$107,MATCH(A391,Calendario!$B$4:$B$107,1)),""))</f>
        <v/>
      </c>
      <c r="C391" s="17" t="str">
        <f aca="false">IF(A391="","",YEAR(A391)&amp;"-"&amp;TEXT(MONTH(A391),"00"))</f>
        <v/>
      </c>
      <c r="D391" s="26"/>
      <c r="E391" s="26"/>
      <c r="F391" s="26"/>
      <c r="G391" s="29"/>
      <c r="H391" s="26"/>
      <c r="I391" s="32"/>
      <c r="J391" s="26"/>
      <c r="K391" s="26"/>
    </row>
    <row r="392" customFormat="false" ht="15" hidden="false" customHeight="false" outlineLevel="0" collapsed="false">
      <c r="A392" s="32"/>
      <c r="B392" s="17" t="str">
        <f aca="false">IF(A392="","",IFERROR(INDEX(Calendario!$A$4:$A$107,MATCH(A392,Calendario!$B$4:$B$107,1)),""))</f>
        <v/>
      </c>
      <c r="C392" s="17" t="str">
        <f aca="false">IF(A392="","",YEAR(A392)&amp;"-"&amp;TEXT(MONTH(A392),"00"))</f>
        <v/>
      </c>
      <c r="D392" s="26"/>
      <c r="E392" s="26"/>
      <c r="F392" s="26"/>
      <c r="G392" s="29"/>
      <c r="H392" s="26"/>
      <c r="I392" s="32"/>
      <c r="J392" s="26"/>
      <c r="K392" s="26"/>
    </row>
    <row r="393" customFormat="false" ht="15" hidden="false" customHeight="false" outlineLevel="0" collapsed="false">
      <c r="A393" s="32"/>
      <c r="B393" s="17" t="str">
        <f aca="false">IF(A393="","",IFERROR(INDEX(Calendario!$A$4:$A$107,MATCH(A393,Calendario!$B$4:$B$107,1)),""))</f>
        <v/>
      </c>
      <c r="C393" s="17" t="str">
        <f aca="false">IF(A393="","",YEAR(A393)&amp;"-"&amp;TEXT(MONTH(A393),"00"))</f>
        <v/>
      </c>
      <c r="D393" s="26"/>
      <c r="E393" s="26"/>
      <c r="F393" s="26"/>
      <c r="G393" s="29"/>
      <c r="H393" s="26"/>
      <c r="I393" s="32"/>
      <c r="J393" s="26"/>
      <c r="K393" s="26"/>
    </row>
    <row r="394" customFormat="false" ht="15" hidden="false" customHeight="false" outlineLevel="0" collapsed="false">
      <c r="A394" s="32"/>
      <c r="B394" s="17" t="str">
        <f aca="false">IF(A394="","",IFERROR(INDEX(Calendario!$A$4:$A$107,MATCH(A394,Calendario!$B$4:$B$107,1)),""))</f>
        <v/>
      </c>
      <c r="C394" s="17" t="str">
        <f aca="false">IF(A394="","",YEAR(A394)&amp;"-"&amp;TEXT(MONTH(A394),"00"))</f>
        <v/>
      </c>
      <c r="D394" s="26"/>
      <c r="E394" s="26"/>
      <c r="F394" s="26"/>
      <c r="G394" s="29"/>
      <c r="H394" s="26"/>
      <c r="I394" s="32"/>
      <c r="J394" s="26"/>
      <c r="K394" s="26"/>
    </row>
    <row r="395" customFormat="false" ht="15" hidden="false" customHeight="false" outlineLevel="0" collapsed="false">
      <c r="A395" s="32"/>
      <c r="B395" s="17" t="str">
        <f aca="false">IF(A395="","",IFERROR(INDEX(Calendario!$A$4:$A$107,MATCH(A395,Calendario!$B$4:$B$107,1)),""))</f>
        <v/>
      </c>
      <c r="C395" s="17" t="str">
        <f aca="false">IF(A395="","",YEAR(A395)&amp;"-"&amp;TEXT(MONTH(A395),"00"))</f>
        <v/>
      </c>
      <c r="D395" s="26"/>
      <c r="E395" s="26"/>
      <c r="F395" s="26"/>
      <c r="G395" s="29"/>
      <c r="H395" s="26"/>
      <c r="I395" s="32"/>
      <c r="J395" s="26"/>
      <c r="K395" s="26"/>
    </row>
    <row r="396" customFormat="false" ht="15" hidden="false" customHeight="false" outlineLevel="0" collapsed="false">
      <c r="A396" s="32"/>
      <c r="B396" s="17" t="str">
        <f aca="false">IF(A396="","",IFERROR(INDEX(Calendario!$A$4:$A$107,MATCH(A396,Calendario!$B$4:$B$107,1)),""))</f>
        <v/>
      </c>
      <c r="C396" s="17" t="str">
        <f aca="false">IF(A396="","",YEAR(A396)&amp;"-"&amp;TEXT(MONTH(A396),"00"))</f>
        <v/>
      </c>
      <c r="D396" s="26"/>
      <c r="E396" s="26"/>
      <c r="F396" s="26"/>
      <c r="G396" s="29"/>
      <c r="H396" s="26"/>
      <c r="I396" s="32"/>
      <c r="J396" s="26"/>
      <c r="K396" s="26"/>
    </row>
    <row r="397" customFormat="false" ht="15" hidden="false" customHeight="false" outlineLevel="0" collapsed="false">
      <c r="A397" s="32"/>
      <c r="B397" s="17" t="str">
        <f aca="false">IF(A397="","",IFERROR(INDEX(Calendario!$A$4:$A$107,MATCH(A397,Calendario!$B$4:$B$107,1)),""))</f>
        <v/>
      </c>
      <c r="C397" s="17" t="str">
        <f aca="false">IF(A397="","",YEAR(A397)&amp;"-"&amp;TEXT(MONTH(A397),"00"))</f>
        <v/>
      </c>
      <c r="D397" s="26"/>
      <c r="E397" s="26"/>
      <c r="F397" s="26"/>
      <c r="G397" s="29"/>
      <c r="H397" s="26"/>
      <c r="I397" s="32"/>
      <c r="J397" s="26"/>
      <c r="K397" s="26"/>
    </row>
    <row r="398" customFormat="false" ht="15" hidden="false" customHeight="false" outlineLevel="0" collapsed="false">
      <c r="A398" s="32"/>
      <c r="B398" s="17" t="str">
        <f aca="false">IF(A398="","",IFERROR(INDEX(Calendario!$A$4:$A$107,MATCH(A398,Calendario!$B$4:$B$107,1)),""))</f>
        <v/>
      </c>
      <c r="C398" s="17" t="str">
        <f aca="false">IF(A398="","",YEAR(A398)&amp;"-"&amp;TEXT(MONTH(A398),"00"))</f>
        <v/>
      </c>
      <c r="D398" s="26"/>
      <c r="E398" s="26"/>
      <c r="F398" s="26"/>
      <c r="G398" s="29"/>
      <c r="H398" s="26"/>
      <c r="I398" s="32"/>
      <c r="J398" s="26"/>
      <c r="K398" s="26"/>
    </row>
    <row r="399" customFormat="false" ht="15" hidden="false" customHeight="false" outlineLevel="0" collapsed="false">
      <c r="A399" s="32"/>
      <c r="B399" s="17" t="str">
        <f aca="false">IF(A399="","",IFERROR(INDEX(Calendario!$A$4:$A$107,MATCH(A399,Calendario!$B$4:$B$107,1)),""))</f>
        <v/>
      </c>
      <c r="C399" s="17" t="str">
        <f aca="false">IF(A399="","",YEAR(A399)&amp;"-"&amp;TEXT(MONTH(A399),"00"))</f>
        <v/>
      </c>
      <c r="D399" s="26"/>
      <c r="E399" s="26"/>
      <c r="F399" s="26"/>
      <c r="G399" s="29"/>
      <c r="H399" s="26"/>
      <c r="I399" s="32"/>
      <c r="J399" s="26"/>
      <c r="K399" s="26"/>
    </row>
    <row r="400" customFormat="false" ht="15" hidden="false" customHeight="false" outlineLevel="0" collapsed="false">
      <c r="A400" s="32"/>
      <c r="B400" s="17" t="str">
        <f aca="false">IF(A400="","",IFERROR(INDEX(Calendario!$A$4:$A$107,MATCH(A400,Calendario!$B$4:$B$107,1)),""))</f>
        <v/>
      </c>
      <c r="C400" s="17" t="str">
        <f aca="false">IF(A400="","",YEAR(A400)&amp;"-"&amp;TEXT(MONTH(A400),"00"))</f>
        <v/>
      </c>
      <c r="D400" s="26"/>
      <c r="E400" s="26"/>
      <c r="F400" s="26"/>
      <c r="G400" s="29"/>
      <c r="H400" s="26"/>
      <c r="I400" s="32"/>
      <c r="J400" s="26"/>
      <c r="K400" s="26"/>
    </row>
    <row r="401" customFormat="false" ht="15" hidden="false" customHeight="false" outlineLevel="0" collapsed="false">
      <c r="A401" s="32"/>
      <c r="B401" s="17" t="str">
        <f aca="false">IF(A401="","",IFERROR(INDEX(Calendario!$A$4:$A$107,MATCH(A401,Calendario!$B$4:$B$107,1)),""))</f>
        <v/>
      </c>
      <c r="C401" s="17" t="str">
        <f aca="false">IF(A401="","",YEAR(A401)&amp;"-"&amp;TEXT(MONTH(A401),"00"))</f>
        <v/>
      </c>
      <c r="D401" s="26"/>
      <c r="E401" s="26"/>
      <c r="F401" s="26"/>
      <c r="G401" s="29"/>
      <c r="H401" s="26"/>
      <c r="I401" s="32"/>
      <c r="J401" s="26"/>
      <c r="K401" s="26"/>
    </row>
    <row r="402" customFormat="false" ht="15" hidden="false" customHeight="false" outlineLevel="0" collapsed="false">
      <c r="A402" s="32"/>
      <c r="B402" s="17" t="str">
        <f aca="false">IF(A402="","",IFERROR(INDEX(Calendario!$A$4:$A$107,MATCH(A402,Calendario!$B$4:$B$107,1)),""))</f>
        <v/>
      </c>
      <c r="C402" s="17" t="str">
        <f aca="false">IF(A402="","",YEAR(A402)&amp;"-"&amp;TEXT(MONTH(A402),"00"))</f>
        <v/>
      </c>
      <c r="D402" s="26"/>
      <c r="E402" s="26"/>
      <c r="F402" s="26"/>
      <c r="G402" s="29"/>
      <c r="H402" s="26"/>
      <c r="I402" s="32"/>
      <c r="J402" s="26"/>
      <c r="K402" s="26"/>
    </row>
    <row r="403" customFormat="false" ht="15" hidden="false" customHeight="false" outlineLevel="0" collapsed="false">
      <c r="A403" s="32"/>
      <c r="B403" s="17" t="str">
        <f aca="false">IF(A403="","",IFERROR(INDEX(Calendario!$A$4:$A$107,MATCH(A403,Calendario!$B$4:$B$107,1)),""))</f>
        <v/>
      </c>
      <c r="C403" s="17" t="str">
        <f aca="false">IF(A403="","",YEAR(A403)&amp;"-"&amp;TEXT(MONTH(A403),"00"))</f>
        <v/>
      </c>
      <c r="D403" s="26"/>
      <c r="E403" s="26"/>
      <c r="F403" s="26"/>
      <c r="G403" s="29"/>
      <c r="H403" s="26"/>
      <c r="I403" s="32"/>
      <c r="J403" s="26"/>
      <c r="K403" s="26"/>
    </row>
    <row r="404" customFormat="false" ht="15" hidden="false" customHeight="false" outlineLevel="0" collapsed="false">
      <c r="A404" s="32"/>
      <c r="B404" s="17" t="str">
        <f aca="false">IF(A404="","",IFERROR(INDEX(Calendario!$A$4:$A$107,MATCH(A404,Calendario!$B$4:$B$107,1)),""))</f>
        <v/>
      </c>
      <c r="C404" s="17" t="str">
        <f aca="false">IF(A404="","",YEAR(A404)&amp;"-"&amp;TEXT(MONTH(A404),"00"))</f>
        <v/>
      </c>
      <c r="D404" s="26"/>
      <c r="E404" s="26"/>
      <c r="F404" s="26"/>
      <c r="G404" s="29"/>
      <c r="H404" s="26"/>
      <c r="I404" s="32"/>
      <c r="J404" s="26"/>
      <c r="K404" s="26"/>
    </row>
    <row r="405" customFormat="false" ht="15" hidden="false" customHeight="false" outlineLevel="0" collapsed="false">
      <c r="A405" s="32"/>
      <c r="B405" s="17" t="str">
        <f aca="false">IF(A405="","",IFERROR(INDEX(Calendario!$A$4:$A$107,MATCH(A405,Calendario!$B$4:$B$107,1)),""))</f>
        <v/>
      </c>
      <c r="C405" s="17" t="str">
        <f aca="false">IF(A405="","",YEAR(A405)&amp;"-"&amp;TEXT(MONTH(A405),"00"))</f>
        <v/>
      </c>
      <c r="D405" s="26"/>
      <c r="E405" s="26"/>
      <c r="F405" s="26"/>
      <c r="G405" s="29"/>
      <c r="H405" s="26"/>
      <c r="I405" s="32"/>
      <c r="J405" s="26"/>
      <c r="K405" s="26"/>
    </row>
    <row r="406" customFormat="false" ht="15" hidden="false" customHeight="false" outlineLevel="0" collapsed="false">
      <c r="A406" s="32"/>
      <c r="B406" s="17" t="str">
        <f aca="false">IF(A406="","",IFERROR(INDEX(Calendario!$A$4:$A$107,MATCH(A406,Calendario!$B$4:$B$107,1)),""))</f>
        <v/>
      </c>
      <c r="C406" s="17" t="str">
        <f aca="false">IF(A406="","",YEAR(A406)&amp;"-"&amp;TEXT(MONTH(A406),"00"))</f>
        <v/>
      </c>
      <c r="D406" s="26"/>
      <c r="E406" s="26"/>
      <c r="F406" s="26"/>
      <c r="G406" s="29"/>
      <c r="H406" s="26"/>
      <c r="I406" s="32"/>
      <c r="J406" s="26"/>
      <c r="K406" s="26"/>
    </row>
    <row r="407" customFormat="false" ht="15" hidden="false" customHeight="false" outlineLevel="0" collapsed="false">
      <c r="A407" s="32"/>
      <c r="B407" s="17" t="str">
        <f aca="false">IF(A407="","",IFERROR(INDEX(Calendario!$A$4:$A$107,MATCH(A407,Calendario!$B$4:$B$107,1)),""))</f>
        <v/>
      </c>
      <c r="C407" s="17" t="str">
        <f aca="false">IF(A407="","",YEAR(A407)&amp;"-"&amp;TEXT(MONTH(A407),"00"))</f>
        <v/>
      </c>
      <c r="D407" s="26"/>
      <c r="E407" s="26"/>
      <c r="F407" s="26"/>
      <c r="G407" s="29"/>
      <c r="H407" s="26"/>
      <c r="I407" s="32"/>
      <c r="J407" s="26"/>
      <c r="K407" s="26"/>
    </row>
    <row r="408" customFormat="false" ht="15" hidden="false" customHeight="false" outlineLevel="0" collapsed="false">
      <c r="A408" s="32"/>
      <c r="B408" s="17" t="str">
        <f aca="false">IF(A408="","",IFERROR(INDEX(Calendario!$A$4:$A$107,MATCH(A408,Calendario!$B$4:$B$107,1)),""))</f>
        <v/>
      </c>
      <c r="C408" s="17" t="str">
        <f aca="false">IF(A408="","",YEAR(A408)&amp;"-"&amp;TEXT(MONTH(A408),"00"))</f>
        <v/>
      </c>
      <c r="D408" s="26"/>
      <c r="E408" s="26"/>
      <c r="F408" s="26"/>
      <c r="G408" s="29"/>
      <c r="H408" s="26"/>
      <c r="I408" s="32"/>
      <c r="J408" s="26"/>
      <c r="K408" s="26"/>
    </row>
    <row r="409" customFormat="false" ht="15" hidden="false" customHeight="false" outlineLevel="0" collapsed="false">
      <c r="A409" s="32"/>
      <c r="B409" s="17" t="str">
        <f aca="false">IF(A409="","",IFERROR(INDEX(Calendario!$A$4:$A$107,MATCH(A409,Calendario!$B$4:$B$107,1)),""))</f>
        <v/>
      </c>
      <c r="C409" s="17" t="str">
        <f aca="false">IF(A409="","",YEAR(A409)&amp;"-"&amp;TEXT(MONTH(A409),"00"))</f>
        <v/>
      </c>
      <c r="D409" s="26"/>
      <c r="E409" s="26"/>
      <c r="F409" s="26"/>
      <c r="G409" s="29"/>
      <c r="H409" s="26"/>
      <c r="I409" s="32"/>
      <c r="J409" s="26"/>
      <c r="K409" s="26"/>
    </row>
    <row r="410" customFormat="false" ht="15" hidden="false" customHeight="false" outlineLevel="0" collapsed="false">
      <c r="A410" s="32"/>
      <c r="B410" s="17" t="str">
        <f aca="false">IF(A410="","",IFERROR(INDEX(Calendario!$A$4:$A$107,MATCH(A410,Calendario!$B$4:$B$107,1)),""))</f>
        <v/>
      </c>
      <c r="C410" s="17" t="str">
        <f aca="false">IF(A410="","",YEAR(A410)&amp;"-"&amp;TEXT(MONTH(A410),"00"))</f>
        <v/>
      </c>
      <c r="D410" s="26"/>
      <c r="E410" s="26"/>
      <c r="F410" s="26"/>
      <c r="G410" s="29"/>
      <c r="H410" s="26"/>
      <c r="I410" s="32"/>
      <c r="J410" s="26"/>
      <c r="K410" s="26"/>
    </row>
    <row r="411" customFormat="false" ht="15" hidden="false" customHeight="false" outlineLevel="0" collapsed="false">
      <c r="A411" s="32"/>
      <c r="B411" s="17" t="str">
        <f aca="false">IF(A411="","",IFERROR(INDEX(Calendario!$A$4:$A$107,MATCH(A411,Calendario!$B$4:$B$107,1)),""))</f>
        <v/>
      </c>
      <c r="C411" s="17" t="str">
        <f aca="false">IF(A411="","",YEAR(A411)&amp;"-"&amp;TEXT(MONTH(A411),"00"))</f>
        <v/>
      </c>
      <c r="D411" s="26"/>
      <c r="E411" s="26"/>
      <c r="F411" s="26"/>
      <c r="G411" s="29"/>
      <c r="H411" s="26"/>
      <c r="I411" s="32"/>
      <c r="J411" s="26"/>
      <c r="K411" s="26"/>
    </row>
    <row r="412" customFormat="false" ht="15" hidden="false" customHeight="false" outlineLevel="0" collapsed="false">
      <c r="A412" s="32"/>
      <c r="B412" s="17" t="str">
        <f aca="false">IF(A412="","",IFERROR(INDEX(Calendario!$A$4:$A$107,MATCH(A412,Calendario!$B$4:$B$107,1)),""))</f>
        <v/>
      </c>
      <c r="C412" s="17" t="str">
        <f aca="false">IF(A412="","",YEAR(A412)&amp;"-"&amp;TEXT(MONTH(A412),"00"))</f>
        <v/>
      </c>
      <c r="D412" s="26"/>
      <c r="E412" s="26"/>
      <c r="F412" s="26"/>
      <c r="G412" s="29"/>
      <c r="H412" s="26"/>
      <c r="I412" s="32"/>
      <c r="J412" s="26"/>
      <c r="K412" s="26"/>
    </row>
    <row r="413" customFormat="false" ht="15" hidden="false" customHeight="false" outlineLevel="0" collapsed="false">
      <c r="A413" s="32"/>
      <c r="B413" s="17" t="str">
        <f aca="false">IF(A413="","",IFERROR(INDEX(Calendario!$A$4:$A$107,MATCH(A413,Calendario!$B$4:$B$107,1)),""))</f>
        <v/>
      </c>
      <c r="C413" s="17" t="str">
        <f aca="false">IF(A413="","",YEAR(A413)&amp;"-"&amp;TEXT(MONTH(A413),"00"))</f>
        <v/>
      </c>
      <c r="D413" s="26"/>
      <c r="E413" s="26"/>
      <c r="F413" s="26"/>
      <c r="G413" s="29"/>
      <c r="H413" s="26"/>
      <c r="I413" s="32"/>
      <c r="J413" s="26"/>
      <c r="K413" s="26"/>
    </row>
    <row r="414" customFormat="false" ht="15" hidden="false" customHeight="false" outlineLevel="0" collapsed="false">
      <c r="A414" s="32"/>
      <c r="B414" s="17" t="str">
        <f aca="false">IF(A414="","",IFERROR(INDEX(Calendario!$A$4:$A$107,MATCH(A414,Calendario!$B$4:$B$107,1)),""))</f>
        <v/>
      </c>
      <c r="C414" s="17" t="str">
        <f aca="false">IF(A414="","",YEAR(A414)&amp;"-"&amp;TEXT(MONTH(A414),"00"))</f>
        <v/>
      </c>
      <c r="D414" s="26"/>
      <c r="E414" s="26"/>
      <c r="F414" s="26"/>
      <c r="G414" s="29"/>
      <c r="H414" s="26"/>
      <c r="I414" s="32"/>
      <c r="J414" s="26"/>
      <c r="K414" s="26"/>
    </row>
    <row r="415" customFormat="false" ht="15" hidden="false" customHeight="false" outlineLevel="0" collapsed="false">
      <c r="A415" s="32"/>
      <c r="B415" s="17" t="str">
        <f aca="false">IF(A415="","",IFERROR(INDEX(Calendario!$A$4:$A$107,MATCH(A415,Calendario!$B$4:$B$107,1)),""))</f>
        <v/>
      </c>
      <c r="C415" s="17" t="str">
        <f aca="false">IF(A415="","",YEAR(A415)&amp;"-"&amp;TEXT(MONTH(A415),"00"))</f>
        <v/>
      </c>
      <c r="D415" s="26"/>
      <c r="E415" s="26"/>
      <c r="F415" s="26"/>
      <c r="G415" s="29"/>
      <c r="H415" s="26"/>
      <c r="I415" s="32"/>
      <c r="J415" s="26"/>
      <c r="K415" s="26"/>
    </row>
    <row r="416" customFormat="false" ht="15" hidden="false" customHeight="false" outlineLevel="0" collapsed="false">
      <c r="A416" s="32"/>
      <c r="B416" s="17" t="str">
        <f aca="false">IF(A416="","",IFERROR(INDEX(Calendario!$A$4:$A$107,MATCH(A416,Calendario!$B$4:$B$107,1)),""))</f>
        <v/>
      </c>
      <c r="C416" s="17" t="str">
        <f aca="false">IF(A416="","",YEAR(A416)&amp;"-"&amp;TEXT(MONTH(A416),"00"))</f>
        <v/>
      </c>
      <c r="D416" s="26"/>
      <c r="E416" s="26"/>
      <c r="F416" s="26"/>
      <c r="G416" s="29"/>
      <c r="H416" s="26"/>
      <c r="I416" s="32"/>
      <c r="J416" s="26"/>
      <c r="K416" s="26"/>
    </row>
    <row r="417" customFormat="false" ht="15" hidden="false" customHeight="false" outlineLevel="0" collapsed="false">
      <c r="A417" s="32"/>
      <c r="B417" s="17" t="str">
        <f aca="false">IF(A417="","",IFERROR(INDEX(Calendario!$A$4:$A$107,MATCH(A417,Calendario!$B$4:$B$107,1)),""))</f>
        <v/>
      </c>
      <c r="C417" s="17" t="str">
        <f aca="false">IF(A417="","",YEAR(A417)&amp;"-"&amp;TEXT(MONTH(A417),"00"))</f>
        <v/>
      </c>
      <c r="D417" s="26"/>
      <c r="E417" s="26"/>
      <c r="F417" s="26"/>
      <c r="G417" s="29"/>
      <c r="H417" s="26"/>
      <c r="I417" s="32"/>
      <c r="J417" s="26"/>
      <c r="K417" s="26"/>
    </row>
    <row r="418" customFormat="false" ht="15" hidden="false" customHeight="false" outlineLevel="0" collapsed="false">
      <c r="A418" s="32"/>
      <c r="B418" s="17" t="str">
        <f aca="false">IF(A418="","",IFERROR(INDEX(Calendario!$A$4:$A$107,MATCH(A418,Calendario!$B$4:$B$107,1)),""))</f>
        <v/>
      </c>
      <c r="C418" s="17" t="str">
        <f aca="false">IF(A418="","",YEAR(A418)&amp;"-"&amp;TEXT(MONTH(A418),"00"))</f>
        <v/>
      </c>
      <c r="D418" s="26"/>
      <c r="E418" s="26"/>
      <c r="F418" s="26"/>
      <c r="G418" s="29"/>
      <c r="H418" s="26"/>
      <c r="I418" s="32"/>
      <c r="J418" s="26"/>
      <c r="K418" s="26"/>
    </row>
    <row r="419" customFormat="false" ht="15" hidden="false" customHeight="false" outlineLevel="0" collapsed="false">
      <c r="A419" s="32"/>
      <c r="B419" s="17" t="str">
        <f aca="false">IF(A419="","",IFERROR(INDEX(Calendario!$A$4:$A$107,MATCH(A419,Calendario!$B$4:$B$107,1)),""))</f>
        <v/>
      </c>
      <c r="C419" s="17" t="str">
        <f aca="false">IF(A419="","",YEAR(A419)&amp;"-"&amp;TEXT(MONTH(A419),"00"))</f>
        <v/>
      </c>
      <c r="D419" s="26"/>
      <c r="E419" s="26"/>
      <c r="F419" s="26"/>
      <c r="G419" s="29"/>
      <c r="H419" s="26"/>
      <c r="I419" s="32"/>
      <c r="J419" s="26"/>
      <c r="K419" s="26"/>
    </row>
    <row r="420" customFormat="false" ht="15" hidden="false" customHeight="false" outlineLevel="0" collapsed="false">
      <c r="A420" s="32"/>
      <c r="B420" s="17" t="str">
        <f aca="false">IF(A420="","",IFERROR(INDEX(Calendario!$A$4:$A$107,MATCH(A420,Calendario!$B$4:$B$107,1)),""))</f>
        <v/>
      </c>
      <c r="C420" s="17" t="str">
        <f aca="false">IF(A420="","",YEAR(A420)&amp;"-"&amp;TEXT(MONTH(A420),"00"))</f>
        <v/>
      </c>
      <c r="D420" s="26"/>
      <c r="E420" s="26"/>
      <c r="F420" s="26"/>
      <c r="G420" s="29"/>
      <c r="H420" s="26"/>
      <c r="I420" s="32"/>
      <c r="J420" s="26"/>
      <c r="K420" s="26"/>
    </row>
    <row r="421" customFormat="false" ht="15" hidden="false" customHeight="false" outlineLevel="0" collapsed="false">
      <c r="A421" s="32"/>
      <c r="B421" s="17" t="str">
        <f aca="false">IF(A421="","",IFERROR(INDEX(Calendario!$A$4:$A$107,MATCH(A421,Calendario!$B$4:$B$107,1)),""))</f>
        <v/>
      </c>
      <c r="C421" s="17" t="str">
        <f aca="false">IF(A421="","",YEAR(A421)&amp;"-"&amp;TEXT(MONTH(A421),"00"))</f>
        <v/>
      </c>
      <c r="D421" s="26"/>
      <c r="E421" s="26"/>
      <c r="F421" s="26"/>
      <c r="G421" s="29"/>
      <c r="H421" s="26"/>
      <c r="I421" s="32"/>
      <c r="J421" s="26"/>
      <c r="K421" s="26"/>
    </row>
    <row r="422" customFormat="false" ht="15" hidden="false" customHeight="false" outlineLevel="0" collapsed="false">
      <c r="A422" s="32"/>
      <c r="B422" s="17" t="str">
        <f aca="false">IF(A422="","",IFERROR(INDEX(Calendario!$A$4:$A$107,MATCH(A422,Calendario!$B$4:$B$107,1)),""))</f>
        <v/>
      </c>
      <c r="C422" s="17" t="str">
        <f aca="false">IF(A422="","",YEAR(A422)&amp;"-"&amp;TEXT(MONTH(A422),"00"))</f>
        <v/>
      </c>
      <c r="D422" s="26"/>
      <c r="E422" s="26"/>
      <c r="F422" s="26"/>
      <c r="G422" s="29"/>
      <c r="H422" s="26"/>
      <c r="I422" s="32"/>
      <c r="J422" s="26"/>
      <c r="K422" s="26"/>
    </row>
    <row r="423" customFormat="false" ht="15" hidden="false" customHeight="false" outlineLevel="0" collapsed="false">
      <c r="A423" s="32"/>
      <c r="B423" s="17" t="str">
        <f aca="false">IF(A423="","",IFERROR(INDEX(Calendario!$A$4:$A$107,MATCH(A423,Calendario!$B$4:$B$107,1)),""))</f>
        <v/>
      </c>
      <c r="C423" s="17" t="str">
        <f aca="false">IF(A423="","",YEAR(A423)&amp;"-"&amp;TEXT(MONTH(A423),"00"))</f>
        <v/>
      </c>
      <c r="D423" s="26"/>
      <c r="E423" s="26"/>
      <c r="F423" s="26"/>
      <c r="G423" s="29"/>
      <c r="H423" s="26"/>
      <c r="I423" s="32"/>
      <c r="J423" s="26"/>
      <c r="K423" s="26"/>
    </row>
    <row r="424" customFormat="false" ht="15" hidden="false" customHeight="false" outlineLevel="0" collapsed="false">
      <c r="A424" s="32"/>
      <c r="B424" s="17" t="str">
        <f aca="false">IF(A424="","",IFERROR(INDEX(Calendario!$A$4:$A$107,MATCH(A424,Calendario!$B$4:$B$107,1)),""))</f>
        <v/>
      </c>
      <c r="C424" s="17" t="str">
        <f aca="false">IF(A424="","",YEAR(A424)&amp;"-"&amp;TEXT(MONTH(A424),"00"))</f>
        <v/>
      </c>
      <c r="D424" s="26"/>
      <c r="E424" s="26"/>
      <c r="F424" s="26"/>
      <c r="G424" s="29"/>
      <c r="H424" s="26"/>
      <c r="I424" s="32"/>
      <c r="J424" s="26"/>
      <c r="K424" s="26"/>
    </row>
    <row r="425" customFormat="false" ht="15" hidden="false" customHeight="false" outlineLevel="0" collapsed="false">
      <c r="A425" s="32"/>
      <c r="B425" s="17" t="str">
        <f aca="false">IF(A425="","",IFERROR(INDEX(Calendario!$A$4:$A$107,MATCH(A425,Calendario!$B$4:$B$107,1)),""))</f>
        <v/>
      </c>
      <c r="C425" s="17" t="str">
        <f aca="false">IF(A425="","",YEAR(A425)&amp;"-"&amp;TEXT(MONTH(A425),"00"))</f>
        <v/>
      </c>
      <c r="D425" s="26"/>
      <c r="E425" s="26"/>
      <c r="F425" s="26"/>
      <c r="G425" s="29"/>
      <c r="H425" s="26"/>
      <c r="I425" s="32"/>
      <c r="J425" s="26"/>
      <c r="K425" s="26"/>
    </row>
    <row r="426" customFormat="false" ht="15" hidden="false" customHeight="false" outlineLevel="0" collapsed="false">
      <c r="A426" s="32"/>
      <c r="B426" s="17" t="str">
        <f aca="false">IF(A426="","",IFERROR(INDEX(Calendario!$A$4:$A$107,MATCH(A426,Calendario!$B$4:$B$107,1)),""))</f>
        <v/>
      </c>
      <c r="C426" s="17" t="str">
        <f aca="false">IF(A426="","",YEAR(A426)&amp;"-"&amp;TEXT(MONTH(A426),"00"))</f>
        <v/>
      </c>
      <c r="D426" s="26"/>
      <c r="E426" s="26"/>
      <c r="F426" s="26"/>
      <c r="G426" s="29"/>
      <c r="H426" s="26"/>
      <c r="I426" s="32"/>
      <c r="J426" s="26"/>
      <c r="K426" s="26"/>
    </row>
    <row r="427" customFormat="false" ht="15" hidden="false" customHeight="false" outlineLevel="0" collapsed="false">
      <c r="A427" s="32"/>
      <c r="B427" s="17" t="str">
        <f aca="false">IF(A427="","",IFERROR(INDEX(Calendario!$A$4:$A$107,MATCH(A427,Calendario!$B$4:$B$107,1)),""))</f>
        <v/>
      </c>
      <c r="C427" s="17" t="str">
        <f aca="false">IF(A427="","",YEAR(A427)&amp;"-"&amp;TEXT(MONTH(A427),"00"))</f>
        <v/>
      </c>
      <c r="D427" s="26"/>
      <c r="E427" s="26"/>
      <c r="F427" s="26"/>
      <c r="G427" s="29"/>
      <c r="H427" s="26"/>
      <c r="I427" s="32"/>
      <c r="J427" s="26"/>
      <c r="K427" s="26"/>
    </row>
    <row r="428" customFormat="false" ht="15" hidden="false" customHeight="false" outlineLevel="0" collapsed="false">
      <c r="A428" s="32"/>
      <c r="B428" s="17" t="str">
        <f aca="false">IF(A428="","",IFERROR(INDEX(Calendario!$A$4:$A$107,MATCH(A428,Calendario!$B$4:$B$107,1)),""))</f>
        <v/>
      </c>
      <c r="C428" s="17" t="str">
        <f aca="false">IF(A428="","",YEAR(A428)&amp;"-"&amp;TEXT(MONTH(A428),"00"))</f>
        <v/>
      </c>
      <c r="D428" s="26"/>
      <c r="E428" s="26"/>
      <c r="F428" s="26"/>
      <c r="G428" s="29"/>
      <c r="H428" s="26"/>
      <c r="I428" s="32"/>
      <c r="J428" s="26"/>
      <c r="K428" s="26"/>
    </row>
    <row r="429" customFormat="false" ht="15" hidden="false" customHeight="false" outlineLevel="0" collapsed="false">
      <c r="A429" s="32"/>
      <c r="B429" s="17" t="str">
        <f aca="false">IF(A429="","",IFERROR(INDEX(Calendario!$A$4:$A$107,MATCH(A429,Calendario!$B$4:$B$107,1)),""))</f>
        <v/>
      </c>
      <c r="C429" s="17" t="str">
        <f aca="false">IF(A429="","",YEAR(A429)&amp;"-"&amp;TEXT(MONTH(A429),"00"))</f>
        <v/>
      </c>
      <c r="D429" s="26"/>
      <c r="E429" s="26"/>
      <c r="F429" s="26"/>
      <c r="G429" s="29"/>
      <c r="H429" s="26"/>
      <c r="I429" s="32"/>
      <c r="J429" s="26"/>
      <c r="K429" s="26"/>
    </row>
    <row r="430" customFormat="false" ht="15" hidden="false" customHeight="false" outlineLevel="0" collapsed="false">
      <c r="A430" s="32"/>
      <c r="B430" s="17" t="str">
        <f aca="false">IF(A430="","",IFERROR(INDEX(Calendario!$A$4:$A$107,MATCH(A430,Calendario!$B$4:$B$107,1)),""))</f>
        <v/>
      </c>
      <c r="C430" s="17" t="str">
        <f aca="false">IF(A430="","",YEAR(A430)&amp;"-"&amp;TEXT(MONTH(A430),"00"))</f>
        <v/>
      </c>
      <c r="D430" s="26"/>
      <c r="E430" s="26"/>
      <c r="F430" s="26"/>
      <c r="G430" s="29"/>
      <c r="H430" s="26"/>
      <c r="I430" s="32"/>
      <c r="J430" s="26"/>
      <c r="K430" s="26"/>
    </row>
    <row r="431" customFormat="false" ht="15" hidden="false" customHeight="false" outlineLevel="0" collapsed="false">
      <c r="A431" s="32"/>
      <c r="B431" s="17" t="str">
        <f aca="false">IF(A431="","",IFERROR(INDEX(Calendario!$A$4:$A$107,MATCH(A431,Calendario!$B$4:$B$107,1)),""))</f>
        <v/>
      </c>
      <c r="C431" s="17" t="str">
        <f aca="false">IF(A431="","",YEAR(A431)&amp;"-"&amp;TEXT(MONTH(A431),"00"))</f>
        <v/>
      </c>
      <c r="D431" s="26"/>
      <c r="E431" s="26"/>
      <c r="F431" s="26"/>
      <c r="G431" s="29"/>
      <c r="H431" s="26"/>
      <c r="I431" s="32"/>
      <c r="J431" s="26"/>
      <c r="K431" s="26"/>
    </row>
    <row r="432" customFormat="false" ht="15" hidden="false" customHeight="false" outlineLevel="0" collapsed="false">
      <c r="A432" s="32"/>
      <c r="B432" s="17" t="str">
        <f aca="false">IF(A432="","",IFERROR(INDEX(Calendario!$A$4:$A$107,MATCH(A432,Calendario!$B$4:$B$107,1)),""))</f>
        <v/>
      </c>
      <c r="C432" s="17" t="str">
        <f aca="false">IF(A432="","",YEAR(A432)&amp;"-"&amp;TEXT(MONTH(A432),"00"))</f>
        <v/>
      </c>
      <c r="D432" s="26"/>
      <c r="E432" s="26"/>
      <c r="F432" s="26"/>
      <c r="G432" s="29"/>
      <c r="H432" s="26"/>
      <c r="I432" s="32"/>
      <c r="J432" s="26"/>
      <c r="K432" s="26"/>
    </row>
    <row r="433" customFormat="false" ht="15" hidden="false" customHeight="false" outlineLevel="0" collapsed="false">
      <c r="A433" s="32"/>
      <c r="B433" s="17" t="str">
        <f aca="false">IF(A433="","",IFERROR(INDEX(Calendario!$A$4:$A$107,MATCH(A433,Calendario!$B$4:$B$107,1)),""))</f>
        <v/>
      </c>
      <c r="C433" s="17" t="str">
        <f aca="false">IF(A433="","",YEAR(A433)&amp;"-"&amp;TEXT(MONTH(A433),"00"))</f>
        <v/>
      </c>
      <c r="D433" s="26"/>
      <c r="E433" s="26"/>
      <c r="F433" s="26"/>
      <c r="G433" s="29"/>
      <c r="H433" s="26"/>
      <c r="I433" s="32"/>
      <c r="J433" s="26"/>
      <c r="K433" s="26"/>
    </row>
    <row r="434" customFormat="false" ht="15" hidden="false" customHeight="false" outlineLevel="0" collapsed="false">
      <c r="A434" s="32"/>
      <c r="B434" s="17" t="str">
        <f aca="false">IF(A434="","",IFERROR(INDEX(Calendario!$A$4:$A$107,MATCH(A434,Calendario!$B$4:$B$107,1)),""))</f>
        <v/>
      </c>
      <c r="C434" s="17" t="str">
        <f aca="false">IF(A434="","",YEAR(A434)&amp;"-"&amp;TEXT(MONTH(A434),"00"))</f>
        <v/>
      </c>
      <c r="D434" s="26"/>
      <c r="E434" s="26"/>
      <c r="F434" s="26"/>
      <c r="G434" s="29"/>
      <c r="H434" s="26"/>
      <c r="I434" s="32"/>
      <c r="J434" s="26"/>
      <c r="K434" s="26"/>
    </row>
    <row r="435" customFormat="false" ht="15" hidden="false" customHeight="false" outlineLevel="0" collapsed="false">
      <c r="A435" s="32"/>
      <c r="B435" s="17" t="str">
        <f aca="false">IF(A435="","",IFERROR(INDEX(Calendario!$A$4:$A$107,MATCH(A435,Calendario!$B$4:$B$107,1)),""))</f>
        <v/>
      </c>
      <c r="C435" s="17" t="str">
        <f aca="false">IF(A435="","",YEAR(A435)&amp;"-"&amp;TEXT(MONTH(A435),"00"))</f>
        <v/>
      </c>
      <c r="D435" s="26"/>
      <c r="E435" s="26"/>
      <c r="F435" s="26"/>
      <c r="G435" s="29"/>
      <c r="H435" s="26"/>
      <c r="I435" s="32"/>
      <c r="J435" s="26"/>
      <c r="K435" s="26"/>
    </row>
    <row r="436" customFormat="false" ht="15" hidden="false" customHeight="false" outlineLevel="0" collapsed="false">
      <c r="A436" s="32"/>
      <c r="B436" s="17" t="str">
        <f aca="false">IF(A436="","",IFERROR(INDEX(Calendario!$A$4:$A$107,MATCH(A436,Calendario!$B$4:$B$107,1)),""))</f>
        <v/>
      </c>
      <c r="C436" s="17" t="str">
        <f aca="false">IF(A436="","",YEAR(A436)&amp;"-"&amp;TEXT(MONTH(A436),"00"))</f>
        <v/>
      </c>
      <c r="D436" s="26"/>
      <c r="E436" s="26"/>
      <c r="F436" s="26"/>
      <c r="G436" s="29"/>
      <c r="H436" s="26"/>
      <c r="I436" s="32"/>
      <c r="J436" s="26"/>
      <c r="K436" s="26"/>
    </row>
    <row r="437" customFormat="false" ht="15" hidden="false" customHeight="false" outlineLevel="0" collapsed="false">
      <c r="A437" s="32"/>
      <c r="B437" s="17" t="str">
        <f aca="false">IF(A437="","",IFERROR(INDEX(Calendario!$A$4:$A$107,MATCH(A437,Calendario!$B$4:$B$107,1)),""))</f>
        <v/>
      </c>
      <c r="C437" s="17" t="str">
        <f aca="false">IF(A437="","",YEAR(A437)&amp;"-"&amp;TEXT(MONTH(A437),"00"))</f>
        <v/>
      </c>
      <c r="D437" s="26"/>
      <c r="E437" s="26"/>
      <c r="F437" s="26"/>
      <c r="G437" s="29"/>
      <c r="H437" s="26"/>
      <c r="I437" s="32"/>
      <c r="J437" s="26"/>
      <c r="K437" s="26"/>
    </row>
    <row r="438" customFormat="false" ht="15" hidden="false" customHeight="false" outlineLevel="0" collapsed="false">
      <c r="A438" s="32"/>
      <c r="B438" s="17" t="str">
        <f aca="false">IF(A438="","",IFERROR(INDEX(Calendario!$A$4:$A$107,MATCH(A438,Calendario!$B$4:$B$107,1)),""))</f>
        <v/>
      </c>
      <c r="C438" s="17" t="str">
        <f aca="false">IF(A438="","",YEAR(A438)&amp;"-"&amp;TEXT(MONTH(A438),"00"))</f>
        <v/>
      </c>
      <c r="D438" s="26"/>
      <c r="E438" s="26"/>
      <c r="F438" s="26"/>
      <c r="G438" s="29"/>
      <c r="H438" s="26"/>
      <c r="I438" s="32"/>
      <c r="J438" s="26"/>
      <c r="K438" s="26"/>
    </row>
    <row r="439" customFormat="false" ht="15" hidden="false" customHeight="false" outlineLevel="0" collapsed="false">
      <c r="A439" s="32"/>
      <c r="B439" s="17" t="str">
        <f aca="false">IF(A439="","",IFERROR(INDEX(Calendario!$A$4:$A$107,MATCH(A439,Calendario!$B$4:$B$107,1)),""))</f>
        <v/>
      </c>
      <c r="C439" s="17" t="str">
        <f aca="false">IF(A439="","",YEAR(A439)&amp;"-"&amp;TEXT(MONTH(A439),"00"))</f>
        <v/>
      </c>
      <c r="D439" s="26"/>
      <c r="E439" s="26"/>
      <c r="F439" s="26"/>
      <c r="G439" s="29"/>
      <c r="H439" s="26"/>
      <c r="I439" s="32"/>
      <c r="J439" s="26"/>
      <c r="K439" s="26"/>
    </row>
    <row r="440" customFormat="false" ht="15" hidden="false" customHeight="false" outlineLevel="0" collapsed="false">
      <c r="A440" s="32"/>
      <c r="B440" s="17" t="str">
        <f aca="false">IF(A440="","",IFERROR(INDEX(Calendario!$A$4:$A$107,MATCH(A440,Calendario!$B$4:$B$107,1)),""))</f>
        <v/>
      </c>
      <c r="C440" s="17" t="str">
        <f aca="false">IF(A440="","",YEAR(A440)&amp;"-"&amp;TEXT(MONTH(A440),"00"))</f>
        <v/>
      </c>
      <c r="D440" s="26"/>
      <c r="E440" s="26"/>
      <c r="F440" s="26"/>
      <c r="G440" s="29"/>
      <c r="H440" s="26"/>
      <c r="I440" s="32"/>
      <c r="J440" s="26"/>
      <c r="K440" s="26"/>
    </row>
    <row r="441" customFormat="false" ht="15" hidden="false" customHeight="false" outlineLevel="0" collapsed="false">
      <c r="A441" s="32"/>
      <c r="B441" s="17" t="str">
        <f aca="false">IF(A441="","",IFERROR(INDEX(Calendario!$A$4:$A$107,MATCH(A441,Calendario!$B$4:$B$107,1)),""))</f>
        <v/>
      </c>
      <c r="C441" s="17" t="str">
        <f aca="false">IF(A441="","",YEAR(A441)&amp;"-"&amp;TEXT(MONTH(A441),"00"))</f>
        <v/>
      </c>
      <c r="D441" s="26"/>
      <c r="E441" s="26"/>
      <c r="F441" s="26"/>
      <c r="G441" s="29"/>
      <c r="H441" s="26"/>
      <c r="I441" s="32"/>
      <c r="J441" s="26"/>
      <c r="K441" s="26"/>
    </row>
    <row r="442" customFormat="false" ht="15" hidden="false" customHeight="false" outlineLevel="0" collapsed="false">
      <c r="A442" s="32"/>
      <c r="B442" s="17" t="str">
        <f aca="false">IF(A442="","",IFERROR(INDEX(Calendario!$A$4:$A$107,MATCH(A442,Calendario!$B$4:$B$107,1)),""))</f>
        <v/>
      </c>
      <c r="C442" s="17" t="str">
        <f aca="false">IF(A442="","",YEAR(A442)&amp;"-"&amp;TEXT(MONTH(A442),"00"))</f>
        <v/>
      </c>
      <c r="D442" s="26"/>
      <c r="E442" s="26"/>
      <c r="F442" s="26"/>
      <c r="G442" s="29"/>
      <c r="H442" s="26"/>
      <c r="I442" s="32"/>
      <c r="J442" s="26"/>
      <c r="K442" s="26"/>
    </row>
    <row r="443" customFormat="false" ht="15" hidden="false" customHeight="false" outlineLevel="0" collapsed="false">
      <c r="A443" s="32"/>
      <c r="B443" s="17" t="str">
        <f aca="false">IF(A443="","",IFERROR(INDEX(Calendario!$A$4:$A$107,MATCH(A443,Calendario!$B$4:$B$107,1)),""))</f>
        <v/>
      </c>
      <c r="C443" s="17" t="str">
        <f aca="false">IF(A443="","",YEAR(A443)&amp;"-"&amp;TEXT(MONTH(A443),"00"))</f>
        <v/>
      </c>
      <c r="D443" s="26"/>
      <c r="E443" s="26"/>
      <c r="F443" s="26"/>
      <c r="G443" s="29"/>
      <c r="H443" s="26"/>
      <c r="I443" s="32"/>
      <c r="J443" s="26"/>
      <c r="K443" s="26"/>
    </row>
    <row r="444" customFormat="false" ht="15" hidden="false" customHeight="false" outlineLevel="0" collapsed="false">
      <c r="A444" s="32"/>
      <c r="B444" s="17" t="str">
        <f aca="false">IF(A444="","",IFERROR(INDEX(Calendario!$A$4:$A$107,MATCH(A444,Calendario!$B$4:$B$107,1)),""))</f>
        <v/>
      </c>
      <c r="C444" s="17" t="str">
        <f aca="false">IF(A444="","",YEAR(A444)&amp;"-"&amp;TEXT(MONTH(A444),"00"))</f>
        <v/>
      </c>
      <c r="D444" s="26"/>
      <c r="E444" s="26"/>
      <c r="F444" s="26"/>
      <c r="G444" s="29"/>
      <c r="H444" s="26"/>
      <c r="I444" s="32"/>
      <c r="J444" s="26"/>
      <c r="K444" s="26"/>
    </row>
    <row r="445" customFormat="false" ht="15" hidden="false" customHeight="false" outlineLevel="0" collapsed="false">
      <c r="A445" s="32"/>
      <c r="B445" s="17" t="str">
        <f aca="false">IF(A445="","",IFERROR(INDEX(Calendario!$A$4:$A$107,MATCH(A445,Calendario!$B$4:$B$107,1)),""))</f>
        <v/>
      </c>
      <c r="C445" s="17" t="str">
        <f aca="false">IF(A445="","",YEAR(A445)&amp;"-"&amp;TEXT(MONTH(A445),"00"))</f>
        <v/>
      </c>
      <c r="D445" s="26"/>
      <c r="E445" s="26"/>
      <c r="F445" s="26"/>
      <c r="G445" s="29"/>
      <c r="H445" s="26"/>
      <c r="I445" s="32"/>
      <c r="J445" s="26"/>
      <c r="K445" s="26"/>
    </row>
    <row r="446" customFormat="false" ht="15" hidden="false" customHeight="false" outlineLevel="0" collapsed="false">
      <c r="A446" s="32"/>
      <c r="B446" s="17" t="str">
        <f aca="false">IF(A446="","",IFERROR(INDEX(Calendario!$A$4:$A$107,MATCH(A446,Calendario!$B$4:$B$107,1)),""))</f>
        <v/>
      </c>
      <c r="C446" s="17" t="str">
        <f aca="false">IF(A446="","",YEAR(A446)&amp;"-"&amp;TEXT(MONTH(A446),"00"))</f>
        <v/>
      </c>
      <c r="D446" s="26"/>
      <c r="E446" s="26"/>
      <c r="F446" s="26"/>
      <c r="G446" s="29"/>
      <c r="H446" s="26"/>
      <c r="I446" s="32"/>
      <c r="J446" s="26"/>
      <c r="K446" s="26"/>
    </row>
    <row r="447" customFormat="false" ht="15" hidden="false" customHeight="false" outlineLevel="0" collapsed="false">
      <c r="A447" s="32"/>
      <c r="B447" s="17" t="str">
        <f aca="false">IF(A447="","",IFERROR(INDEX(Calendario!$A$4:$A$107,MATCH(A447,Calendario!$B$4:$B$107,1)),""))</f>
        <v/>
      </c>
      <c r="C447" s="17" t="str">
        <f aca="false">IF(A447="","",YEAR(A447)&amp;"-"&amp;TEXT(MONTH(A447),"00"))</f>
        <v/>
      </c>
      <c r="D447" s="26"/>
      <c r="E447" s="26"/>
      <c r="F447" s="26"/>
      <c r="G447" s="29"/>
      <c r="H447" s="26"/>
      <c r="I447" s="32"/>
      <c r="J447" s="26"/>
      <c r="K447" s="26"/>
    </row>
    <row r="448" customFormat="false" ht="15" hidden="false" customHeight="false" outlineLevel="0" collapsed="false">
      <c r="A448" s="32"/>
      <c r="B448" s="17" t="str">
        <f aca="false">IF(A448="","",IFERROR(INDEX(Calendario!$A$4:$A$107,MATCH(A448,Calendario!$B$4:$B$107,1)),""))</f>
        <v/>
      </c>
      <c r="C448" s="17" t="str">
        <f aca="false">IF(A448="","",YEAR(A448)&amp;"-"&amp;TEXT(MONTH(A448),"00"))</f>
        <v/>
      </c>
      <c r="D448" s="26"/>
      <c r="E448" s="26"/>
      <c r="F448" s="26"/>
      <c r="G448" s="29"/>
      <c r="H448" s="26"/>
      <c r="I448" s="32"/>
      <c r="J448" s="26"/>
      <c r="K448" s="26"/>
    </row>
    <row r="449" customFormat="false" ht="15" hidden="false" customHeight="false" outlineLevel="0" collapsed="false">
      <c r="A449" s="32"/>
      <c r="B449" s="17" t="str">
        <f aca="false">IF(A449="","",IFERROR(INDEX(Calendario!$A$4:$A$107,MATCH(A449,Calendario!$B$4:$B$107,1)),""))</f>
        <v/>
      </c>
      <c r="C449" s="17" t="str">
        <f aca="false">IF(A449="","",YEAR(A449)&amp;"-"&amp;TEXT(MONTH(A449),"00"))</f>
        <v/>
      </c>
      <c r="D449" s="26"/>
      <c r="E449" s="26"/>
      <c r="F449" s="26"/>
      <c r="G449" s="29"/>
      <c r="H449" s="26"/>
      <c r="I449" s="32"/>
      <c r="J449" s="26"/>
      <c r="K449" s="26"/>
    </row>
    <row r="450" customFormat="false" ht="15" hidden="false" customHeight="false" outlineLevel="0" collapsed="false">
      <c r="A450" s="32"/>
      <c r="B450" s="17" t="str">
        <f aca="false">IF(A450="","",IFERROR(INDEX(Calendario!$A$4:$A$107,MATCH(A450,Calendario!$B$4:$B$107,1)),""))</f>
        <v/>
      </c>
      <c r="C450" s="17" t="str">
        <f aca="false">IF(A450="","",YEAR(A450)&amp;"-"&amp;TEXT(MONTH(A450),"00"))</f>
        <v/>
      </c>
      <c r="D450" s="26"/>
      <c r="E450" s="26"/>
      <c r="F450" s="26"/>
      <c r="G450" s="29"/>
      <c r="H450" s="26"/>
      <c r="I450" s="32"/>
      <c r="J450" s="26"/>
      <c r="K450" s="26"/>
    </row>
    <row r="451" customFormat="false" ht="15" hidden="false" customHeight="false" outlineLevel="0" collapsed="false">
      <c r="A451" s="32"/>
      <c r="B451" s="17" t="str">
        <f aca="false">IF(A451="","",IFERROR(INDEX(Calendario!$A$4:$A$107,MATCH(A451,Calendario!$B$4:$B$107,1)),""))</f>
        <v/>
      </c>
      <c r="C451" s="17" t="str">
        <f aca="false">IF(A451="","",YEAR(A451)&amp;"-"&amp;TEXT(MONTH(A451),"00"))</f>
        <v/>
      </c>
      <c r="D451" s="26"/>
      <c r="E451" s="26"/>
      <c r="F451" s="26"/>
      <c r="G451" s="29"/>
      <c r="H451" s="26"/>
      <c r="I451" s="32"/>
      <c r="J451" s="26"/>
      <c r="K451" s="26"/>
    </row>
    <row r="452" customFormat="false" ht="15" hidden="false" customHeight="false" outlineLevel="0" collapsed="false">
      <c r="A452" s="32"/>
      <c r="B452" s="17" t="str">
        <f aca="false">IF(A452="","",IFERROR(INDEX(Calendario!$A$4:$A$107,MATCH(A452,Calendario!$B$4:$B$107,1)),""))</f>
        <v/>
      </c>
      <c r="C452" s="17" t="str">
        <f aca="false">IF(A452="","",YEAR(A452)&amp;"-"&amp;TEXT(MONTH(A452),"00"))</f>
        <v/>
      </c>
      <c r="D452" s="26"/>
      <c r="E452" s="26"/>
      <c r="F452" s="26"/>
      <c r="G452" s="29"/>
      <c r="H452" s="26"/>
      <c r="I452" s="32"/>
      <c r="J452" s="26"/>
      <c r="K452" s="26"/>
    </row>
    <row r="453" customFormat="false" ht="15" hidden="false" customHeight="false" outlineLevel="0" collapsed="false">
      <c r="A453" s="32"/>
      <c r="B453" s="17" t="str">
        <f aca="false">IF(A453="","",IFERROR(INDEX(Calendario!$A$4:$A$107,MATCH(A453,Calendario!$B$4:$B$107,1)),""))</f>
        <v/>
      </c>
      <c r="C453" s="17" t="str">
        <f aca="false">IF(A453="","",YEAR(A453)&amp;"-"&amp;TEXT(MONTH(A453),"00"))</f>
        <v/>
      </c>
      <c r="D453" s="26"/>
      <c r="E453" s="26"/>
      <c r="F453" s="26"/>
      <c r="G453" s="29"/>
      <c r="H453" s="26"/>
      <c r="I453" s="32"/>
      <c r="J453" s="26"/>
      <c r="K453" s="26"/>
    </row>
    <row r="454" customFormat="false" ht="15" hidden="false" customHeight="false" outlineLevel="0" collapsed="false">
      <c r="A454" s="32"/>
      <c r="B454" s="17" t="str">
        <f aca="false">IF(A454="","",IFERROR(INDEX(Calendario!$A$4:$A$107,MATCH(A454,Calendario!$B$4:$B$107,1)),""))</f>
        <v/>
      </c>
      <c r="C454" s="17" t="str">
        <f aca="false">IF(A454="","",YEAR(A454)&amp;"-"&amp;TEXT(MONTH(A454),"00"))</f>
        <v/>
      </c>
      <c r="D454" s="26"/>
      <c r="E454" s="26"/>
      <c r="F454" s="26"/>
      <c r="G454" s="29"/>
      <c r="H454" s="26"/>
      <c r="I454" s="32"/>
      <c r="J454" s="26"/>
      <c r="K454" s="26"/>
    </row>
    <row r="455" customFormat="false" ht="15" hidden="false" customHeight="false" outlineLevel="0" collapsed="false">
      <c r="A455" s="32"/>
      <c r="B455" s="17" t="str">
        <f aca="false">IF(A455="","",IFERROR(INDEX(Calendario!$A$4:$A$107,MATCH(A455,Calendario!$B$4:$B$107,1)),""))</f>
        <v/>
      </c>
      <c r="C455" s="17" t="str">
        <f aca="false">IF(A455="","",YEAR(A455)&amp;"-"&amp;TEXT(MONTH(A455),"00"))</f>
        <v/>
      </c>
      <c r="D455" s="26"/>
      <c r="E455" s="26"/>
      <c r="F455" s="26"/>
      <c r="G455" s="29"/>
      <c r="H455" s="26"/>
      <c r="I455" s="32"/>
      <c r="J455" s="26"/>
      <c r="K455" s="26"/>
    </row>
    <row r="456" customFormat="false" ht="15" hidden="false" customHeight="false" outlineLevel="0" collapsed="false">
      <c r="A456" s="32"/>
      <c r="B456" s="17" t="str">
        <f aca="false">IF(A456="","",IFERROR(INDEX(Calendario!$A$4:$A$107,MATCH(A456,Calendario!$B$4:$B$107,1)),""))</f>
        <v/>
      </c>
      <c r="C456" s="17" t="str">
        <f aca="false">IF(A456="","",YEAR(A456)&amp;"-"&amp;TEXT(MONTH(A456),"00"))</f>
        <v/>
      </c>
      <c r="D456" s="26"/>
      <c r="E456" s="26"/>
      <c r="F456" s="26"/>
      <c r="G456" s="29"/>
      <c r="H456" s="26"/>
      <c r="I456" s="32"/>
      <c r="J456" s="26"/>
      <c r="K456" s="26"/>
    </row>
    <row r="457" customFormat="false" ht="15" hidden="false" customHeight="false" outlineLevel="0" collapsed="false">
      <c r="A457" s="32"/>
      <c r="B457" s="17" t="str">
        <f aca="false">IF(A457="","",IFERROR(INDEX(Calendario!$A$4:$A$107,MATCH(A457,Calendario!$B$4:$B$107,1)),""))</f>
        <v/>
      </c>
      <c r="C457" s="17" t="str">
        <f aca="false">IF(A457="","",YEAR(A457)&amp;"-"&amp;TEXT(MONTH(A457),"00"))</f>
        <v/>
      </c>
      <c r="D457" s="26"/>
      <c r="E457" s="26"/>
      <c r="F457" s="26"/>
      <c r="G457" s="29"/>
      <c r="H457" s="26"/>
      <c r="I457" s="32"/>
      <c r="J457" s="26"/>
      <c r="K457" s="26"/>
    </row>
    <row r="458" customFormat="false" ht="15" hidden="false" customHeight="false" outlineLevel="0" collapsed="false">
      <c r="A458" s="32"/>
      <c r="B458" s="17" t="str">
        <f aca="false">IF(A458="","",IFERROR(INDEX(Calendario!$A$4:$A$107,MATCH(A458,Calendario!$B$4:$B$107,1)),""))</f>
        <v/>
      </c>
      <c r="C458" s="17" t="str">
        <f aca="false">IF(A458="","",YEAR(A458)&amp;"-"&amp;TEXT(MONTH(A458),"00"))</f>
        <v/>
      </c>
      <c r="D458" s="26"/>
      <c r="E458" s="26"/>
      <c r="F458" s="26"/>
      <c r="G458" s="29"/>
      <c r="H458" s="26"/>
      <c r="I458" s="32"/>
      <c r="J458" s="26"/>
      <c r="K458" s="26"/>
    </row>
    <row r="459" customFormat="false" ht="15" hidden="false" customHeight="false" outlineLevel="0" collapsed="false">
      <c r="A459" s="32"/>
      <c r="B459" s="17" t="str">
        <f aca="false">IF(A459="","",IFERROR(INDEX(Calendario!$A$4:$A$107,MATCH(A459,Calendario!$B$4:$B$107,1)),""))</f>
        <v/>
      </c>
      <c r="C459" s="17" t="str">
        <f aca="false">IF(A459="","",YEAR(A459)&amp;"-"&amp;TEXT(MONTH(A459),"00"))</f>
        <v/>
      </c>
      <c r="D459" s="26"/>
      <c r="E459" s="26"/>
      <c r="F459" s="26"/>
      <c r="G459" s="29"/>
      <c r="H459" s="26"/>
      <c r="I459" s="32"/>
      <c r="J459" s="26"/>
      <c r="K459" s="26"/>
    </row>
    <row r="460" customFormat="false" ht="15" hidden="false" customHeight="false" outlineLevel="0" collapsed="false">
      <c r="A460" s="32"/>
      <c r="B460" s="17" t="str">
        <f aca="false">IF(A460="","",IFERROR(INDEX(Calendario!$A$4:$A$107,MATCH(A460,Calendario!$B$4:$B$107,1)),""))</f>
        <v/>
      </c>
      <c r="C460" s="17" t="str">
        <f aca="false">IF(A460="","",YEAR(A460)&amp;"-"&amp;TEXT(MONTH(A460),"00"))</f>
        <v/>
      </c>
      <c r="D460" s="26"/>
      <c r="E460" s="26"/>
      <c r="F460" s="26"/>
      <c r="G460" s="29"/>
      <c r="H460" s="26"/>
      <c r="I460" s="32"/>
      <c r="J460" s="26"/>
      <c r="K460" s="26"/>
    </row>
    <row r="461" customFormat="false" ht="15" hidden="false" customHeight="false" outlineLevel="0" collapsed="false">
      <c r="A461" s="32"/>
      <c r="B461" s="17" t="str">
        <f aca="false">IF(A461="","",IFERROR(INDEX(Calendario!$A$4:$A$107,MATCH(A461,Calendario!$B$4:$B$107,1)),""))</f>
        <v/>
      </c>
      <c r="C461" s="17" t="str">
        <f aca="false">IF(A461="","",YEAR(A461)&amp;"-"&amp;TEXT(MONTH(A461),"00"))</f>
        <v/>
      </c>
      <c r="D461" s="26"/>
      <c r="E461" s="26"/>
      <c r="F461" s="26"/>
      <c r="G461" s="29"/>
      <c r="H461" s="26"/>
      <c r="I461" s="32"/>
      <c r="J461" s="26"/>
      <c r="K461" s="26"/>
    </row>
    <row r="462" customFormat="false" ht="15" hidden="false" customHeight="false" outlineLevel="0" collapsed="false">
      <c r="A462" s="32"/>
      <c r="B462" s="17" t="str">
        <f aca="false">IF(A462="","",IFERROR(INDEX(Calendario!$A$4:$A$107,MATCH(A462,Calendario!$B$4:$B$107,1)),""))</f>
        <v/>
      </c>
      <c r="C462" s="17" t="str">
        <f aca="false">IF(A462="","",YEAR(A462)&amp;"-"&amp;TEXT(MONTH(A462),"00"))</f>
        <v/>
      </c>
      <c r="D462" s="26"/>
      <c r="E462" s="26"/>
      <c r="F462" s="26"/>
      <c r="G462" s="29"/>
      <c r="H462" s="26"/>
      <c r="I462" s="32"/>
      <c r="J462" s="26"/>
      <c r="K462" s="26"/>
    </row>
    <row r="463" customFormat="false" ht="15" hidden="false" customHeight="false" outlineLevel="0" collapsed="false">
      <c r="A463" s="32"/>
      <c r="B463" s="17" t="str">
        <f aca="false">IF(A463="","",IFERROR(INDEX(Calendario!$A$4:$A$107,MATCH(A463,Calendario!$B$4:$B$107,1)),""))</f>
        <v/>
      </c>
      <c r="C463" s="17" t="str">
        <f aca="false">IF(A463="","",YEAR(A463)&amp;"-"&amp;TEXT(MONTH(A463),"00"))</f>
        <v/>
      </c>
      <c r="D463" s="26"/>
      <c r="E463" s="26"/>
      <c r="F463" s="26"/>
      <c r="G463" s="29"/>
      <c r="H463" s="26"/>
      <c r="I463" s="32"/>
      <c r="J463" s="26"/>
      <c r="K463" s="26"/>
    </row>
    <row r="464" customFormat="false" ht="15" hidden="false" customHeight="false" outlineLevel="0" collapsed="false">
      <c r="A464" s="32"/>
      <c r="B464" s="17" t="str">
        <f aca="false">IF(A464="","",IFERROR(INDEX(Calendario!$A$4:$A$107,MATCH(A464,Calendario!$B$4:$B$107,1)),""))</f>
        <v/>
      </c>
      <c r="C464" s="17" t="str">
        <f aca="false">IF(A464="","",YEAR(A464)&amp;"-"&amp;TEXT(MONTH(A464),"00"))</f>
        <v/>
      </c>
      <c r="D464" s="26"/>
      <c r="E464" s="26"/>
      <c r="F464" s="26"/>
      <c r="G464" s="29"/>
      <c r="H464" s="26"/>
      <c r="I464" s="32"/>
      <c r="J464" s="26"/>
      <c r="K464" s="26"/>
    </row>
    <row r="465" customFormat="false" ht="15" hidden="false" customHeight="false" outlineLevel="0" collapsed="false">
      <c r="A465" s="32"/>
      <c r="B465" s="17" t="str">
        <f aca="false">IF(A465="","",IFERROR(INDEX(Calendario!$A$4:$A$107,MATCH(A465,Calendario!$B$4:$B$107,1)),""))</f>
        <v/>
      </c>
      <c r="C465" s="17" t="str">
        <f aca="false">IF(A465="","",YEAR(A465)&amp;"-"&amp;TEXT(MONTH(A465),"00"))</f>
        <v/>
      </c>
      <c r="D465" s="26"/>
      <c r="E465" s="26"/>
      <c r="F465" s="26"/>
      <c r="G465" s="29"/>
      <c r="H465" s="26"/>
      <c r="I465" s="32"/>
      <c r="J465" s="26"/>
      <c r="K465" s="26"/>
    </row>
    <row r="466" customFormat="false" ht="15" hidden="false" customHeight="false" outlineLevel="0" collapsed="false">
      <c r="A466" s="32"/>
      <c r="B466" s="17" t="str">
        <f aca="false">IF(A466="","",IFERROR(INDEX(Calendario!$A$4:$A$107,MATCH(A466,Calendario!$B$4:$B$107,1)),""))</f>
        <v/>
      </c>
      <c r="C466" s="17" t="str">
        <f aca="false">IF(A466="","",YEAR(A466)&amp;"-"&amp;TEXT(MONTH(A466),"00"))</f>
        <v/>
      </c>
      <c r="D466" s="26"/>
      <c r="E466" s="26"/>
      <c r="F466" s="26"/>
      <c r="G466" s="29"/>
      <c r="H466" s="26"/>
      <c r="I466" s="32"/>
      <c r="J466" s="26"/>
      <c r="K466" s="26"/>
    </row>
    <row r="467" customFormat="false" ht="15" hidden="false" customHeight="false" outlineLevel="0" collapsed="false">
      <c r="A467" s="32"/>
      <c r="B467" s="17" t="str">
        <f aca="false">IF(A467="","",IFERROR(INDEX(Calendario!$A$4:$A$107,MATCH(A467,Calendario!$B$4:$B$107,1)),""))</f>
        <v/>
      </c>
      <c r="C467" s="17" t="str">
        <f aca="false">IF(A467="","",YEAR(A467)&amp;"-"&amp;TEXT(MONTH(A467),"00"))</f>
        <v/>
      </c>
      <c r="D467" s="26"/>
      <c r="E467" s="26"/>
      <c r="F467" s="26"/>
      <c r="G467" s="29"/>
      <c r="H467" s="26"/>
      <c r="I467" s="32"/>
      <c r="J467" s="26"/>
      <c r="K467" s="26"/>
    </row>
    <row r="468" customFormat="false" ht="15" hidden="false" customHeight="false" outlineLevel="0" collapsed="false">
      <c r="A468" s="32"/>
      <c r="B468" s="17" t="str">
        <f aca="false">IF(A468="","",IFERROR(INDEX(Calendario!$A$4:$A$107,MATCH(A468,Calendario!$B$4:$B$107,1)),""))</f>
        <v/>
      </c>
      <c r="C468" s="17" t="str">
        <f aca="false">IF(A468="","",YEAR(A468)&amp;"-"&amp;TEXT(MONTH(A468),"00"))</f>
        <v/>
      </c>
      <c r="D468" s="26"/>
      <c r="E468" s="26"/>
      <c r="F468" s="26"/>
      <c r="G468" s="29"/>
      <c r="H468" s="26"/>
      <c r="I468" s="32"/>
      <c r="J468" s="26"/>
      <c r="K468" s="26"/>
    </row>
    <row r="469" customFormat="false" ht="15" hidden="false" customHeight="false" outlineLevel="0" collapsed="false">
      <c r="A469" s="32"/>
      <c r="B469" s="17" t="str">
        <f aca="false">IF(A469="","",IFERROR(INDEX(Calendario!$A$4:$A$107,MATCH(A469,Calendario!$B$4:$B$107,1)),""))</f>
        <v/>
      </c>
      <c r="C469" s="17" t="str">
        <f aca="false">IF(A469="","",YEAR(A469)&amp;"-"&amp;TEXT(MONTH(A469),"00"))</f>
        <v/>
      </c>
      <c r="D469" s="26"/>
      <c r="E469" s="26"/>
      <c r="F469" s="26"/>
      <c r="G469" s="29"/>
      <c r="H469" s="26"/>
      <c r="I469" s="32"/>
      <c r="J469" s="26"/>
      <c r="K469" s="26"/>
    </row>
    <row r="470" customFormat="false" ht="15" hidden="false" customHeight="false" outlineLevel="0" collapsed="false">
      <c r="A470" s="32"/>
      <c r="B470" s="17" t="str">
        <f aca="false">IF(A470="","",IFERROR(INDEX(Calendario!$A$4:$A$107,MATCH(A470,Calendario!$B$4:$B$107,1)),""))</f>
        <v/>
      </c>
      <c r="C470" s="17" t="str">
        <f aca="false">IF(A470="","",YEAR(A470)&amp;"-"&amp;TEXT(MONTH(A470),"00"))</f>
        <v/>
      </c>
      <c r="D470" s="26"/>
      <c r="E470" s="26"/>
      <c r="F470" s="26"/>
      <c r="G470" s="29"/>
      <c r="H470" s="26"/>
      <c r="I470" s="32"/>
      <c r="J470" s="26"/>
      <c r="K470" s="26"/>
    </row>
    <row r="471" customFormat="false" ht="15" hidden="false" customHeight="false" outlineLevel="0" collapsed="false">
      <c r="A471" s="32"/>
      <c r="B471" s="17" t="str">
        <f aca="false">IF(A471="","",IFERROR(INDEX(Calendario!$A$4:$A$107,MATCH(A471,Calendario!$B$4:$B$107,1)),""))</f>
        <v/>
      </c>
      <c r="C471" s="17" t="str">
        <f aca="false">IF(A471="","",YEAR(A471)&amp;"-"&amp;TEXT(MONTH(A471),"00"))</f>
        <v/>
      </c>
      <c r="D471" s="26"/>
      <c r="E471" s="26"/>
      <c r="F471" s="26"/>
      <c r="G471" s="29"/>
      <c r="H471" s="26"/>
      <c r="I471" s="32"/>
      <c r="J471" s="26"/>
      <c r="K471" s="26"/>
    </row>
    <row r="472" customFormat="false" ht="15" hidden="false" customHeight="false" outlineLevel="0" collapsed="false">
      <c r="A472" s="32"/>
      <c r="B472" s="17" t="str">
        <f aca="false">IF(A472="","",IFERROR(INDEX(Calendario!$A$4:$A$107,MATCH(A472,Calendario!$B$4:$B$107,1)),""))</f>
        <v/>
      </c>
      <c r="C472" s="17" t="str">
        <f aca="false">IF(A472="","",YEAR(A472)&amp;"-"&amp;TEXT(MONTH(A472),"00"))</f>
        <v/>
      </c>
      <c r="D472" s="26"/>
      <c r="E472" s="26"/>
      <c r="F472" s="26"/>
      <c r="G472" s="29"/>
      <c r="H472" s="26"/>
      <c r="I472" s="32"/>
      <c r="J472" s="26"/>
      <c r="K472" s="26"/>
    </row>
    <row r="473" customFormat="false" ht="15" hidden="false" customHeight="false" outlineLevel="0" collapsed="false">
      <c r="A473" s="32"/>
      <c r="B473" s="17" t="str">
        <f aca="false">IF(A473="","",IFERROR(INDEX(Calendario!$A$4:$A$107,MATCH(A473,Calendario!$B$4:$B$107,1)),""))</f>
        <v/>
      </c>
      <c r="C473" s="17" t="str">
        <f aca="false">IF(A473="","",YEAR(A473)&amp;"-"&amp;TEXT(MONTH(A473),"00"))</f>
        <v/>
      </c>
      <c r="D473" s="26"/>
      <c r="E473" s="26"/>
      <c r="F473" s="26"/>
      <c r="G473" s="29"/>
      <c r="H473" s="26"/>
      <c r="I473" s="32"/>
      <c r="J473" s="26"/>
      <c r="K473" s="26"/>
    </row>
    <row r="474" customFormat="false" ht="15" hidden="false" customHeight="false" outlineLevel="0" collapsed="false">
      <c r="A474" s="32"/>
      <c r="B474" s="17" t="str">
        <f aca="false">IF(A474="","",IFERROR(INDEX(Calendario!$A$4:$A$107,MATCH(A474,Calendario!$B$4:$B$107,1)),""))</f>
        <v/>
      </c>
      <c r="C474" s="17" t="str">
        <f aca="false">IF(A474="","",YEAR(A474)&amp;"-"&amp;TEXT(MONTH(A474),"00"))</f>
        <v/>
      </c>
      <c r="D474" s="26"/>
      <c r="E474" s="26"/>
      <c r="F474" s="26"/>
      <c r="G474" s="29"/>
      <c r="H474" s="26"/>
      <c r="I474" s="32"/>
      <c r="J474" s="26"/>
      <c r="K474" s="26"/>
    </row>
    <row r="475" customFormat="false" ht="15" hidden="false" customHeight="false" outlineLevel="0" collapsed="false">
      <c r="A475" s="32"/>
      <c r="B475" s="17" t="str">
        <f aca="false">IF(A475="","",IFERROR(INDEX(Calendario!$A$4:$A$107,MATCH(A475,Calendario!$B$4:$B$107,1)),""))</f>
        <v/>
      </c>
      <c r="C475" s="17" t="str">
        <f aca="false">IF(A475="","",YEAR(A475)&amp;"-"&amp;TEXT(MONTH(A475),"00"))</f>
        <v/>
      </c>
      <c r="D475" s="26"/>
      <c r="E475" s="26"/>
      <c r="F475" s="26"/>
      <c r="G475" s="29"/>
      <c r="H475" s="26"/>
      <c r="I475" s="32"/>
      <c r="J475" s="26"/>
      <c r="K475" s="26"/>
    </row>
    <row r="476" customFormat="false" ht="15" hidden="false" customHeight="false" outlineLevel="0" collapsed="false">
      <c r="A476" s="32"/>
      <c r="B476" s="17" t="str">
        <f aca="false">IF(A476="","",IFERROR(INDEX(Calendario!$A$4:$A$107,MATCH(A476,Calendario!$B$4:$B$107,1)),""))</f>
        <v/>
      </c>
      <c r="C476" s="17" t="str">
        <f aca="false">IF(A476="","",YEAR(A476)&amp;"-"&amp;TEXT(MONTH(A476),"00"))</f>
        <v/>
      </c>
      <c r="D476" s="26"/>
      <c r="E476" s="26"/>
      <c r="F476" s="26"/>
      <c r="G476" s="29"/>
      <c r="H476" s="26"/>
      <c r="I476" s="32"/>
      <c r="J476" s="26"/>
      <c r="K476" s="26"/>
    </row>
    <row r="477" customFormat="false" ht="15" hidden="false" customHeight="false" outlineLevel="0" collapsed="false">
      <c r="A477" s="32"/>
      <c r="B477" s="17" t="str">
        <f aca="false">IF(A477="","",IFERROR(INDEX(Calendario!$A$4:$A$107,MATCH(A477,Calendario!$B$4:$B$107,1)),""))</f>
        <v/>
      </c>
      <c r="C477" s="17" t="str">
        <f aca="false">IF(A477="","",YEAR(A477)&amp;"-"&amp;TEXT(MONTH(A477),"00"))</f>
        <v/>
      </c>
      <c r="D477" s="26"/>
      <c r="E477" s="26"/>
      <c r="F477" s="26"/>
      <c r="G477" s="29"/>
      <c r="H477" s="26"/>
      <c r="I477" s="32"/>
      <c r="J477" s="26"/>
      <c r="K477" s="26"/>
    </row>
    <row r="478" customFormat="false" ht="15" hidden="false" customHeight="false" outlineLevel="0" collapsed="false">
      <c r="A478" s="32"/>
      <c r="B478" s="17" t="str">
        <f aca="false">IF(A478="","",IFERROR(INDEX(Calendario!$A$4:$A$107,MATCH(A478,Calendario!$B$4:$B$107,1)),""))</f>
        <v/>
      </c>
      <c r="C478" s="17" t="str">
        <f aca="false">IF(A478="","",YEAR(A478)&amp;"-"&amp;TEXT(MONTH(A478),"00"))</f>
        <v/>
      </c>
      <c r="D478" s="26"/>
      <c r="E478" s="26"/>
      <c r="F478" s="26"/>
      <c r="G478" s="29"/>
      <c r="H478" s="26"/>
      <c r="I478" s="32"/>
      <c r="J478" s="26"/>
      <c r="K478" s="26"/>
    </row>
    <row r="479" customFormat="false" ht="15" hidden="false" customHeight="false" outlineLevel="0" collapsed="false">
      <c r="A479" s="32"/>
      <c r="B479" s="17" t="str">
        <f aca="false">IF(A479="","",IFERROR(INDEX(Calendario!$A$4:$A$107,MATCH(A479,Calendario!$B$4:$B$107,1)),""))</f>
        <v/>
      </c>
      <c r="C479" s="17" t="str">
        <f aca="false">IF(A479="","",YEAR(A479)&amp;"-"&amp;TEXT(MONTH(A479),"00"))</f>
        <v/>
      </c>
      <c r="D479" s="26"/>
      <c r="E479" s="26"/>
      <c r="F479" s="26"/>
      <c r="G479" s="29"/>
      <c r="H479" s="26"/>
      <c r="I479" s="32"/>
      <c r="J479" s="26"/>
      <c r="K479" s="26"/>
    </row>
    <row r="480" customFormat="false" ht="15" hidden="false" customHeight="false" outlineLevel="0" collapsed="false">
      <c r="A480" s="32"/>
      <c r="B480" s="17" t="str">
        <f aca="false">IF(A480="","",IFERROR(INDEX(Calendario!$A$4:$A$107,MATCH(A480,Calendario!$B$4:$B$107,1)),""))</f>
        <v/>
      </c>
      <c r="C480" s="17" t="str">
        <f aca="false">IF(A480="","",YEAR(A480)&amp;"-"&amp;TEXT(MONTH(A480),"00"))</f>
        <v/>
      </c>
      <c r="D480" s="26"/>
      <c r="E480" s="26"/>
      <c r="F480" s="26"/>
      <c r="G480" s="29"/>
      <c r="H480" s="26"/>
      <c r="I480" s="32"/>
      <c r="J480" s="26"/>
      <c r="K480" s="26"/>
    </row>
    <row r="481" customFormat="false" ht="15" hidden="false" customHeight="false" outlineLevel="0" collapsed="false">
      <c r="A481" s="32"/>
      <c r="B481" s="17" t="str">
        <f aca="false">IF(A481="","",IFERROR(INDEX(Calendario!$A$4:$A$107,MATCH(A481,Calendario!$B$4:$B$107,1)),""))</f>
        <v/>
      </c>
      <c r="C481" s="17" t="str">
        <f aca="false">IF(A481="","",YEAR(A481)&amp;"-"&amp;TEXT(MONTH(A481),"00"))</f>
        <v/>
      </c>
      <c r="D481" s="26"/>
      <c r="E481" s="26"/>
      <c r="F481" s="26"/>
      <c r="G481" s="29"/>
      <c r="H481" s="26"/>
      <c r="I481" s="32"/>
      <c r="J481" s="26"/>
      <c r="K481" s="26"/>
    </row>
    <row r="482" customFormat="false" ht="15" hidden="false" customHeight="false" outlineLevel="0" collapsed="false">
      <c r="A482" s="32"/>
      <c r="B482" s="17" t="str">
        <f aca="false">IF(A482="","",IFERROR(INDEX(Calendario!$A$4:$A$107,MATCH(A482,Calendario!$B$4:$B$107,1)),""))</f>
        <v/>
      </c>
      <c r="C482" s="17" t="str">
        <f aca="false">IF(A482="","",YEAR(A482)&amp;"-"&amp;TEXT(MONTH(A482),"00"))</f>
        <v/>
      </c>
      <c r="D482" s="26"/>
      <c r="E482" s="26"/>
      <c r="F482" s="26"/>
      <c r="G482" s="29"/>
      <c r="H482" s="26"/>
      <c r="I482" s="32"/>
      <c r="J482" s="26"/>
      <c r="K482" s="26"/>
    </row>
    <row r="483" customFormat="false" ht="15" hidden="false" customHeight="false" outlineLevel="0" collapsed="false">
      <c r="A483" s="32"/>
      <c r="B483" s="17" t="str">
        <f aca="false">IF(A483="","",IFERROR(INDEX(Calendario!$A$4:$A$107,MATCH(A483,Calendario!$B$4:$B$107,1)),""))</f>
        <v/>
      </c>
      <c r="C483" s="17" t="str">
        <f aca="false">IF(A483="","",YEAR(A483)&amp;"-"&amp;TEXT(MONTH(A483),"00"))</f>
        <v/>
      </c>
      <c r="D483" s="26"/>
      <c r="E483" s="26"/>
      <c r="F483" s="26"/>
      <c r="G483" s="29"/>
      <c r="H483" s="26"/>
      <c r="I483" s="32"/>
      <c r="J483" s="26"/>
      <c r="K483" s="26"/>
    </row>
    <row r="484" customFormat="false" ht="15" hidden="false" customHeight="false" outlineLevel="0" collapsed="false">
      <c r="A484" s="32"/>
      <c r="B484" s="17" t="str">
        <f aca="false">IF(A484="","",IFERROR(INDEX(Calendario!$A$4:$A$107,MATCH(A484,Calendario!$B$4:$B$107,1)),""))</f>
        <v/>
      </c>
      <c r="C484" s="17" t="str">
        <f aca="false">IF(A484="","",YEAR(A484)&amp;"-"&amp;TEXT(MONTH(A484),"00"))</f>
        <v/>
      </c>
      <c r="D484" s="26"/>
      <c r="E484" s="26"/>
      <c r="F484" s="26"/>
      <c r="G484" s="29"/>
      <c r="H484" s="26"/>
      <c r="I484" s="32"/>
      <c r="J484" s="26"/>
      <c r="K484" s="26"/>
    </row>
    <row r="485" customFormat="false" ht="15" hidden="false" customHeight="false" outlineLevel="0" collapsed="false">
      <c r="A485" s="32"/>
      <c r="B485" s="17" t="str">
        <f aca="false">IF(A485="","",IFERROR(INDEX(Calendario!$A$4:$A$107,MATCH(A485,Calendario!$B$4:$B$107,1)),""))</f>
        <v/>
      </c>
      <c r="C485" s="17" t="str">
        <f aca="false">IF(A485="","",YEAR(A485)&amp;"-"&amp;TEXT(MONTH(A485),"00"))</f>
        <v/>
      </c>
      <c r="D485" s="26"/>
      <c r="E485" s="26"/>
      <c r="F485" s="26"/>
      <c r="G485" s="29"/>
      <c r="H485" s="26"/>
      <c r="I485" s="32"/>
      <c r="J485" s="26"/>
      <c r="K485" s="26"/>
    </row>
    <row r="486" customFormat="false" ht="15" hidden="false" customHeight="false" outlineLevel="0" collapsed="false">
      <c r="A486" s="32"/>
      <c r="B486" s="17" t="str">
        <f aca="false">IF(A486="","",IFERROR(INDEX(Calendario!$A$4:$A$107,MATCH(A486,Calendario!$B$4:$B$107,1)),""))</f>
        <v/>
      </c>
      <c r="C486" s="17" t="str">
        <f aca="false">IF(A486="","",YEAR(A486)&amp;"-"&amp;TEXT(MONTH(A486),"00"))</f>
        <v/>
      </c>
      <c r="D486" s="26"/>
      <c r="E486" s="26"/>
      <c r="F486" s="26"/>
      <c r="G486" s="29"/>
      <c r="H486" s="26"/>
      <c r="I486" s="32"/>
      <c r="J486" s="26"/>
      <c r="K486" s="26"/>
    </row>
    <row r="487" customFormat="false" ht="15" hidden="false" customHeight="false" outlineLevel="0" collapsed="false">
      <c r="A487" s="32"/>
      <c r="B487" s="17" t="str">
        <f aca="false">IF(A487="","",IFERROR(INDEX(Calendario!$A$4:$A$107,MATCH(A487,Calendario!$B$4:$B$107,1)),""))</f>
        <v/>
      </c>
      <c r="C487" s="17" t="str">
        <f aca="false">IF(A487="","",YEAR(A487)&amp;"-"&amp;TEXT(MONTH(A487),"00"))</f>
        <v/>
      </c>
      <c r="D487" s="26"/>
      <c r="E487" s="26"/>
      <c r="F487" s="26"/>
      <c r="G487" s="29"/>
      <c r="H487" s="26"/>
      <c r="I487" s="32"/>
      <c r="J487" s="26"/>
      <c r="K487" s="26"/>
    </row>
    <row r="488" customFormat="false" ht="15" hidden="false" customHeight="false" outlineLevel="0" collapsed="false">
      <c r="A488" s="32"/>
      <c r="B488" s="17" t="str">
        <f aca="false">IF(A488="","",IFERROR(INDEX(Calendario!$A$4:$A$107,MATCH(A488,Calendario!$B$4:$B$107,1)),""))</f>
        <v/>
      </c>
      <c r="C488" s="17" t="str">
        <f aca="false">IF(A488="","",YEAR(A488)&amp;"-"&amp;TEXT(MONTH(A488),"00"))</f>
        <v/>
      </c>
      <c r="D488" s="26"/>
      <c r="E488" s="26"/>
      <c r="F488" s="26"/>
      <c r="G488" s="29"/>
      <c r="H488" s="26"/>
      <c r="I488" s="32"/>
      <c r="J488" s="26"/>
      <c r="K488" s="26"/>
    </row>
    <row r="489" customFormat="false" ht="15" hidden="false" customHeight="false" outlineLevel="0" collapsed="false">
      <c r="A489" s="32"/>
      <c r="B489" s="17" t="str">
        <f aca="false">IF(A489="","",IFERROR(INDEX(Calendario!$A$4:$A$107,MATCH(A489,Calendario!$B$4:$B$107,1)),""))</f>
        <v/>
      </c>
      <c r="C489" s="17" t="str">
        <f aca="false">IF(A489="","",YEAR(A489)&amp;"-"&amp;TEXT(MONTH(A489),"00"))</f>
        <v/>
      </c>
      <c r="D489" s="26"/>
      <c r="E489" s="26"/>
      <c r="F489" s="26"/>
      <c r="G489" s="29"/>
      <c r="H489" s="26"/>
      <c r="I489" s="32"/>
      <c r="J489" s="26"/>
      <c r="K489" s="26"/>
    </row>
    <row r="490" customFormat="false" ht="15" hidden="false" customHeight="false" outlineLevel="0" collapsed="false">
      <c r="A490" s="32"/>
      <c r="B490" s="17" t="str">
        <f aca="false">IF(A490="","",IFERROR(INDEX(Calendario!$A$4:$A$107,MATCH(A490,Calendario!$B$4:$B$107,1)),""))</f>
        <v/>
      </c>
      <c r="C490" s="17" t="str">
        <f aca="false">IF(A490="","",YEAR(A490)&amp;"-"&amp;TEXT(MONTH(A490),"00"))</f>
        <v/>
      </c>
      <c r="D490" s="26"/>
      <c r="E490" s="26"/>
      <c r="F490" s="26"/>
      <c r="G490" s="29"/>
      <c r="H490" s="26"/>
      <c r="I490" s="32"/>
      <c r="J490" s="26"/>
      <c r="K490" s="26"/>
    </row>
    <row r="491" customFormat="false" ht="15" hidden="false" customHeight="false" outlineLevel="0" collapsed="false">
      <c r="A491" s="32"/>
      <c r="B491" s="17" t="str">
        <f aca="false">IF(A491="","",IFERROR(INDEX(Calendario!$A$4:$A$107,MATCH(A491,Calendario!$B$4:$B$107,1)),""))</f>
        <v/>
      </c>
      <c r="C491" s="17" t="str">
        <f aca="false">IF(A491="","",YEAR(A491)&amp;"-"&amp;TEXT(MONTH(A491),"00"))</f>
        <v/>
      </c>
      <c r="D491" s="26"/>
      <c r="E491" s="26"/>
      <c r="F491" s="26"/>
      <c r="G491" s="29"/>
      <c r="H491" s="26"/>
      <c r="I491" s="32"/>
      <c r="J491" s="26"/>
      <c r="K491" s="26"/>
    </row>
    <row r="492" customFormat="false" ht="15" hidden="false" customHeight="false" outlineLevel="0" collapsed="false">
      <c r="A492" s="32"/>
      <c r="B492" s="17" t="str">
        <f aca="false">IF(A492="","",IFERROR(INDEX(Calendario!$A$4:$A$107,MATCH(A492,Calendario!$B$4:$B$107,1)),""))</f>
        <v/>
      </c>
      <c r="C492" s="17" t="str">
        <f aca="false">IF(A492="","",YEAR(A492)&amp;"-"&amp;TEXT(MONTH(A492),"00"))</f>
        <v/>
      </c>
      <c r="D492" s="26"/>
      <c r="E492" s="26"/>
      <c r="F492" s="26"/>
      <c r="G492" s="29"/>
      <c r="H492" s="26"/>
      <c r="I492" s="32"/>
      <c r="J492" s="26"/>
      <c r="K492" s="26"/>
    </row>
    <row r="493" customFormat="false" ht="15" hidden="false" customHeight="false" outlineLevel="0" collapsed="false">
      <c r="A493" s="32"/>
      <c r="B493" s="17" t="str">
        <f aca="false">IF(A493="","",IFERROR(INDEX(Calendario!$A$4:$A$107,MATCH(A493,Calendario!$B$4:$B$107,1)),""))</f>
        <v/>
      </c>
      <c r="C493" s="17" t="str">
        <f aca="false">IF(A493="","",YEAR(A493)&amp;"-"&amp;TEXT(MONTH(A493),"00"))</f>
        <v/>
      </c>
      <c r="D493" s="26"/>
      <c r="E493" s="26"/>
      <c r="F493" s="26"/>
      <c r="G493" s="29"/>
      <c r="H493" s="26"/>
      <c r="I493" s="32"/>
      <c r="J493" s="26"/>
      <c r="K493" s="26"/>
    </row>
    <row r="494" customFormat="false" ht="15" hidden="false" customHeight="false" outlineLevel="0" collapsed="false">
      <c r="A494" s="32"/>
      <c r="B494" s="17" t="str">
        <f aca="false">IF(A494="","",IFERROR(INDEX(Calendario!$A$4:$A$107,MATCH(A494,Calendario!$B$4:$B$107,1)),""))</f>
        <v/>
      </c>
      <c r="C494" s="17" t="str">
        <f aca="false">IF(A494="","",YEAR(A494)&amp;"-"&amp;TEXT(MONTH(A494),"00"))</f>
        <v/>
      </c>
      <c r="D494" s="26"/>
      <c r="E494" s="26"/>
      <c r="F494" s="26"/>
      <c r="G494" s="29"/>
      <c r="H494" s="26"/>
      <c r="I494" s="32"/>
      <c r="J494" s="26"/>
      <c r="K494" s="26"/>
    </row>
    <row r="495" customFormat="false" ht="15" hidden="false" customHeight="false" outlineLevel="0" collapsed="false">
      <c r="A495" s="32"/>
      <c r="B495" s="17" t="str">
        <f aca="false">IF(A495="","",IFERROR(INDEX(Calendario!$A$4:$A$107,MATCH(A495,Calendario!$B$4:$B$107,1)),""))</f>
        <v/>
      </c>
      <c r="C495" s="17" t="str">
        <f aca="false">IF(A495="","",YEAR(A495)&amp;"-"&amp;TEXT(MONTH(A495),"00"))</f>
        <v/>
      </c>
      <c r="D495" s="26"/>
      <c r="E495" s="26"/>
      <c r="F495" s="26"/>
      <c r="G495" s="29"/>
      <c r="H495" s="26"/>
      <c r="I495" s="32"/>
      <c r="J495" s="26"/>
      <c r="K495" s="26"/>
    </row>
    <row r="496" customFormat="false" ht="15" hidden="false" customHeight="false" outlineLevel="0" collapsed="false">
      <c r="A496" s="32"/>
      <c r="B496" s="17" t="str">
        <f aca="false">IF(A496="","",IFERROR(INDEX(Calendario!$A$4:$A$107,MATCH(A496,Calendario!$B$4:$B$107,1)),""))</f>
        <v/>
      </c>
      <c r="C496" s="17" t="str">
        <f aca="false">IF(A496="","",YEAR(A496)&amp;"-"&amp;TEXT(MONTH(A496),"00"))</f>
        <v/>
      </c>
      <c r="D496" s="26"/>
      <c r="E496" s="26"/>
      <c r="F496" s="26"/>
      <c r="G496" s="29"/>
      <c r="H496" s="26"/>
      <c r="I496" s="32"/>
      <c r="J496" s="26"/>
      <c r="K496" s="26"/>
    </row>
    <row r="497" customFormat="false" ht="15" hidden="false" customHeight="false" outlineLevel="0" collapsed="false">
      <c r="A497" s="32"/>
      <c r="B497" s="17" t="str">
        <f aca="false">IF(A497="","",IFERROR(INDEX(Calendario!$A$4:$A$107,MATCH(A497,Calendario!$B$4:$B$107,1)),""))</f>
        <v/>
      </c>
      <c r="C497" s="17" t="str">
        <f aca="false">IF(A497="","",YEAR(A497)&amp;"-"&amp;TEXT(MONTH(A497),"00"))</f>
        <v/>
      </c>
      <c r="D497" s="26"/>
      <c r="E497" s="26"/>
      <c r="F497" s="26"/>
      <c r="G497" s="29"/>
      <c r="H497" s="26"/>
      <c r="I497" s="32"/>
      <c r="J497" s="26"/>
      <c r="K497" s="26"/>
    </row>
    <row r="498" customFormat="false" ht="15" hidden="false" customHeight="false" outlineLevel="0" collapsed="false">
      <c r="A498" s="32"/>
      <c r="B498" s="17" t="str">
        <f aca="false">IF(A498="","",IFERROR(INDEX(Calendario!$A$4:$A$107,MATCH(A498,Calendario!$B$4:$B$107,1)),""))</f>
        <v/>
      </c>
      <c r="C498" s="17" t="str">
        <f aca="false">IF(A498="","",YEAR(A498)&amp;"-"&amp;TEXT(MONTH(A498),"00"))</f>
        <v/>
      </c>
      <c r="D498" s="26"/>
      <c r="E498" s="26"/>
      <c r="F498" s="26"/>
      <c r="G498" s="29"/>
      <c r="H498" s="26"/>
      <c r="I498" s="32"/>
      <c r="J498" s="26"/>
      <c r="K498" s="26"/>
    </row>
    <row r="499" customFormat="false" ht="15" hidden="false" customHeight="false" outlineLevel="0" collapsed="false">
      <c r="A499" s="32"/>
      <c r="B499" s="17" t="str">
        <f aca="false">IF(A499="","",IFERROR(INDEX(Calendario!$A$4:$A$107,MATCH(A499,Calendario!$B$4:$B$107,1)),""))</f>
        <v/>
      </c>
      <c r="C499" s="17" t="str">
        <f aca="false">IF(A499="","",YEAR(A499)&amp;"-"&amp;TEXT(MONTH(A499),"00"))</f>
        <v/>
      </c>
      <c r="D499" s="26"/>
      <c r="E499" s="26"/>
      <c r="F499" s="26"/>
      <c r="G499" s="29"/>
      <c r="H499" s="26"/>
      <c r="I499" s="32"/>
      <c r="J499" s="26"/>
      <c r="K499" s="26"/>
    </row>
    <row r="500" customFormat="false" ht="15" hidden="false" customHeight="false" outlineLevel="0" collapsed="false">
      <c r="A500" s="32"/>
      <c r="B500" s="17" t="str">
        <f aca="false">IF(A500="","",IFERROR(INDEX(Calendario!$A$4:$A$107,MATCH(A500,Calendario!$B$4:$B$107,1)),""))</f>
        <v/>
      </c>
      <c r="C500" s="17" t="str">
        <f aca="false">IF(A500="","",YEAR(A500)&amp;"-"&amp;TEXT(MONTH(A500),"00"))</f>
        <v/>
      </c>
      <c r="D500" s="26"/>
      <c r="E500" s="26"/>
      <c r="F500" s="26"/>
      <c r="G500" s="29"/>
      <c r="H500" s="26"/>
      <c r="I500" s="32"/>
      <c r="J500" s="26"/>
      <c r="K500" s="26"/>
    </row>
    <row r="501" customFormat="false" ht="15" hidden="false" customHeight="false" outlineLevel="0" collapsed="false">
      <c r="A501" s="32"/>
      <c r="B501" s="17" t="str">
        <f aca="false">IF(A501="","",IFERROR(INDEX(Calendario!$A$4:$A$107,MATCH(A501,Calendario!$B$4:$B$107,1)),""))</f>
        <v/>
      </c>
      <c r="C501" s="17" t="str">
        <f aca="false">IF(A501="","",YEAR(A501)&amp;"-"&amp;TEXT(MONTH(A501),"00"))</f>
        <v/>
      </c>
      <c r="D501" s="26"/>
      <c r="E501" s="26"/>
      <c r="F501" s="26"/>
      <c r="G501" s="29"/>
      <c r="H501" s="26"/>
      <c r="I501" s="32"/>
      <c r="J501" s="26"/>
      <c r="K501" s="26"/>
    </row>
    <row r="502" customFormat="false" ht="15" hidden="false" customHeight="false" outlineLevel="0" collapsed="false">
      <c r="A502" s="32"/>
      <c r="B502" s="17" t="str">
        <f aca="false">IF(A502="","",IFERROR(INDEX(Calendario!$A$4:$A$107,MATCH(A502,Calendario!$B$4:$B$107,1)),""))</f>
        <v/>
      </c>
      <c r="C502" s="17" t="str">
        <f aca="false">IF(A502="","",YEAR(A502)&amp;"-"&amp;TEXT(MONTH(A502),"00"))</f>
        <v/>
      </c>
      <c r="D502" s="26"/>
      <c r="E502" s="26"/>
      <c r="F502" s="26"/>
      <c r="G502" s="29"/>
      <c r="H502" s="26"/>
      <c r="I502" s="32"/>
      <c r="J502" s="26"/>
      <c r="K502" s="26"/>
    </row>
    <row r="503" customFormat="false" ht="15" hidden="false" customHeight="false" outlineLevel="0" collapsed="false">
      <c r="A503" s="32"/>
      <c r="B503" s="17" t="str">
        <f aca="false">IF(A503="","",IFERROR(INDEX(Calendario!$A$4:$A$107,MATCH(A503,Calendario!$B$4:$B$107,1)),""))</f>
        <v/>
      </c>
      <c r="C503" s="17" t="str">
        <f aca="false">IF(A503="","",YEAR(A503)&amp;"-"&amp;TEXT(MONTH(A503),"00"))</f>
        <v/>
      </c>
      <c r="D503" s="26"/>
      <c r="E503" s="26"/>
      <c r="F503" s="26"/>
      <c r="G503" s="29"/>
      <c r="H503" s="26"/>
      <c r="I503" s="32"/>
      <c r="J503" s="26"/>
      <c r="K503" s="26"/>
    </row>
  </sheetData>
  <dataValidations count="3">
    <dataValidation allowBlank="true" error="Escolha um valor da lista" errorStyle="stop" operator="between" showDropDown="false" showErrorMessage="false" showInputMessage="false" sqref="D4:D503" type="list">
      <formula1>Config!$J$10:$J$21</formula1>
      <formula2>0</formula2>
    </dataValidation>
    <dataValidation allowBlank="true" error="Escolha um valor da lista" errorStyle="stop" operator="between" showDropDown="false" showErrorMessage="false" showInputMessage="false" sqref="E4:E503" type="list">
      <formula1>Config!$K$10:$K$21</formula1>
      <formula2>0</formula2>
    </dataValidation>
    <dataValidation allowBlank="true" error="Escolha um valor da lista" errorStyle="stop" operator="between" showDropDown="false" showErrorMessage="false" showInputMessage="false" sqref="H4:H503" type="list">
      <formula1>Config!$H$10:$H$21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507</v>
      </c>
    </row>
    <row r="2" customFormat="false" ht="15" hidden="false" customHeight="false" outlineLevel="0" collapsed="false">
      <c r="A2" s="2" t="s">
        <v>508</v>
      </c>
    </row>
    <row r="3" customFormat="false" ht="31.5" hidden="false" customHeight="true" outlineLevel="0" collapsed="false">
      <c r="A3" s="8" t="s">
        <v>28</v>
      </c>
      <c r="B3" s="8" t="s">
        <v>121</v>
      </c>
      <c r="C3" s="8" t="s">
        <v>123</v>
      </c>
      <c r="D3" s="8" t="s">
        <v>76</v>
      </c>
    </row>
    <row r="4" customFormat="false" ht="15" hidden="false" customHeight="false" outlineLevel="0" collapsed="false">
      <c r="A4" s="26" t="s">
        <v>382</v>
      </c>
      <c r="B4" s="26" t="s">
        <v>294</v>
      </c>
      <c r="C4" s="27" t="n">
        <v>16</v>
      </c>
      <c r="D4" s="26" t="s">
        <v>509</v>
      </c>
    </row>
    <row r="5" customFormat="false" ht="15" hidden="false" customHeight="false" outlineLevel="0" collapsed="false">
      <c r="A5" s="26" t="s">
        <v>382</v>
      </c>
      <c r="B5" s="26" t="s">
        <v>304</v>
      </c>
      <c r="C5" s="27" t="n">
        <v>10</v>
      </c>
      <c r="D5" s="26" t="s">
        <v>509</v>
      </c>
    </row>
    <row r="6" customFormat="false" ht="15" hidden="false" customHeight="false" outlineLevel="0" collapsed="false">
      <c r="A6" s="26" t="s">
        <v>382</v>
      </c>
      <c r="B6" s="26" t="s">
        <v>320</v>
      </c>
      <c r="C6" s="27" t="n">
        <v>7</v>
      </c>
      <c r="D6" s="26" t="s">
        <v>509</v>
      </c>
    </row>
    <row r="7" customFormat="false" ht="15" hidden="false" customHeight="false" outlineLevel="0" collapsed="false">
      <c r="A7" s="26" t="s">
        <v>382</v>
      </c>
      <c r="B7" s="26" t="s">
        <v>313</v>
      </c>
      <c r="C7" s="27" t="n">
        <v>5</v>
      </c>
      <c r="D7" s="26" t="s">
        <v>509</v>
      </c>
    </row>
    <row r="8" customFormat="false" ht="15" hidden="false" customHeight="false" outlineLevel="0" collapsed="false">
      <c r="A8" s="26" t="s">
        <v>219</v>
      </c>
      <c r="B8" s="26" t="s">
        <v>294</v>
      </c>
      <c r="C8" s="27" t="n">
        <v>20</v>
      </c>
      <c r="D8" s="26" t="s">
        <v>509</v>
      </c>
    </row>
    <row r="9" customFormat="false" ht="15" hidden="false" customHeight="false" outlineLevel="0" collapsed="false">
      <c r="A9" s="26" t="s">
        <v>219</v>
      </c>
      <c r="B9" s="26" t="s">
        <v>304</v>
      </c>
      <c r="C9" s="27" t="n">
        <v>12</v>
      </c>
      <c r="D9" s="26" t="s">
        <v>509</v>
      </c>
    </row>
    <row r="10" customFormat="false" ht="15" hidden="false" customHeight="false" outlineLevel="0" collapsed="false">
      <c r="A10" s="26" t="s">
        <v>219</v>
      </c>
      <c r="B10" s="26" t="s">
        <v>320</v>
      </c>
      <c r="C10" s="27" t="n">
        <v>8</v>
      </c>
      <c r="D10" s="26" t="s">
        <v>509</v>
      </c>
    </row>
    <row r="11" customFormat="false" ht="15" hidden="false" customHeight="false" outlineLevel="0" collapsed="false">
      <c r="A11" s="26" t="s">
        <v>219</v>
      </c>
      <c r="B11" s="26" t="s">
        <v>313</v>
      </c>
      <c r="C11" s="27" t="n">
        <v>5</v>
      </c>
      <c r="D11" s="26" t="s">
        <v>509</v>
      </c>
    </row>
    <row r="12" customFormat="false" ht="15" hidden="false" customHeight="false" outlineLevel="0" collapsed="false">
      <c r="A12" s="26"/>
      <c r="B12" s="26"/>
      <c r="C12" s="27"/>
      <c r="D12" s="26"/>
    </row>
    <row r="13" customFormat="false" ht="15" hidden="false" customHeight="false" outlineLevel="0" collapsed="false">
      <c r="A13" s="26"/>
      <c r="B13" s="26"/>
      <c r="C13" s="27"/>
      <c r="D13" s="26"/>
    </row>
    <row r="14" customFormat="false" ht="15" hidden="false" customHeight="false" outlineLevel="0" collapsed="false">
      <c r="A14" s="26"/>
      <c r="B14" s="26"/>
      <c r="C14" s="27"/>
      <c r="D14" s="26"/>
    </row>
    <row r="15" customFormat="false" ht="15" hidden="false" customHeight="false" outlineLevel="0" collapsed="false">
      <c r="A15" s="26"/>
      <c r="B15" s="26"/>
      <c r="C15" s="27"/>
      <c r="D15" s="26"/>
    </row>
    <row r="16" customFormat="false" ht="15" hidden="false" customHeight="false" outlineLevel="0" collapsed="false">
      <c r="A16" s="26"/>
      <c r="B16" s="26"/>
      <c r="C16" s="27"/>
      <c r="D16" s="26"/>
    </row>
    <row r="17" customFormat="false" ht="15" hidden="false" customHeight="false" outlineLevel="0" collapsed="false">
      <c r="A17" s="26"/>
      <c r="B17" s="26"/>
      <c r="C17" s="27"/>
      <c r="D17" s="26"/>
    </row>
    <row r="18" customFormat="false" ht="15" hidden="false" customHeight="false" outlineLevel="0" collapsed="false">
      <c r="A18" s="26"/>
      <c r="B18" s="26"/>
      <c r="C18" s="27"/>
      <c r="D18" s="26"/>
    </row>
    <row r="19" customFormat="false" ht="15" hidden="false" customHeight="false" outlineLevel="0" collapsed="false">
      <c r="A19" s="26"/>
      <c r="B19" s="26"/>
      <c r="C19" s="27"/>
      <c r="D19" s="26"/>
    </row>
    <row r="20" customFormat="false" ht="15" hidden="false" customHeight="false" outlineLevel="0" collapsed="false">
      <c r="A20" s="26"/>
      <c r="B20" s="26"/>
      <c r="C20" s="27"/>
      <c r="D20" s="26"/>
    </row>
    <row r="21" customFormat="false" ht="15" hidden="false" customHeight="false" outlineLevel="0" collapsed="false">
      <c r="A21" s="26"/>
      <c r="B21" s="26"/>
      <c r="C21" s="27"/>
      <c r="D21" s="26"/>
    </row>
    <row r="22" customFormat="false" ht="15" hidden="false" customHeight="false" outlineLevel="0" collapsed="false">
      <c r="A22" s="26"/>
      <c r="B22" s="26"/>
      <c r="C22" s="27"/>
      <c r="D22" s="26"/>
    </row>
    <row r="23" customFormat="false" ht="15" hidden="false" customHeight="false" outlineLevel="0" collapsed="false">
      <c r="A23" s="26"/>
      <c r="B23" s="26"/>
      <c r="C23" s="27"/>
      <c r="D23" s="26"/>
    </row>
    <row r="24" customFormat="false" ht="15" hidden="false" customHeight="false" outlineLevel="0" collapsed="false">
      <c r="A24" s="26"/>
      <c r="B24" s="26"/>
      <c r="C24" s="27"/>
      <c r="D24" s="26"/>
    </row>
    <row r="25" customFormat="false" ht="15" hidden="false" customHeight="false" outlineLevel="0" collapsed="false">
      <c r="A25" s="26"/>
      <c r="B25" s="26"/>
      <c r="C25" s="27"/>
      <c r="D25" s="26"/>
    </row>
    <row r="26" customFormat="false" ht="15" hidden="false" customHeight="false" outlineLevel="0" collapsed="false">
      <c r="A26" s="26"/>
      <c r="B26" s="26"/>
      <c r="C26" s="27"/>
      <c r="D26" s="26"/>
    </row>
    <row r="27" customFormat="false" ht="15" hidden="false" customHeight="false" outlineLevel="0" collapsed="false">
      <c r="A27" s="26"/>
      <c r="B27" s="26"/>
      <c r="C27" s="27"/>
      <c r="D27" s="26"/>
    </row>
    <row r="28" customFormat="false" ht="15" hidden="false" customHeight="false" outlineLevel="0" collapsed="false">
      <c r="A28" s="26"/>
      <c r="B28" s="26"/>
      <c r="C28" s="27"/>
      <c r="D28" s="26"/>
    </row>
    <row r="29" customFormat="false" ht="15" hidden="false" customHeight="false" outlineLevel="0" collapsed="false">
      <c r="A29" s="26"/>
      <c r="B29" s="26"/>
      <c r="C29" s="27"/>
      <c r="D29" s="26"/>
    </row>
    <row r="30" customFormat="false" ht="15" hidden="false" customHeight="false" outlineLevel="0" collapsed="false">
      <c r="A30" s="26"/>
      <c r="B30" s="26"/>
      <c r="C30" s="27"/>
      <c r="D30" s="26"/>
    </row>
    <row r="31" customFormat="false" ht="15" hidden="false" customHeight="false" outlineLevel="0" collapsed="false">
      <c r="A31" s="26"/>
      <c r="B31" s="26"/>
      <c r="C31" s="27"/>
      <c r="D31" s="26"/>
    </row>
    <row r="32" customFormat="false" ht="15" hidden="false" customHeight="false" outlineLevel="0" collapsed="false">
      <c r="A32" s="26"/>
      <c r="B32" s="26"/>
      <c r="C32" s="27"/>
      <c r="D32" s="26"/>
    </row>
    <row r="33" customFormat="false" ht="15" hidden="false" customHeight="false" outlineLevel="0" collapsed="false">
      <c r="A33" s="26"/>
      <c r="B33" s="26"/>
      <c r="C33" s="27"/>
      <c r="D33" s="26"/>
    </row>
    <row r="34" customFormat="false" ht="15" hidden="false" customHeight="false" outlineLevel="0" collapsed="false">
      <c r="A34" s="26"/>
      <c r="B34" s="26"/>
      <c r="C34" s="27"/>
      <c r="D34" s="26"/>
    </row>
    <row r="35" customFormat="false" ht="15" hidden="false" customHeight="false" outlineLevel="0" collapsed="false">
      <c r="A35" s="26"/>
      <c r="B35" s="26"/>
      <c r="C35" s="27"/>
      <c r="D35" s="26"/>
    </row>
    <row r="36" customFormat="false" ht="15" hidden="false" customHeight="false" outlineLevel="0" collapsed="false">
      <c r="A36" s="26"/>
      <c r="B36" s="26"/>
      <c r="C36" s="27"/>
      <c r="D36" s="26"/>
    </row>
    <row r="37" customFormat="false" ht="15" hidden="false" customHeight="false" outlineLevel="0" collapsed="false">
      <c r="A37" s="26"/>
      <c r="B37" s="26"/>
      <c r="C37" s="27"/>
      <c r="D37" s="26"/>
    </row>
    <row r="38" customFormat="false" ht="15" hidden="false" customHeight="false" outlineLevel="0" collapsed="false">
      <c r="A38" s="26"/>
      <c r="B38" s="26"/>
      <c r="C38" s="27"/>
      <c r="D38" s="26"/>
    </row>
    <row r="39" customFormat="false" ht="15" hidden="false" customHeight="false" outlineLevel="0" collapsed="false">
      <c r="A39" s="26"/>
      <c r="B39" s="26"/>
      <c r="C39" s="27"/>
      <c r="D39" s="26"/>
    </row>
    <row r="40" customFormat="false" ht="15" hidden="false" customHeight="false" outlineLevel="0" collapsed="false">
      <c r="A40" s="26"/>
      <c r="B40" s="26"/>
      <c r="C40" s="27"/>
      <c r="D40" s="26"/>
    </row>
    <row r="41" customFormat="false" ht="15" hidden="false" customHeight="false" outlineLevel="0" collapsed="false">
      <c r="A41" s="26"/>
      <c r="B41" s="26"/>
      <c r="C41" s="27"/>
      <c r="D41" s="26"/>
    </row>
    <row r="42" customFormat="false" ht="15" hidden="false" customHeight="false" outlineLevel="0" collapsed="false">
      <c r="A42" s="26"/>
      <c r="B42" s="26"/>
      <c r="C42" s="27"/>
      <c r="D42" s="26"/>
    </row>
    <row r="43" customFormat="false" ht="15" hidden="false" customHeight="false" outlineLevel="0" collapsed="false">
      <c r="A43" s="26"/>
      <c r="B43" s="26"/>
      <c r="C43" s="27"/>
      <c r="D43" s="26"/>
    </row>
    <row r="44" customFormat="false" ht="15" hidden="false" customHeight="false" outlineLevel="0" collapsed="false">
      <c r="A44" s="26"/>
      <c r="B44" s="26"/>
      <c r="C44" s="27"/>
      <c r="D44" s="26"/>
    </row>
    <row r="45" customFormat="false" ht="15" hidden="false" customHeight="false" outlineLevel="0" collapsed="false">
      <c r="A45" s="26"/>
      <c r="B45" s="26"/>
      <c r="C45" s="27"/>
      <c r="D45" s="26"/>
    </row>
    <row r="46" customFormat="false" ht="15" hidden="false" customHeight="false" outlineLevel="0" collapsed="false">
      <c r="A46" s="26"/>
      <c r="B46" s="26"/>
      <c r="C46" s="27"/>
      <c r="D46" s="26"/>
    </row>
    <row r="47" customFormat="false" ht="15" hidden="false" customHeight="false" outlineLevel="0" collapsed="false">
      <c r="A47" s="26"/>
      <c r="B47" s="26"/>
      <c r="C47" s="27"/>
      <c r="D47" s="26"/>
    </row>
    <row r="48" customFormat="false" ht="15" hidden="false" customHeight="false" outlineLevel="0" collapsed="false">
      <c r="A48" s="26"/>
      <c r="B48" s="26"/>
      <c r="C48" s="27"/>
      <c r="D48" s="26"/>
    </row>
    <row r="49" customFormat="false" ht="15" hidden="false" customHeight="false" outlineLevel="0" collapsed="false">
      <c r="A49" s="26"/>
      <c r="B49" s="26"/>
      <c r="C49" s="27"/>
      <c r="D49" s="26"/>
    </row>
    <row r="50" customFormat="false" ht="15" hidden="false" customHeight="false" outlineLevel="0" collapsed="false">
      <c r="A50" s="26"/>
      <c r="B50" s="26"/>
      <c r="C50" s="27"/>
      <c r="D50" s="26"/>
    </row>
    <row r="51" customFormat="false" ht="15" hidden="false" customHeight="false" outlineLevel="0" collapsed="false">
      <c r="A51" s="26"/>
      <c r="B51" s="26"/>
      <c r="C51" s="27"/>
      <c r="D51" s="26"/>
    </row>
    <row r="52" customFormat="false" ht="15" hidden="false" customHeight="false" outlineLevel="0" collapsed="false">
      <c r="A52" s="26"/>
      <c r="B52" s="26"/>
      <c r="C52" s="27"/>
      <c r="D52" s="26"/>
    </row>
    <row r="53" customFormat="false" ht="15" hidden="false" customHeight="false" outlineLevel="0" collapsed="false">
      <c r="A53" s="26"/>
      <c r="B53" s="26"/>
      <c r="C53" s="27"/>
      <c r="D53" s="26"/>
    </row>
    <row r="54" customFormat="false" ht="15" hidden="false" customHeight="false" outlineLevel="0" collapsed="false">
      <c r="A54" s="26"/>
      <c r="B54" s="26"/>
      <c r="C54" s="27"/>
      <c r="D54" s="26"/>
    </row>
    <row r="55" customFormat="false" ht="15" hidden="false" customHeight="false" outlineLevel="0" collapsed="false">
      <c r="A55" s="26"/>
      <c r="B55" s="26"/>
      <c r="C55" s="27"/>
      <c r="D55" s="26"/>
    </row>
    <row r="56" customFormat="false" ht="15" hidden="false" customHeight="false" outlineLevel="0" collapsed="false">
      <c r="A56" s="26"/>
      <c r="B56" s="26"/>
      <c r="C56" s="27"/>
      <c r="D56" s="26"/>
    </row>
    <row r="57" customFormat="false" ht="15" hidden="false" customHeight="false" outlineLevel="0" collapsed="false">
      <c r="A57" s="26"/>
      <c r="B57" s="26"/>
      <c r="C57" s="27"/>
      <c r="D57" s="26"/>
    </row>
    <row r="58" customFormat="false" ht="15" hidden="false" customHeight="false" outlineLevel="0" collapsed="false">
      <c r="A58" s="26"/>
      <c r="B58" s="26"/>
      <c r="C58" s="27"/>
      <c r="D58" s="26"/>
    </row>
    <row r="59" customFormat="false" ht="15" hidden="false" customHeight="false" outlineLevel="0" collapsed="false">
      <c r="A59" s="26"/>
      <c r="B59" s="26"/>
      <c r="C59" s="27"/>
      <c r="D59" s="26"/>
    </row>
    <row r="60" customFormat="false" ht="15" hidden="false" customHeight="false" outlineLevel="0" collapsed="false">
      <c r="A60" s="26"/>
      <c r="B60" s="26"/>
      <c r="C60" s="27"/>
      <c r="D60" s="26"/>
    </row>
    <row r="61" customFormat="false" ht="15" hidden="false" customHeight="false" outlineLevel="0" collapsed="false">
      <c r="A61" s="26"/>
      <c r="B61" s="26"/>
      <c r="C61" s="27"/>
      <c r="D61" s="26"/>
    </row>
    <row r="62" customFormat="false" ht="15" hidden="false" customHeight="false" outlineLevel="0" collapsed="false">
      <c r="A62" s="26"/>
      <c r="B62" s="26"/>
      <c r="C62" s="27"/>
      <c r="D62" s="26"/>
    </row>
    <row r="63" customFormat="false" ht="15" hidden="false" customHeight="false" outlineLevel="0" collapsed="false">
      <c r="A63" s="26"/>
      <c r="B63" s="26"/>
      <c r="C63" s="27"/>
      <c r="D63" s="26"/>
    </row>
    <row r="64" customFormat="false" ht="15" hidden="false" customHeight="false" outlineLevel="0" collapsed="false">
      <c r="A64" s="26"/>
      <c r="B64" s="26"/>
      <c r="C64" s="27"/>
      <c r="D64" s="26"/>
    </row>
    <row r="65" customFormat="false" ht="15" hidden="false" customHeight="false" outlineLevel="0" collapsed="false">
      <c r="A65" s="26"/>
      <c r="B65" s="26"/>
      <c r="C65" s="27"/>
      <c r="D65" s="26"/>
    </row>
    <row r="66" customFormat="false" ht="15" hidden="false" customHeight="false" outlineLevel="0" collapsed="false">
      <c r="A66" s="26"/>
      <c r="B66" s="26"/>
      <c r="C66" s="27"/>
      <c r="D66" s="26"/>
    </row>
    <row r="67" customFormat="false" ht="15" hidden="false" customHeight="false" outlineLevel="0" collapsed="false">
      <c r="A67" s="26"/>
      <c r="B67" s="26"/>
      <c r="C67" s="27"/>
      <c r="D67" s="26"/>
    </row>
    <row r="68" customFormat="false" ht="15" hidden="false" customHeight="false" outlineLevel="0" collapsed="false">
      <c r="A68" s="26"/>
      <c r="B68" s="26"/>
      <c r="C68" s="27"/>
      <c r="D68" s="26"/>
    </row>
    <row r="69" customFormat="false" ht="15" hidden="false" customHeight="false" outlineLevel="0" collapsed="false">
      <c r="A69" s="26"/>
      <c r="B69" s="26"/>
      <c r="C69" s="27"/>
      <c r="D69" s="26"/>
    </row>
    <row r="70" customFormat="false" ht="15" hidden="false" customHeight="false" outlineLevel="0" collapsed="false">
      <c r="A70" s="26"/>
      <c r="B70" s="26"/>
      <c r="C70" s="27"/>
      <c r="D70" s="26"/>
    </row>
    <row r="71" customFormat="false" ht="15" hidden="false" customHeight="false" outlineLevel="0" collapsed="false">
      <c r="A71" s="26"/>
      <c r="B71" s="26"/>
      <c r="C71" s="27"/>
      <c r="D71" s="26"/>
    </row>
    <row r="72" customFormat="false" ht="15" hidden="false" customHeight="false" outlineLevel="0" collapsed="false">
      <c r="A72" s="26"/>
      <c r="B72" s="26"/>
      <c r="C72" s="27"/>
      <c r="D72" s="26"/>
    </row>
    <row r="73" customFormat="false" ht="15" hidden="false" customHeight="false" outlineLevel="0" collapsed="false">
      <c r="A73" s="26"/>
      <c r="B73" s="26"/>
      <c r="C73" s="27"/>
      <c r="D73" s="26"/>
    </row>
    <row r="74" customFormat="false" ht="15" hidden="false" customHeight="false" outlineLevel="0" collapsed="false">
      <c r="A74" s="26"/>
      <c r="B74" s="26"/>
      <c r="C74" s="27"/>
      <c r="D74" s="26"/>
    </row>
    <row r="75" customFormat="false" ht="15" hidden="false" customHeight="false" outlineLevel="0" collapsed="false">
      <c r="A75" s="26"/>
      <c r="B75" s="26"/>
      <c r="C75" s="27"/>
      <c r="D75" s="26"/>
    </row>
    <row r="76" customFormat="false" ht="15" hidden="false" customHeight="false" outlineLevel="0" collapsed="false">
      <c r="A76" s="26"/>
      <c r="B76" s="26"/>
      <c r="C76" s="27"/>
      <c r="D76" s="26"/>
    </row>
    <row r="77" customFormat="false" ht="15" hidden="false" customHeight="false" outlineLevel="0" collapsed="false">
      <c r="A77" s="26"/>
      <c r="B77" s="26"/>
      <c r="C77" s="27"/>
      <c r="D77" s="26"/>
    </row>
    <row r="78" customFormat="false" ht="15" hidden="false" customHeight="false" outlineLevel="0" collapsed="false">
      <c r="A78" s="26"/>
      <c r="B78" s="26"/>
      <c r="C78" s="27"/>
      <c r="D78" s="26"/>
    </row>
    <row r="79" customFormat="false" ht="15" hidden="false" customHeight="false" outlineLevel="0" collapsed="false">
      <c r="A79" s="26"/>
      <c r="B79" s="26"/>
      <c r="C79" s="27"/>
      <c r="D79" s="26"/>
    </row>
    <row r="80" customFormat="false" ht="15" hidden="false" customHeight="false" outlineLevel="0" collapsed="false">
      <c r="A80" s="26"/>
      <c r="B80" s="26"/>
      <c r="C80" s="27"/>
      <c r="D80" s="26"/>
    </row>
    <row r="81" customFormat="false" ht="15" hidden="false" customHeight="false" outlineLevel="0" collapsed="false">
      <c r="A81" s="26"/>
      <c r="B81" s="26"/>
      <c r="C81" s="27"/>
      <c r="D81" s="26"/>
    </row>
    <row r="82" customFormat="false" ht="15" hidden="false" customHeight="false" outlineLevel="0" collapsed="false">
      <c r="A82" s="26"/>
      <c r="B82" s="26"/>
      <c r="C82" s="27"/>
      <c r="D82" s="26"/>
    </row>
    <row r="83" customFormat="false" ht="15" hidden="false" customHeight="false" outlineLevel="0" collapsed="false">
      <c r="A83" s="26"/>
      <c r="B83" s="26"/>
      <c r="C83" s="27"/>
      <c r="D83" s="26"/>
    </row>
    <row r="84" customFormat="false" ht="15" hidden="false" customHeight="false" outlineLevel="0" collapsed="false">
      <c r="A84" s="26"/>
      <c r="B84" s="26"/>
      <c r="C84" s="27"/>
      <c r="D84" s="26"/>
    </row>
    <row r="85" customFormat="false" ht="15" hidden="false" customHeight="false" outlineLevel="0" collapsed="false">
      <c r="A85" s="26"/>
      <c r="B85" s="26"/>
      <c r="C85" s="27"/>
      <c r="D85" s="26"/>
    </row>
    <row r="86" customFormat="false" ht="15" hidden="false" customHeight="false" outlineLevel="0" collapsed="false">
      <c r="A86" s="26"/>
      <c r="B86" s="26"/>
      <c r="C86" s="27"/>
      <c r="D86" s="26"/>
    </row>
    <row r="87" customFormat="false" ht="15" hidden="false" customHeight="false" outlineLevel="0" collapsed="false">
      <c r="A87" s="26"/>
      <c r="B87" s="26"/>
      <c r="C87" s="27"/>
      <c r="D87" s="26"/>
    </row>
    <row r="88" customFormat="false" ht="15" hidden="false" customHeight="false" outlineLevel="0" collapsed="false">
      <c r="A88" s="26"/>
      <c r="B88" s="26"/>
      <c r="C88" s="27"/>
      <c r="D88" s="26"/>
    </row>
    <row r="89" customFormat="false" ht="15" hidden="false" customHeight="false" outlineLevel="0" collapsed="false">
      <c r="A89" s="26"/>
      <c r="B89" s="26"/>
      <c r="C89" s="27"/>
      <c r="D89" s="26"/>
    </row>
    <row r="90" customFormat="false" ht="15" hidden="false" customHeight="false" outlineLevel="0" collapsed="false">
      <c r="A90" s="26"/>
      <c r="B90" s="26"/>
      <c r="C90" s="27"/>
      <c r="D90" s="26"/>
    </row>
    <row r="91" customFormat="false" ht="15" hidden="false" customHeight="false" outlineLevel="0" collapsed="false">
      <c r="A91" s="26"/>
      <c r="B91" s="26"/>
      <c r="C91" s="27"/>
      <c r="D91" s="26"/>
    </row>
    <row r="92" customFormat="false" ht="15" hidden="false" customHeight="false" outlineLevel="0" collapsed="false">
      <c r="A92" s="26"/>
      <c r="B92" s="26"/>
      <c r="C92" s="27"/>
      <c r="D92" s="26"/>
    </row>
    <row r="93" customFormat="false" ht="15" hidden="false" customHeight="false" outlineLevel="0" collapsed="false">
      <c r="A93" s="26"/>
      <c r="B93" s="26"/>
      <c r="C93" s="27"/>
      <c r="D93" s="26"/>
    </row>
    <row r="94" customFormat="false" ht="15" hidden="false" customHeight="false" outlineLevel="0" collapsed="false">
      <c r="A94" s="26"/>
      <c r="B94" s="26"/>
      <c r="C94" s="27"/>
      <c r="D94" s="26"/>
    </row>
    <row r="95" customFormat="false" ht="15" hidden="false" customHeight="false" outlineLevel="0" collapsed="false">
      <c r="A95" s="26"/>
      <c r="B95" s="26"/>
      <c r="C95" s="27"/>
      <c r="D95" s="26"/>
    </row>
    <row r="96" customFormat="false" ht="15" hidden="false" customHeight="false" outlineLevel="0" collapsed="false">
      <c r="A96" s="26"/>
      <c r="B96" s="26"/>
      <c r="C96" s="27"/>
      <c r="D96" s="26"/>
    </row>
    <row r="97" customFormat="false" ht="15" hidden="false" customHeight="false" outlineLevel="0" collapsed="false">
      <c r="A97" s="26"/>
      <c r="B97" s="26"/>
      <c r="C97" s="27"/>
      <c r="D97" s="26"/>
    </row>
    <row r="98" customFormat="false" ht="15" hidden="false" customHeight="false" outlineLevel="0" collapsed="false">
      <c r="A98" s="26"/>
      <c r="B98" s="26"/>
      <c r="C98" s="27"/>
      <c r="D98" s="26"/>
    </row>
    <row r="99" customFormat="false" ht="15" hidden="false" customHeight="false" outlineLevel="0" collapsed="false">
      <c r="A99" s="26"/>
      <c r="B99" s="26"/>
      <c r="C99" s="27"/>
      <c r="D99" s="26"/>
    </row>
    <row r="100" customFormat="false" ht="15" hidden="false" customHeight="false" outlineLevel="0" collapsed="false">
      <c r="A100" s="26"/>
      <c r="B100" s="26"/>
      <c r="C100" s="27"/>
      <c r="D100" s="26"/>
    </row>
    <row r="101" customFormat="false" ht="15" hidden="false" customHeight="false" outlineLevel="0" collapsed="false">
      <c r="A101" s="26"/>
      <c r="B101" s="26"/>
      <c r="C101" s="27"/>
      <c r="D101" s="26"/>
    </row>
    <row r="102" customFormat="false" ht="15" hidden="false" customHeight="false" outlineLevel="0" collapsed="false">
      <c r="A102" s="26"/>
      <c r="B102" s="26"/>
      <c r="C102" s="27"/>
      <c r="D102" s="26"/>
    </row>
    <row r="103" customFormat="false" ht="15" hidden="false" customHeight="false" outlineLevel="0" collapsed="false">
      <c r="A103" s="26"/>
      <c r="B103" s="26"/>
      <c r="C103" s="27"/>
      <c r="D103" s="26"/>
    </row>
    <row r="104" customFormat="false" ht="15" hidden="false" customHeight="false" outlineLevel="0" collapsed="false">
      <c r="A104" s="26"/>
      <c r="B104" s="26"/>
      <c r="C104" s="27"/>
      <c r="D104" s="26"/>
    </row>
    <row r="105" customFormat="false" ht="15" hidden="false" customHeight="false" outlineLevel="0" collapsed="false">
      <c r="A105" s="26"/>
      <c r="B105" s="26"/>
      <c r="C105" s="27"/>
      <c r="D105" s="26"/>
    </row>
    <row r="106" customFormat="false" ht="15" hidden="false" customHeight="false" outlineLevel="0" collapsed="false">
      <c r="A106" s="26"/>
      <c r="B106" s="26"/>
      <c r="C106" s="27"/>
      <c r="D106" s="26"/>
    </row>
    <row r="107" customFormat="false" ht="15" hidden="false" customHeight="false" outlineLevel="0" collapsed="false">
      <c r="A107" s="26"/>
      <c r="B107" s="26"/>
      <c r="C107" s="27"/>
      <c r="D107" s="26"/>
    </row>
    <row r="108" customFormat="false" ht="15" hidden="false" customHeight="false" outlineLevel="0" collapsed="false">
      <c r="A108" s="26"/>
      <c r="B108" s="26"/>
      <c r="C108" s="27"/>
      <c r="D108" s="26"/>
    </row>
    <row r="109" customFormat="false" ht="15" hidden="false" customHeight="false" outlineLevel="0" collapsed="false">
      <c r="A109" s="26"/>
      <c r="B109" s="26"/>
      <c r="C109" s="27"/>
      <c r="D109" s="26"/>
    </row>
    <row r="110" customFormat="false" ht="15" hidden="false" customHeight="false" outlineLevel="0" collapsed="false">
      <c r="A110" s="26"/>
      <c r="B110" s="26"/>
      <c r="C110" s="27"/>
      <c r="D110" s="26"/>
    </row>
    <row r="111" customFormat="false" ht="15" hidden="false" customHeight="false" outlineLevel="0" collapsed="false">
      <c r="A111" s="26"/>
      <c r="B111" s="26"/>
      <c r="C111" s="27"/>
      <c r="D111" s="26"/>
    </row>
    <row r="112" customFormat="false" ht="15" hidden="false" customHeight="false" outlineLevel="0" collapsed="false">
      <c r="A112" s="26"/>
      <c r="B112" s="26"/>
      <c r="C112" s="27"/>
      <c r="D112" s="26"/>
    </row>
    <row r="113" customFormat="false" ht="15" hidden="false" customHeight="false" outlineLevel="0" collapsed="false">
      <c r="A113" s="26"/>
      <c r="B113" s="26"/>
      <c r="C113" s="27"/>
      <c r="D113" s="26"/>
    </row>
    <row r="114" customFormat="false" ht="15" hidden="false" customHeight="false" outlineLevel="0" collapsed="false">
      <c r="A114" s="26"/>
      <c r="B114" s="26"/>
      <c r="C114" s="27"/>
      <c r="D114" s="26"/>
    </row>
    <row r="115" customFormat="false" ht="15" hidden="false" customHeight="false" outlineLevel="0" collapsed="false">
      <c r="A115" s="26"/>
      <c r="B115" s="26"/>
      <c r="C115" s="27"/>
      <c r="D115" s="26"/>
    </row>
    <row r="116" customFormat="false" ht="15" hidden="false" customHeight="false" outlineLevel="0" collapsed="false">
      <c r="A116" s="26"/>
      <c r="B116" s="26"/>
      <c r="C116" s="27"/>
      <c r="D116" s="26"/>
    </row>
    <row r="117" customFormat="false" ht="15" hidden="false" customHeight="false" outlineLevel="0" collapsed="false">
      <c r="A117" s="26"/>
      <c r="B117" s="26"/>
      <c r="C117" s="27"/>
      <c r="D117" s="26"/>
    </row>
    <row r="118" customFormat="false" ht="15" hidden="false" customHeight="false" outlineLevel="0" collapsed="false">
      <c r="A118" s="26"/>
      <c r="B118" s="26"/>
      <c r="C118" s="27"/>
      <c r="D118" s="26"/>
    </row>
    <row r="119" customFormat="false" ht="15" hidden="false" customHeight="false" outlineLevel="0" collapsed="false">
      <c r="A119" s="26"/>
      <c r="B119" s="26"/>
      <c r="C119" s="27"/>
      <c r="D119" s="26"/>
    </row>
    <row r="120" customFormat="false" ht="15" hidden="false" customHeight="false" outlineLevel="0" collapsed="false">
      <c r="A120" s="26"/>
      <c r="B120" s="26"/>
      <c r="C120" s="27"/>
      <c r="D120" s="26"/>
    </row>
    <row r="121" customFormat="false" ht="15" hidden="false" customHeight="false" outlineLevel="0" collapsed="false">
      <c r="A121" s="26"/>
      <c r="B121" s="26"/>
      <c r="C121" s="27"/>
      <c r="D121" s="26"/>
    </row>
    <row r="122" customFormat="false" ht="15" hidden="false" customHeight="false" outlineLevel="0" collapsed="false">
      <c r="A122" s="26"/>
      <c r="B122" s="26"/>
      <c r="C122" s="27"/>
      <c r="D122" s="26"/>
    </row>
    <row r="123" customFormat="false" ht="15" hidden="false" customHeight="false" outlineLevel="0" collapsed="false">
      <c r="A123" s="26"/>
      <c r="B123" s="26"/>
      <c r="C123" s="27"/>
      <c r="D123" s="26"/>
    </row>
    <row r="124" customFormat="false" ht="15" hidden="false" customHeight="false" outlineLevel="0" collapsed="false">
      <c r="A124" s="26"/>
      <c r="B124" s="26"/>
      <c r="C124" s="27"/>
      <c r="D124" s="26"/>
    </row>
    <row r="125" customFormat="false" ht="15" hidden="false" customHeight="false" outlineLevel="0" collapsed="false">
      <c r="A125" s="26"/>
      <c r="B125" s="26"/>
      <c r="C125" s="27"/>
      <c r="D125" s="26"/>
    </row>
    <row r="126" customFormat="false" ht="15" hidden="false" customHeight="false" outlineLevel="0" collapsed="false">
      <c r="A126" s="26"/>
      <c r="B126" s="26"/>
      <c r="C126" s="27"/>
      <c r="D126" s="26"/>
    </row>
    <row r="127" customFormat="false" ht="15" hidden="false" customHeight="false" outlineLevel="0" collapsed="false">
      <c r="A127" s="26"/>
      <c r="B127" s="26"/>
      <c r="C127" s="27"/>
      <c r="D127" s="26"/>
    </row>
    <row r="128" customFormat="false" ht="15" hidden="false" customHeight="false" outlineLevel="0" collapsed="false">
      <c r="A128" s="26"/>
      <c r="B128" s="26"/>
      <c r="C128" s="27"/>
      <c r="D128" s="26"/>
    </row>
    <row r="129" customFormat="false" ht="15" hidden="false" customHeight="false" outlineLevel="0" collapsed="false">
      <c r="A129" s="26"/>
      <c r="B129" s="26"/>
      <c r="C129" s="27"/>
      <c r="D129" s="26"/>
    </row>
    <row r="130" customFormat="false" ht="15" hidden="false" customHeight="false" outlineLevel="0" collapsed="false">
      <c r="A130" s="26"/>
      <c r="B130" s="26"/>
      <c r="C130" s="27"/>
      <c r="D130" s="26"/>
    </row>
    <row r="131" customFormat="false" ht="15" hidden="false" customHeight="false" outlineLevel="0" collapsed="false">
      <c r="A131" s="26"/>
      <c r="B131" s="26"/>
      <c r="C131" s="27"/>
      <c r="D131" s="26"/>
    </row>
    <row r="132" customFormat="false" ht="15" hidden="false" customHeight="false" outlineLevel="0" collapsed="false">
      <c r="A132" s="26"/>
      <c r="B132" s="26"/>
      <c r="C132" s="27"/>
      <c r="D132" s="26"/>
    </row>
    <row r="133" customFormat="false" ht="15" hidden="false" customHeight="false" outlineLevel="0" collapsed="false">
      <c r="A133" s="26"/>
      <c r="B133" s="26"/>
      <c r="C133" s="27"/>
      <c r="D133" s="26"/>
    </row>
    <row r="134" customFormat="false" ht="15" hidden="false" customHeight="false" outlineLevel="0" collapsed="false">
      <c r="A134" s="26"/>
      <c r="B134" s="26"/>
      <c r="C134" s="27"/>
      <c r="D134" s="26"/>
    </row>
    <row r="135" customFormat="false" ht="15" hidden="false" customHeight="false" outlineLevel="0" collapsed="false">
      <c r="A135" s="26"/>
      <c r="B135" s="26"/>
      <c r="C135" s="27"/>
      <c r="D135" s="26"/>
    </row>
    <row r="136" customFormat="false" ht="15" hidden="false" customHeight="false" outlineLevel="0" collapsed="false">
      <c r="A136" s="26"/>
      <c r="B136" s="26"/>
      <c r="C136" s="27"/>
      <c r="D136" s="26"/>
    </row>
    <row r="137" customFormat="false" ht="15" hidden="false" customHeight="false" outlineLevel="0" collapsed="false">
      <c r="A137" s="26"/>
      <c r="B137" s="26"/>
      <c r="C137" s="27"/>
      <c r="D137" s="26"/>
    </row>
    <row r="138" customFormat="false" ht="15" hidden="false" customHeight="false" outlineLevel="0" collapsed="false">
      <c r="A138" s="26"/>
      <c r="B138" s="26"/>
      <c r="C138" s="27"/>
      <c r="D138" s="26"/>
    </row>
    <row r="139" customFormat="false" ht="15" hidden="false" customHeight="false" outlineLevel="0" collapsed="false">
      <c r="A139" s="26"/>
      <c r="B139" s="26"/>
      <c r="C139" s="27"/>
      <c r="D139" s="26"/>
    </row>
    <row r="140" customFormat="false" ht="15" hidden="false" customHeight="false" outlineLevel="0" collapsed="false">
      <c r="A140" s="26"/>
      <c r="B140" s="26"/>
      <c r="C140" s="27"/>
      <c r="D140" s="26"/>
    </row>
    <row r="141" customFormat="false" ht="15" hidden="false" customHeight="false" outlineLevel="0" collapsed="false">
      <c r="A141" s="26"/>
      <c r="B141" s="26"/>
      <c r="C141" s="27"/>
      <c r="D141" s="26"/>
    </row>
    <row r="142" customFormat="false" ht="15" hidden="false" customHeight="false" outlineLevel="0" collapsed="false">
      <c r="A142" s="26"/>
      <c r="B142" s="26"/>
      <c r="C142" s="27"/>
      <c r="D142" s="26"/>
    </row>
    <row r="143" customFormat="false" ht="15" hidden="false" customHeight="false" outlineLevel="0" collapsed="false">
      <c r="A143" s="26"/>
      <c r="B143" s="26"/>
      <c r="C143" s="27"/>
      <c r="D143" s="26"/>
    </row>
    <row r="144" customFormat="false" ht="15" hidden="false" customHeight="false" outlineLevel="0" collapsed="false">
      <c r="A144" s="26"/>
      <c r="B144" s="26"/>
      <c r="C144" s="27"/>
      <c r="D144" s="26"/>
    </row>
    <row r="145" customFormat="false" ht="15" hidden="false" customHeight="false" outlineLevel="0" collapsed="false">
      <c r="A145" s="26"/>
      <c r="B145" s="26"/>
      <c r="C145" s="27"/>
      <c r="D145" s="26"/>
    </row>
    <row r="146" customFormat="false" ht="15" hidden="false" customHeight="false" outlineLevel="0" collapsed="false">
      <c r="A146" s="26"/>
      <c r="B146" s="26"/>
      <c r="C146" s="27"/>
      <c r="D146" s="26"/>
    </row>
    <row r="147" customFormat="false" ht="15" hidden="false" customHeight="false" outlineLevel="0" collapsed="false">
      <c r="A147" s="26"/>
      <c r="B147" s="26"/>
      <c r="C147" s="27"/>
      <c r="D147" s="26"/>
    </row>
    <row r="148" customFormat="false" ht="15" hidden="false" customHeight="false" outlineLevel="0" collapsed="false">
      <c r="A148" s="26"/>
      <c r="B148" s="26"/>
      <c r="C148" s="27"/>
      <c r="D148" s="26"/>
    </row>
    <row r="149" customFormat="false" ht="15" hidden="false" customHeight="false" outlineLevel="0" collapsed="false">
      <c r="A149" s="26"/>
      <c r="B149" s="26"/>
      <c r="C149" s="27"/>
      <c r="D149" s="26"/>
    </row>
    <row r="150" customFormat="false" ht="15" hidden="false" customHeight="false" outlineLevel="0" collapsed="false">
      <c r="A150" s="26"/>
      <c r="B150" s="26"/>
      <c r="C150" s="27"/>
      <c r="D150" s="26"/>
    </row>
    <row r="151" customFormat="false" ht="15" hidden="false" customHeight="false" outlineLevel="0" collapsed="false">
      <c r="A151" s="26"/>
      <c r="B151" s="26"/>
      <c r="C151" s="27"/>
      <c r="D151" s="26"/>
    </row>
    <row r="152" customFormat="false" ht="15" hidden="false" customHeight="false" outlineLevel="0" collapsed="false">
      <c r="A152" s="26"/>
      <c r="B152" s="26"/>
      <c r="C152" s="27"/>
      <c r="D152" s="26"/>
    </row>
    <row r="153" customFormat="false" ht="15" hidden="false" customHeight="false" outlineLevel="0" collapsed="false">
      <c r="A153" s="26"/>
      <c r="B153" s="26"/>
      <c r="C153" s="27"/>
      <c r="D153" s="26"/>
    </row>
    <row r="154" customFormat="false" ht="15" hidden="false" customHeight="false" outlineLevel="0" collapsed="false">
      <c r="A154" s="26"/>
      <c r="B154" s="26"/>
      <c r="C154" s="27"/>
      <c r="D154" s="26"/>
    </row>
    <row r="155" customFormat="false" ht="15" hidden="false" customHeight="false" outlineLevel="0" collapsed="false">
      <c r="A155" s="26"/>
      <c r="B155" s="26"/>
      <c r="C155" s="27"/>
      <c r="D155" s="26"/>
    </row>
    <row r="156" customFormat="false" ht="15" hidden="false" customHeight="false" outlineLevel="0" collapsed="false">
      <c r="A156" s="26"/>
      <c r="B156" s="26"/>
      <c r="C156" s="27"/>
      <c r="D156" s="26"/>
    </row>
    <row r="157" customFormat="false" ht="15" hidden="false" customHeight="false" outlineLevel="0" collapsed="false">
      <c r="A157" s="26"/>
      <c r="B157" s="26"/>
      <c r="C157" s="27"/>
      <c r="D157" s="26"/>
    </row>
    <row r="158" customFormat="false" ht="15" hidden="false" customHeight="false" outlineLevel="0" collapsed="false">
      <c r="A158" s="26"/>
      <c r="B158" s="26"/>
      <c r="C158" s="27"/>
      <c r="D158" s="26"/>
    </row>
    <row r="159" customFormat="false" ht="15" hidden="false" customHeight="false" outlineLevel="0" collapsed="false">
      <c r="A159" s="26"/>
      <c r="B159" s="26"/>
      <c r="C159" s="27"/>
      <c r="D159" s="26"/>
    </row>
    <row r="160" customFormat="false" ht="15" hidden="false" customHeight="false" outlineLevel="0" collapsed="false">
      <c r="A160" s="26"/>
      <c r="B160" s="26"/>
      <c r="C160" s="27"/>
      <c r="D160" s="26"/>
    </row>
    <row r="161" customFormat="false" ht="15" hidden="false" customHeight="false" outlineLevel="0" collapsed="false">
      <c r="A161" s="26"/>
      <c r="B161" s="26"/>
      <c r="C161" s="27"/>
      <c r="D161" s="26"/>
    </row>
    <row r="162" customFormat="false" ht="15" hidden="false" customHeight="false" outlineLevel="0" collapsed="false">
      <c r="A162" s="26"/>
      <c r="B162" s="26"/>
      <c r="C162" s="27"/>
      <c r="D162" s="26"/>
    </row>
    <row r="163" customFormat="false" ht="15" hidden="false" customHeight="false" outlineLevel="0" collapsed="false">
      <c r="A163" s="26"/>
      <c r="B163" s="26"/>
      <c r="C163" s="27"/>
      <c r="D163" s="26"/>
    </row>
    <row r="164" customFormat="false" ht="15" hidden="false" customHeight="false" outlineLevel="0" collapsed="false">
      <c r="A164" s="26"/>
      <c r="B164" s="26"/>
      <c r="C164" s="27"/>
      <c r="D164" s="26"/>
    </row>
    <row r="165" customFormat="false" ht="15" hidden="false" customHeight="false" outlineLevel="0" collapsed="false">
      <c r="A165" s="26"/>
      <c r="B165" s="26"/>
      <c r="C165" s="27"/>
      <c r="D165" s="26"/>
    </row>
    <row r="166" customFormat="false" ht="15" hidden="false" customHeight="false" outlineLevel="0" collapsed="false">
      <c r="A166" s="26"/>
      <c r="B166" s="26"/>
      <c r="C166" s="27"/>
      <c r="D166" s="26"/>
    </row>
    <row r="167" customFormat="false" ht="15" hidden="false" customHeight="false" outlineLevel="0" collapsed="false">
      <c r="A167" s="26"/>
      <c r="B167" s="26"/>
      <c r="C167" s="27"/>
      <c r="D167" s="26"/>
    </row>
    <row r="168" customFormat="false" ht="15" hidden="false" customHeight="false" outlineLevel="0" collapsed="false">
      <c r="A168" s="26"/>
      <c r="B168" s="26"/>
      <c r="C168" s="27"/>
      <c r="D168" s="26"/>
    </row>
    <row r="169" customFormat="false" ht="15" hidden="false" customHeight="false" outlineLevel="0" collapsed="false">
      <c r="A169" s="26"/>
      <c r="B169" s="26"/>
      <c r="C169" s="27"/>
      <c r="D169" s="26"/>
    </row>
    <row r="170" customFormat="false" ht="15" hidden="false" customHeight="false" outlineLevel="0" collapsed="false">
      <c r="A170" s="26"/>
      <c r="B170" s="26"/>
      <c r="C170" s="27"/>
      <c r="D170" s="26"/>
    </row>
    <row r="171" customFormat="false" ht="15" hidden="false" customHeight="false" outlineLevel="0" collapsed="false">
      <c r="A171" s="26"/>
      <c r="B171" s="26"/>
      <c r="C171" s="27"/>
      <c r="D171" s="26"/>
    </row>
    <row r="172" customFormat="false" ht="15" hidden="false" customHeight="false" outlineLevel="0" collapsed="false">
      <c r="A172" s="26"/>
      <c r="B172" s="26"/>
      <c r="C172" s="27"/>
      <c r="D172" s="26"/>
    </row>
    <row r="173" customFormat="false" ht="15" hidden="false" customHeight="false" outlineLevel="0" collapsed="false">
      <c r="A173" s="26"/>
      <c r="B173" s="26"/>
      <c r="C173" s="27"/>
      <c r="D173" s="26"/>
    </row>
    <row r="174" customFormat="false" ht="15" hidden="false" customHeight="false" outlineLevel="0" collapsed="false">
      <c r="A174" s="26"/>
      <c r="B174" s="26"/>
      <c r="C174" s="27"/>
      <c r="D174" s="26"/>
    </row>
    <row r="175" customFormat="false" ht="15" hidden="false" customHeight="false" outlineLevel="0" collapsed="false">
      <c r="A175" s="26"/>
      <c r="B175" s="26"/>
      <c r="C175" s="27"/>
      <c r="D175" s="26"/>
    </row>
    <row r="176" customFormat="false" ht="15" hidden="false" customHeight="false" outlineLevel="0" collapsed="false">
      <c r="A176" s="26"/>
      <c r="B176" s="26"/>
      <c r="C176" s="27"/>
      <c r="D176" s="26"/>
    </row>
    <row r="177" customFormat="false" ht="15" hidden="false" customHeight="false" outlineLevel="0" collapsed="false">
      <c r="A177" s="26"/>
      <c r="B177" s="26"/>
      <c r="C177" s="27"/>
      <c r="D177" s="26"/>
    </row>
    <row r="178" customFormat="false" ht="15" hidden="false" customHeight="false" outlineLevel="0" collapsed="false">
      <c r="A178" s="26"/>
      <c r="B178" s="26"/>
      <c r="C178" s="27"/>
      <c r="D178" s="26"/>
    </row>
    <row r="179" customFormat="false" ht="15" hidden="false" customHeight="false" outlineLevel="0" collapsed="false">
      <c r="A179" s="26"/>
      <c r="B179" s="26"/>
      <c r="C179" s="27"/>
      <c r="D179" s="26"/>
    </row>
    <row r="180" customFormat="false" ht="15" hidden="false" customHeight="false" outlineLevel="0" collapsed="false">
      <c r="A180" s="26"/>
      <c r="B180" s="26"/>
      <c r="C180" s="27"/>
      <c r="D180" s="26"/>
    </row>
    <row r="181" customFormat="false" ht="15" hidden="false" customHeight="false" outlineLevel="0" collapsed="false">
      <c r="A181" s="26"/>
      <c r="B181" s="26"/>
      <c r="C181" s="27"/>
      <c r="D181" s="26"/>
    </row>
    <row r="182" customFormat="false" ht="15" hidden="false" customHeight="false" outlineLevel="0" collapsed="false">
      <c r="A182" s="26"/>
      <c r="B182" s="26"/>
      <c r="C182" s="27"/>
      <c r="D182" s="26"/>
    </row>
    <row r="183" customFormat="false" ht="15" hidden="false" customHeight="false" outlineLevel="0" collapsed="false">
      <c r="A183" s="26"/>
      <c r="B183" s="26"/>
      <c r="C183" s="27"/>
      <c r="D183" s="26"/>
    </row>
    <row r="184" customFormat="false" ht="15" hidden="false" customHeight="false" outlineLevel="0" collapsed="false">
      <c r="A184" s="26"/>
      <c r="B184" s="26"/>
      <c r="C184" s="27"/>
      <c r="D184" s="26"/>
    </row>
    <row r="185" customFormat="false" ht="15" hidden="false" customHeight="false" outlineLevel="0" collapsed="false">
      <c r="A185" s="26"/>
      <c r="B185" s="26"/>
      <c r="C185" s="27"/>
      <c r="D185" s="26"/>
    </row>
    <row r="186" customFormat="false" ht="15" hidden="false" customHeight="false" outlineLevel="0" collapsed="false">
      <c r="A186" s="26"/>
      <c r="B186" s="26"/>
      <c r="C186" s="27"/>
      <c r="D186" s="26"/>
    </row>
    <row r="187" customFormat="false" ht="15" hidden="false" customHeight="false" outlineLevel="0" collapsed="false">
      <c r="A187" s="26"/>
      <c r="B187" s="26"/>
      <c r="C187" s="27"/>
      <c r="D187" s="26"/>
    </row>
    <row r="188" customFormat="false" ht="15" hidden="false" customHeight="false" outlineLevel="0" collapsed="false">
      <c r="A188" s="26"/>
      <c r="B188" s="26"/>
      <c r="C188" s="27"/>
      <c r="D188" s="26"/>
    </row>
    <row r="189" customFormat="false" ht="15" hidden="false" customHeight="false" outlineLevel="0" collapsed="false">
      <c r="A189" s="26"/>
      <c r="B189" s="26"/>
      <c r="C189" s="27"/>
      <c r="D189" s="26"/>
    </row>
    <row r="190" customFormat="false" ht="15" hidden="false" customHeight="false" outlineLevel="0" collapsed="false">
      <c r="A190" s="26"/>
      <c r="B190" s="26"/>
      <c r="C190" s="27"/>
      <c r="D190" s="26"/>
    </row>
    <row r="191" customFormat="false" ht="15" hidden="false" customHeight="false" outlineLevel="0" collapsed="false">
      <c r="A191" s="26"/>
      <c r="B191" s="26"/>
      <c r="C191" s="27"/>
      <c r="D191" s="26"/>
    </row>
    <row r="192" customFormat="false" ht="15" hidden="false" customHeight="false" outlineLevel="0" collapsed="false">
      <c r="A192" s="26"/>
      <c r="B192" s="26"/>
      <c r="C192" s="27"/>
      <c r="D192" s="26"/>
    </row>
    <row r="193" customFormat="false" ht="15" hidden="false" customHeight="false" outlineLevel="0" collapsed="false">
      <c r="A193" s="26"/>
      <c r="B193" s="26"/>
      <c r="C193" s="27"/>
      <c r="D193" s="26"/>
    </row>
    <row r="194" customFormat="false" ht="15" hidden="false" customHeight="false" outlineLevel="0" collapsed="false">
      <c r="A194" s="26"/>
      <c r="B194" s="26"/>
      <c r="C194" s="27"/>
      <c r="D194" s="26"/>
    </row>
    <row r="195" customFormat="false" ht="15" hidden="false" customHeight="false" outlineLevel="0" collapsed="false">
      <c r="A195" s="26"/>
      <c r="B195" s="26"/>
      <c r="C195" s="27"/>
      <c r="D195" s="26"/>
    </row>
    <row r="196" customFormat="false" ht="15" hidden="false" customHeight="false" outlineLevel="0" collapsed="false">
      <c r="A196" s="26"/>
      <c r="B196" s="26"/>
      <c r="C196" s="27"/>
      <c r="D196" s="26"/>
    </row>
    <row r="197" customFormat="false" ht="15" hidden="false" customHeight="false" outlineLevel="0" collapsed="false">
      <c r="A197" s="26"/>
      <c r="B197" s="26"/>
      <c r="C197" s="27"/>
      <c r="D197" s="26"/>
    </row>
    <row r="198" customFormat="false" ht="15" hidden="false" customHeight="false" outlineLevel="0" collapsed="false">
      <c r="A198" s="26"/>
      <c r="B198" s="26"/>
      <c r="C198" s="27"/>
      <c r="D198" s="26"/>
    </row>
    <row r="199" customFormat="false" ht="15" hidden="false" customHeight="false" outlineLevel="0" collapsed="false">
      <c r="A199" s="26"/>
      <c r="B199" s="26"/>
      <c r="C199" s="27"/>
      <c r="D199" s="26"/>
    </row>
    <row r="200" customFormat="false" ht="15" hidden="false" customHeight="false" outlineLevel="0" collapsed="false">
      <c r="A200" s="26"/>
      <c r="B200" s="26"/>
      <c r="C200" s="27"/>
      <c r="D200" s="26"/>
    </row>
    <row r="201" customFormat="false" ht="15" hidden="false" customHeight="false" outlineLevel="0" collapsed="false">
      <c r="A201" s="26"/>
      <c r="B201" s="26"/>
      <c r="C201" s="27"/>
      <c r="D201" s="26"/>
    </row>
    <row r="202" customFormat="false" ht="15" hidden="false" customHeight="false" outlineLevel="0" collapsed="false">
      <c r="A202" s="26"/>
      <c r="B202" s="26"/>
      <c r="C202" s="27"/>
      <c r="D202" s="26"/>
    </row>
    <row r="203" customFormat="false" ht="15" hidden="false" customHeight="false" outlineLevel="0" collapsed="false">
      <c r="A203" s="26"/>
      <c r="B203" s="26"/>
      <c r="C203" s="27"/>
      <c r="D203" s="26"/>
    </row>
    <row r="204" customFormat="false" ht="15" hidden="false" customHeight="false" outlineLevel="0" collapsed="false">
      <c r="A204" s="26"/>
      <c r="B204" s="26"/>
      <c r="C204" s="27"/>
      <c r="D204" s="26"/>
    </row>
    <row r="205" customFormat="false" ht="15" hidden="false" customHeight="false" outlineLevel="0" collapsed="false">
      <c r="A205" s="26"/>
      <c r="B205" s="26"/>
      <c r="C205" s="27"/>
      <c r="D205" s="26"/>
    </row>
    <row r="206" customFormat="false" ht="15" hidden="false" customHeight="false" outlineLevel="0" collapsed="false">
      <c r="A206" s="26"/>
      <c r="B206" s="26"/>
      <c r="C206" s="27"/>
      <c r="D206" s="26"/>
    </row>
    <row r="207" customFormat="false" ht="15" hidden="false" customHeight="false" outlineLevel="0" collapsed="false">
      <c r="A207" s="26"/>
      <c r="B207" s="26"/>
      <c r="C207" s="27"/>
      <c r="D207" s="26"/>
    </row>
    <row r="208" customFormat="false" ht="15" hidden="false" customHeight="false" outlineLevel="0" collapsed="false">
      <c r="A208" s="26"/>
      <c r="B208" s="26"/>
      <c r="C208" s="27"/>
      <c r="D208" s="26"/>
    </row>
    <row r="209" customFormat="false" ht="15" hidden="false" customHeight="false" outlineLevel="0" collapsed="false">
      <c r="A209" s="26"/>
      <c r="B209" s="26"/>
      <c r="C209" s="27"/>
      <c r="D209" s="26"/>
    </row>
    <row r="210" customFormat="false" ht="15" hidden="false" customHeight="false" outlineLevel="0" collapsed="false">
      <c r="A210" s="26"/>
      <c r="B210" s="26"/>
      <c r="C210" s="27"/>
      <c r="D210" s="26"/>
    </row>
    <row r="211" customFormat="false" ht="15" hidden="false" customHeight="false" outlineLevel="0" collapsed="false">
      <c r="A211" s="26"/>
      <c r="B211" s="26"/>
      <c r="C211" s="27"/>
      <c r="D211" s="26"/>
    </row>
    <row r="212" customFormat="false" ht="15" hidden="false" customHeight="false" outlineLevel="0" collapsed="false">
      <c r="A212" s="26"/>
      <c r="B212" s="26"/>
      <c r="C212" s="27"/>
      <c r="D212" s="26"/>
    </row>
    <row r="213" customFormat="false" ht="15" hidden="false" customHeight="false" outlineLevel="0" collapsed="false">
      <c r="A213" s="26"/>
      <c r="B213" s="26"/>
      <c r="C213" s="27"/>
      <c r="D213" s="26"/>
    </row>
    <row r="214" customFormat="false" ht="15" hidden="false" customHeight="false" outlineLevel="0" collapsed="false">
      <c r="A214" s="26"/>
      <c r="B214" s="26"/>
      <c r="C214" s="27"/>
      <c r="D214" s="26"/>
    </row>
    <row r="215" customFormat="false" ht="15" hidden="false" customHeight="false" outlineLevel="0" collapsed="false">
      <c r="A215" s="26"/>
      <c r="B215" s="26"/>
      <c r="C215" s="27"/>
      <c r="D215" s="26"/>
    </row>
    <row r="216" customFormat="false" ht="15" hidden="false" customHeight="false" outlineLevel="0" collapsed="false">
      <c r="A216" s="26"/>
      <c r="B216" s="26"/>
      <c r="C216" s="27"/>
      <c r="D216" s="26"/>
    </row>
    <row r="217" customFormat="false" ht="15" hidden="false" customHeight="false" outlineLevel="0" collapsed="false">
      <c r="A217" s="26"/>
      <c r="B217" s="26"/>
      <c r="C217" s="27"/>
      <c r="D217" s="26"/>
    </row>
    <row r="218" customFormat="false" ht="15" hidden="false" customHeight="false" outlineLevel="0" collapsed="false">
      <c r="A218" s="26"/>
      <c r="B218" s="26"/>
      <c r="C218" s="27"/>
      <c r="D218" s="26"/>
    </row>
    <row r="219" customFormat="false" ht="15" hidden="false" customHeight="false" outlineLevel="0" collapsed="false">
      <c r="A219" s="26"/>
      <c r="B219" s="26"/>
      <c r="C219" s="27"/>
      <c r="D219" s="26"/>
    </row>
    <row r="220" customFormat="false" ht="15" hidden="false" customHeight="false" outlineLevel="0" collapsed="false">
      <c r="A220" s="26"/>
      <c r="B220" s="26"/>
      <c r="C220" s="27"/>
      <c r="D220" s="26"/>
    </row>
    <row r="221" customFormat="false" ht="15" hidden="false" customHeight="false" outlineLevel="0" collapsed="false">
      <c r="A221" s="26"/>
      <c r="B221" s="26"/>
      <c r="C221" s="27"/>
      <c r="D221" s="26"/>
    </row>
    <row r="222" customFormat="false" ht="15" hidden="false" customHeight="false" outlineLevel="0" collapsed="false">
      <c r="A222" s="26"/>
      <c r="B222" s="26"/>
      <c r="C222" s="27"/>
      <c r="D222" s="26"/>
    </row>
    <row r="223" customFormat="false" ht="15" hidden="false" customHeight="false" outlineLevel="0" collapsed="false">
      <c r="A223" s="26"/>
      <c r="B223" s="26"/>
      <c r="C223" s="27"/>
      <c r="D223" s="26"/>
    </row>
    <row r="224" customFormat="false" ht="15" hidden="false" customHeight="false" outlineLevel="0" collapsed="false">
      <c r="A224" s="26"/>
      <c r="B224" s="26"/>
      <c r="C224" s="27"/>
      <c r="D224" s="26"/>
    </row>
    <row r="225" customFormat="false" ht="15" hidden="false" customHeight="false" outlineLevel="0" collapsed="false">
      <c r="A225" s="26"/>
      <c r="B225" s="26"/>
      <c r="C225" s="27"/>
      <c r="D225" s="26"/>
    </row>
    <row r="226" customFormat="false" ht="15" hidden="false" customHeight="false" outlineLevel="0" collapsed="false">
      <c r="A226" s="26"/>
      <c r="B226" s="26"/>
      <c r="C226" s="27"/>
      <c r="D226" s="26"/>
    </row>
    <row r="227" customFormat="false" ht="15" hidden="false" customHeight="false" outlineLevel="0" collapsed="false">
      <c r="A227" s="26"/>
      <c r="B227" s="26"/>
      <c r="C227" s="27"/>
      <c r="D227" s="26"/>
    </row>
    <row r="228" customFormat="false" ht="15" hidden="false" customHeight="false" outlineLevel="0" collapsed="false">
      <c r="A228" s="26"/>
      <c r="B228" s="26"/>
      <c r="C228" s="27"/>
      <c r="D228" s="26"/>
    </row>
    <row r="229" customFormat="false" ht="15" hidden="false" customHeight="false" outlineLevel="0" collapsed="false">
      <c r="A229" s="26"/>
      <c r="B229" s="26"/>
      <c r="C229" s="27"/>
      <c r="D229" s="26"/>
    </row>
    <row r="230" customFormat="false" ht="15" hidden="false" customHeight="false" outlineLevel="0" collapsed="false">
      <c r="A230" s="26"/>
      <c r="B230" s="26"/>
      <c r="C230" s="27"/>
      <c r="D230" s="26"/>
    </row>
    <row r="231" customFormat="false" ht="15" hidden="false" customHeight="false" outlineLevel="0" collapsed="false">
      <c r="A231" s="26"/>
      <c r="B231" s="26"/>
      <c r="C231" s="27"/>
      <c r="D231" s="26"/>
    </row>
    <row r="232" customFormat="false" ht="15" hidden="false" customHeight="false" outlineLevel="0" collapsed="false">
      <c r="A232" s="26"/>
      <c r="B232" s="26"/>
      <c r="C232" s="27"/>
      <c r="D232" s="26"/>
    </row>
    <row r="233" customFormat="false" ht="15" hidden="false" customHeight="false" outlineLevel="0" collapsed="false">
      <c r="A233" s="26"/>
      <c r="B233" s="26"/>
      <c r="C233" s="27"/>
      <c r="D233" s="26"/>
    </row>
    <row r="234" customFormat="false" ht="15" hidden="false" customHeight="false" outlineLevel="0" collapsed="false">
      <c r="A234" s="26"/>
      <c r="B234" s="26"/>
      <c r="C234" s="27"/>
      <c r="D234" s="26"/>
    </row>
    <row r="235" customFormat="false" ht="15" hidden="false" customHeight="false" outlineLevel="0" collapsed="false">
      <c r="A235" s="26"/>
      <c r="B235" s="26"/>
      <c r="C235" s="27"/>
      <c r="D235" s="26"/>
    </row>
    <row r="236" customFormat="false" ht="15" hidden="false" customHeight="false" outlineLevel="0" collapsed="false">
      <c r="A236" s="26"/>
      <c r="B236" s="26"/>
      <c r="C236" s="27"/>
      <c r="D236" s="26"/>
    </row>
    <row r="237" customFormat="false" ht="15" hidden="false" customHeight="false" outlineLevel="0" collapsed="false">
      <c r="A237" s="26"/>
      <c r="B237" s="26"/>
      <c r="C237" s="27"/>
      <c r="D237" s="26"/>
    </row>
    <row r="238" customFormat="false" ht="15" hidden="false" customHeight="false" outlineLevel="0" collapsed="false">
      <c r="A238" s="26"/>
      <c r="B238" s="26"/>
      <c r="C238" s="27"/>
      <c r="D238" s="26"/>
    </row>
    <row r="239" customFormat="false" ht="15" hidden="false" customHeight="false" outlineLevel="0" collapsed="false">
      <c r="A239" s="26"/>
      <c r="B239" s="26"/>
      <c r="C239" s="27"/>
      <c r="D239" s="26"/>
    </row>
    <row r="240" customFormat="false" ht="15" hidden="false" customHeight="false" outlineLevel="0" collapsed="false">
      <c r="A240" s="26"/>
      <c r="B240" s="26"/>
      <c r="C240" s="27"/>
      <c r="D240" s="26"/>
    </row>
    <row r="241" customFormat="false" ht="15" hidden="false" customHeight="false" outlineLevel="0" collapsed="false">
      <c r="A241" s="26"/>
      <c r="B241" s="26"/>
      <c r="C241" s="27"/>
      <c r="D241" s="26"/>
    </row>
    <row r="242" customFormat="false" ht="15" hidden="false" customHeight="false" outlineLevel="0" collapsed="false">
      <c r="A242" s="26"/>
      <c r="B242" s="26"/>
      <c r="C242" s="27"/>
      <c r="D242" s="26"/>
    </row>
    <row r="243" customFormat="false" ht="15" hidden="false" customHeight="false" outlineLevel="0" collapsed="false">
      <c r="A243" s="26"/>
      <c r="B243" s="26"/>
      <c r="C243" s="27"/>
      <c r="D243" s="26"/>
    </row>
    <row r="244" customFormat="false" ht="15" hidden="false" customHeight="false" outlineLevel="0" collapsed="false">
      <c r="A244" s="26"/>
      <c r="B244" s="26"/>
      <c r="C244" s="27"/>
      <c r="D244" s="26"/>
    </row>
    <row r="245" customFormat="false" ht="15" hidden="false" customHeight="false" outlineLevel="0" collapsed="false">
      <c r="A245" s="26"/>
      <c r="B245" s="26"/>
      <c r="C245" s="27"/>
      <c r="D245" s="26"/>
    </row>
    <row r="246" customFormat="false" ht="15" hidden="false" customHeight="false" outlineLevel="0" collapsed="false">
      <c r="A246" s="26"/>
      <c r="B246" s="26"/>
      <c r="C246" s="27"/>
      <c r="D246" s="26"/>
    </row>
    <row r="247" customFormat="false" ht="15" hidden="false" customHeight="false" outlineLevel="0" collapsed="false">
      <c r="A247" s="26"/>
      <c r="B247" s="26"/>
      <c r="C247" s="27"/>
      <c r="D247" s="26"/>
    </row>
    <row r="248" customFormat="false" ht="15" hidden="false" customHeight="false" outlineLevel="0" collapsed="false">
      <c r="A248" s="26"/>
      <c r="B248" s="26"/>
      <c r="C248" s="27"/>
      <c r="D248" s="26"/>
    </row>
    <row r="249" customFormat="false" ht="15" hidden="false" customHeight="false" outlineLevel="0" collapsed="false">
      <c r="A249" s="26"/>
      <c r="B249" s="26"/>
      <c r="C249" s="27"/>
      <c r="D249" s="26"/>
    </row>
    <row r="250" customFormat="false" ht="15" hidden="false" customHeight="false" outlineLevel="0" collapsed="false">
      <c r="A250" s="26"/>
      <c r="B250" s="26"/>
      <c r="C250" s="27"/>
      <c r="D250" s="26"/>
    </row>
    <row r="251" customFormat="false" ht="15" hidden="false" customHeight="false" outlineLevel="0" collapsed="false">
      <c r="A251" s="26"/>
      <c r="B251" s="26"/>
      <c r="C251" s="27"/>
      <c r="D251" s="26"/>
    </row>
    <row r="252" customFormat="false" ht="15" hidden="false" customHeight="false" outlineLevel="0" collapsed="false">
      <c r="A252" s="26"/>
      <c r="B252" s="26"/>
      <c r="C252" s="27"/>
      <c r="D252" s="26"/>
    </row>
    <row r="253" customFormat="false" ht="15" hidden="false" customHeight="false" outlineLevel="0" collapsed="false">
      <c r="A253" s="26"/>
      <c r="B253" s="26"/>
      <c r="C253" s="27"/>
      <c r="D253" s="26"/>
    </row>
    <row r="254" customFormat="false" ht="15" hidden="false" customHeight="false" outlineLevel="0" collapsed="false">
      <c r="A254" s="26"/>
      <c r="B254" s="26"/>
      <c r="C254" s="27"/>
      <c r="D254" s="26"/>
    </row>
    <row r="255" customFormat="false" ht="15" hidden="false" customHeight="false" outlineLevel="0" collapsed="false">
      <c r="A255" s="26"/>
      <c r="B255" s="26"/>
      <c r="C255" s="27"/>
      <c r="D255" s="26"/>
    </row>
    <row r="256" customFormat="false" ht="15" hidden="false" customHeight="false" outlineLevel="0" collapsed="false">
      <c r="A256" s="26"/>
      <c r="B256" s="26"/>
      <c r="C256" s="27"/>
      <c r="D256" s="26"/>
    </row>
    <row r="257" customFormat="false" ht="15" hidden="false" customHeight="false" outlineLevel="0" collapsed="false">
      <c r="A257" s="26"/>
      <c r="B257" s="26"/>
      <c r="C257" s="27"/>
      <c r="D257" s="26"/>
    </row>
    <row r="258" customFormat="false" ht="15" hidden="false" customHeight="false" outlineLevel="0" collapsed="false">
      <c r="A258" s="26"/>
      <c r="B258" s="26"/>
      <c r="C258" s="27"/>
      <c r="D258" s="26"/>
    </row>
    <row r="259" customFormat="false" ht="15" hidden="false" customHeight="false" outlineLevel="0" collapsed="false">
      <c r="A259" s="26"/>
      <c r="B259" s="26"/>
      <c r="C259" s="27"/>
      <c r="D259" s="26"/>
    </row>
    <row r="260" customFormat="false" ht="15" hidden="false" customHeight="false" outlineLevel="0" collapsed="false">
      <c r="A260" s="26"/>
      <c r="B260" s="26"/>
      <c r="C260" s="27"/>
      <c r="D260" s="26"/>
    </row>
    <row r="261" customFormat="false" ht="15" hidden="false" customHeight="false" outlineLevel="0" collapsed="false">
      <c r="A261" s="26"/>
      <c r="B261" s="26"/>
      <c r="C261" s="27"/>
      <c r="D261" s="26"/>
    </row>
    <row r="262" customFormat="false" ht="15" hidden="false" customHeight="false" outlineLevel="0" collapsed="false">
      <c r="A262" s="26"/>
      <c r="B262" s="26"/>
      <c r="C262" s="27"/>
      <c r="D262" s="26"/>
    </row>
    <row r="263" customFormat="false" ht="15" hidden="false" customHeight="false" outlineLevel="0" collapsed="false">
      <c r="A263" s="26"/>
      <c r="B263" s="26"/>
      <c r="C263" s="27"/>
      <c r="D263" s="26"/>
    </row>
    <row r="264" customFormat="false" ht="15" hidden="false" customHeight="false" outlineLevel="0" collapsed="false">
      <c r="A264" s="26"/>
      <c r="B264" s="26"/>
      <c r="C264" s="27"/>
      <c r="D264" s="26"/>
    </row>
    <row r="265" customFormat="false" ht="15" hidden="false" customHeight="false" outlineLevel="0" collapsed="false">
      <c r="A265" s="26"/>
      <c r="B265" s="26"/>
      <c r="C265" s="27"/>
      <c r="D265" s="26"/>
    </row>
    <row r="266" customFormat="false" ht="15" hidden="false" customHeight="false" outlineLevel="0" collapsed="false">
      <c r="A266" s="26"/>
      <c r="B266" s="26"/>
      <c r="C266" s="27"/>
      <c r="D266" s="26"/>
    </row>
    <row r="267" customFormat="false" ht="15" hidden="false" customHeight="false" outlineLevel="0" collapsed="false">
      <c r="A267" s="26"/>
      <c r="B267" s="26"/>
      <c r="C267" s="27"/>
      <c r="D267" s="26"/>
    </row>
    <row r="268" customFormat="false" ht="15" hidden="false" customHeight="false" outlineLevel="0" collapsed="false">
      <c r="A268" s="26"/>
      <c r="B268" s="26"/>
      <c r="C268" s="27"/>
      <c r="D268" s="26"/>
    </row>
    <row r="269" customFormat="false" ht="15" hidden="false" customHeight="false" outlineLevel="0" collapsed="false">
      <c r="A269" s="26"/>
      <c r="B269" s="26"/>
      <c r="C269" s="27"/>
      <c r="D269" s="26"/>
    </row>
    <row r="270" customFormat="false" ht="15" hidden="false" customHeight="false" outlineLevel="0" collapsed="false">
      <c r="A270" s="26"/>
      <c r="B270" s="26"/>
      <c r="C270" s="27"/>
      <c r="D270" s="26"/>
    </row>
    <row r="271" customFormat="false" ht="15" hidden="false" customHeight="false" outlineLevel="0" collapsed="false">
      <c r="A271" s="26"/>
      <c r="B271" s="26"/>
      <c r="C271" s="27"/>
      <c r="D271" s="26"/>
    </row>
    <row r="272" customFormat="false" ht="15" hidden="false" customHeight="false" outlineLevel="0" collapsed="false">
      <c r="A272" s="26"/>
      <c r="B272" s="26"/>
      <c r="C272" s="27"/>
      <c r="D272" s="26"/>
    </row>
    <row r="273" customFormat="false" ht="15" hidden="false" customHeight="false" outlineLevel="0" collapsed="false">
      <c r="A273" s="26"/>
      <c r="B273" s="26"/>
      <c r="C273" s="27"/>
      <c r="D273" s="26"/>
    </row>
    <row r="274" customFormat="false" ht="15" hidden="false" customHeight="false" outlineLevel="0" collapsed="false">
      <c r="A274" s="26"/>
      <c r="B274" s="26"/>
      <c r="C274" s="27"/>
      <c r="D274" s="26"/>
    </row>
    <row r="275" customFormat="false" ht="15" hidden="false" customHeight="false" outlineLevel="0" collapsed="false">
      <c r="A275" s="26"/>
      <c r="B275" s="26"/>
      <c r="C275" s="27"/>
      <c r="D275" s="26"/>
    </row>
    <row r="276" customFormat="false" ht="15" hidden="false" customHeight="false" outlineLevel="0" collapsed="false">
      <c r="A276" s="26"/>
      <c r="B276" s="26"/>
      <c r="C276" s="27"/>
      <c r="D276" s="26"/>
    </row>
    <row r="277" customFormat="false" ht="15" hidden="false" customHeight="false" outlineLevel="0" collapsed="false">
      <c r="A277" s="26"/>
      <c r="B277" s="26"/>
      <c r="C277" s="27"/>
      <c r="D277" s="26"/>
    </row>
    <row r="278" customFormat="false" ht="15" hidden="false" customHeight="false" outlineLevel="0" collapsed="false">
      <c r="A278" s="26"/>
      <c r="B278" s="26"/>
      <c r="C278" s="27"/>
      <c r="D278" s="26"/>
    </row>
    <row r="279" customFormat="false" ht="15" hidden="false" customHeight="false" outlineLevel="0" collapsed="false">
      <c r="A279" s="26"/>
      <c r="B279" s="26"/>
      <c r="C279" s="27"/>
      <c r="D279" s="26"/>
    </row>
    <row r="280" customFormat="false" ht="15" hidden="false" customHeight="false" outlineLevel="0" collapsed="false">
      <c r="A280" s="26"/>
      <c r="B280" s="26"/>
      <c r="C280" s="27"/>
      <c r="D280" s="26"/>
    </row>
    <row r="281" customFormat="false" ht="15" hidden="false" customHeight="false" outlineLevel="0" collapsed="false">
      <c r="A281" s="26"/>
      <c r="B281" s="26"/>
      <c r="C281" s="27"/>
      <c r="D281" s="26"/>
    </row>
    <row r="282" customFormat="false" ht="15" hidden="false" customHeight="false" outlineLevel="0" collapsed="false">
      <c r="A282" s="26"/>
      <c r="B282" s="26"/>
      <c r="C282" s="27"/>
      <c r="D282" s="26"/>
    </row>
    <row r="283" customFormat="false" ht="15" hidden="false" customHeight="false" outlineLevel="0" collapsed="false">
      <c r="A283" s="26"/>
      <c r="B283" s="26"/>
      <c r="C283" s="27"/>
      <c r="D283" s="26"/>
    </row>
    <row r="284" customFormat="false" ht="15" hidden="false" customHeight="false" outlineLevel="0" collapsed="false">
      <c r="A284" s="26"/>
      <c r="B284" s="26"/>
      <c r="C284" s="27"/>
      <c r="D284" s="26"/>
    </row>
    <row r="285" customFormat="false" ht="15" hidden="false" customHeight="false" outlineLevel="0" collapsed="false">
      <c r="A285" s="26"/>
      <c r="B285" s="26"/>
      <c r="C285" s="27"/>
      <c r="D285" s="26"/>
    </row>
    <row r="286" customFormat="false" ht="15" hidden="false" customHeight="false" outlineLevel="0" collapsed="false">
      <c r="A286" s="26"/>
      <c r="B286" s="26"/>
      <c r="C286" s="27"/>
      <c r="D286" s="26"/>
    </row>
    <row r="287" customFormat="false" ht="15" hidden="false" customHeight="false" outlineLevel="0" collapsed="false">
      <c r="A287" s="26"/>
      <c r="B287" s="26"/>
      <c r="C287" s="27"/>
      <c r="D287" s="26"/>
    </row>
    <row r="288" customFormat="false" ht="15" hidden="false" customHeight="false" outlineLevel="0" collapsed="false">
      <c r="A288" s="26"/>
      <c r="B288" s="26"/>
      <c r="C288" s="27"/>
      <c r="D288" s="26"/>
    </row>
    <row r="289" customFormat="false" ht="15" hidden="false" customHeight="false" outlineLevel="0" collapsed="false">
      <c r="A289" s="26"/>
      <c r="B289" s="26"/>
      <c r="C289" s="27"/>
      <c r="D289" s="26"/>
    </row>
    <row r="290" customFormat="false" ht="15" hidden="false" customHeight="false" outlineLevel="0" collapsed="false">
      <c r="A290" s="26"/>
      <c r="B290" s="26"/>
      <c r="C290" s="27"/>
      <c r="D290" s="26"/>
    </row>
    <row r="291" customFormat="false" ht="15" hidden="false" customHeight="false" outlineLevel="0" collapsed="false">
      <c r="A291" s="26"/>
      <c r="B291" s="26"/>
      <c r="C291" s="27"/>
      <c r="D291" s="26"/>
    </row>
    <row r="292" customFormat="false" ht="15" hidden="false" customHeight="false" outlineLevel="0" collapsed="false">
      <c r="A292" s="26"/>
      <c r="B292" s="26"/>
      <c r="C292" s="27"/>
      <c r="D292" s="26"/>
    </row>
    <row r="293" customFormat="false" ht="15" hidden="false" customHeight="false" outlineLevel="0" collapsed="false">
      <c r="A293" s="26"/>
      <c r="B293" s="26"/>
      <c r="C293" s="27"/>
      <c r="D293" s="26"/>
    </row>
    <row r="294" customFormat="false" ht="15" hidden="false" customHeight="false" outlineLevel="0" collapsed="false">
      <c r="A294" s="26"/>
      <c r="B294" s="26"/>
      <c r="C294" s="27"/>
      <c r="D294" s="26"/>
    </row>
    <row r="295" customFormat="false" ht="15" hidden="false" customHeight="false" outlineLevel="0" collapsed="false">
      <c r="A295" s="26"/>
      <c r="B295" s="26"/>
      <c r="C295" s="27"/>
      <c r="D295" s="26"/>
    </row>
    <row r="296" customFormat="false" ht="15" hidden="false" customHeight="false" outlineLevel="0" collapsed="false">
      <c r="A296" s="26"/>
      <c r="B296" s="26"/>
      <c r="C296" s="27"/>
      <c r="D296" s="26"/>
    </row>
    <row r="297" customFormat="false" ht="15" hidden="false" customHeight="false" outlineLevel="0" collapsed="false">
      <c r="A297" s="26"/>
      <c r="B297" s="26"/>
      <c r="C297" s="27"/>
      <c r="D297" s="26"/>
    </row>
    <row r="298" customFormat="false" ht="15" hidden="false" customHeight="false" outlineLevel="0" collapsed="false">
      <c r="A298" s="26"/>
      <c r="B298" s="26"/>
      <c r="C298" s="27"/>
      <c r="D298" s="26"/>
    </row>
    <row r="299" customFormat="false" ht="15" hidden="false" customHeight="false" outlineLevel="0" collapsed="false">
      <c r="A299" s="26"/>
      <c r="B299" s="26"/>
      <c r="C299" s="27"/>
      <c r="D299" s="26"/>
    </row>
    <row r="300" customFormat="false" ht="15" hidden="false" customHeight="false" outlineLevel="0" collapsed="false">
      <c r="A300" s="26"/>
      <c r="B300" s="26"/>
      <c r="C300" s="27"/>
      <c r="D300" s="26"/>
    </row>
    <row r="301" customFormat="false" ht="15" hidden="false" customHeight="false" outlineLevel="0" collapsed="false">
      <c r="A301" s="26"/>
      <c r="B301" s="26"/>
      <c r="C301" s="27"/>
      <c r="D301" s="26"/>
    </row>
    <row r="302" customFormat="false" ht="15" hidden="false" customHeight="false" outlineLevel="0" collapsed="false">
      <c r="A302" s="26"/>
      <c r="B302" s="26"/>
      <c r="C302" s="27"/>
      <c r="D302" s="26"/>
    </row>
    <row r="303" customFormat="false" ht="15" hidden="false" customHeight="false" outlineLevel="0" collapsed="false">
      <c r="A303" s="26"/>
      <c r="B303" s="26"/>
      <c r="C303" s="27"/>
      <c r="D303" s="26"/>
    </row>
    <row r="304" customFormat="false" ht="15" hidden="false" customHeight="false" outlineLevel="0" collapsed="false">
      <c r="A304" s="26"/>
      <c r="B304" s="26"/>
      <c r="C304" s="27"/>
      <c r="D304" s="26"/>
    </row>
    <row r="305" customFormat="false" ht="15" hidden="false" customHeight="false" outlineLevel="0" collapsed="false">
      <c r="A305" s="26"/>
      <c r="B305" s="26"/>
      <c r="C305" s="27"/>
      <c r="D305" s="26"/>
    </row>
    <row r="306" customFormat="false" ht="15" hidden="false" customHeight="false" outlineLevel="0" collapsed="false">
      <c r="A306" s="26"/>
      <c r="B306" s="26"/>
      <c r="C306" s="27"/>
      <c r="D306" s="26"/>
    </row>
    <row r="307" customFormat="false" ht="15" hidden="false" customHeight="false" outlineLevel="0" collapsed="false">
      <c r="A307" s="26"/>
      <c r="B307" s="26"/>
      <c r="C307" s="27"/>
      <c r="D307" s="26"/>
    </row>
    <row r="308" customFormat="false" ht="15" hidden="false" customHeight="false" outlineLevel="0" collapsed="false">
      <c r="A308" s="26"/>
      <c r="B308" s="26"/>
      <c r="C308" s="27"/>
      <c r="D308" s="26"/>
    </row>
    <row r="309" customFormat="false" ht="15" hidden="false" customHeight="false" outlineLevel="0" collapsed="false">
      <c r="A309" s="26"/>
      <c r="B309" s="26"/>
      <c r="C309" s="27"/>
      <c r="D309" s="26"/>
    </row>
    <row r="310" customFormat="false" ht="15" hidden="false" customHeight="false" outlineLevel="0" collapsed="false">
      <c r="A310" s="26"/>
      <c r="B310" s="26"/>
      <c r="C310" s="27"/>
      <c r="D310" s="26"/>
    </row>
    <row r="311" customFormat="false" ht="15" hidden="false" customHeight="false" outlineLevel="0" collapsed="false">
      <c r="A311" s="26"/>
      <c r="B311" s="26"/>
      <c r="C311" s="27"/>
      <c r="D311" s="26"/>
    </row>
    <row r="312" customFormat="false" ht="15" hidden="false" customHeight="false" outlineLevel="0" collapsed="false">
      <c r="A312" s="26"/>
      <c r="B312" s="26"/>
      <c r="C312" s="27"/>
      <c r="D312" s="26"/>
    </row>
    <row r="313" customFormat="false" ht="15" hidden="false" customHeight="false" outlineLevel="0" collapsed="false">
      <c r="A313" s="26"/>
      <c r="B313" s="26"/>
      <c r="C313" s="27"/>
      <c r="D313" s="26"/>
    </row>
    <row r="314" customFormat="false" ht="15" hidden="false" customHeight="false" outlineLevel="0" collapsed="false">
      <c r="A314" s="26"/>
      <c r="B314" s="26"/>
      <c r="C314" s="27"/>
      <c r="D314" s="26"/>
    </row>
    <row r="315" customFormat="false" ht="15" hidden="false" customHeight="false" outlineLevel="0" collapsed="false">
      <c r="A315" s="26"/>
      <c r="B315" s="26"/>
      <c r="C315" s="27"/>
      <c r="D315" s="26"/>
    </row>
    <row r="316" customFormat="false" ht="15" hidden="false" customHeight="false" outlineLevel="0" collapsed="false">
      <c r="A316" s="26"/>
      <c r="B316" s="26"/>
      <c r="C316" s="27"/>
      <c r="D316" s="26"/>
    </row>
    <row r="317" customFormat="false" ht="15" hidden="false" customHeight="false" outlineLevel="0" collapsed="false">
      <c r="A317" s="26"/>
      <c r="B317" s="26"/>
      <c r="C317" s="27"/>
      <c r="D317" s="26"/>
    </row>
    <row r="318" customFormat="false" ht="15" hidden="false" customHeight="false" outlineLevel="0" collapsed="false">
      <c r="A318" s="26"/>
      <c r="B318" s="26"/>
      <c r="C318" s="27"/>
      <c r="D318" s="26"/>
    </row>
    <row r="319" customFormat="false" ht="15" hidden="false" customHeight="false" outlineLevel="0" collapsed="false">
      <c r="A319" s="26"/>
      <c r="B319" s="26"/>
      <c r="C319" s="27"/>
      <c r="D319" s="26"/>
    </row>
    <row r="320" customFormat="false" ht="15" hidden="false" customHeight="false" outlineLevel="0" collapsed="false">
      <c r="A320" s="26"/>
      <c r="B320" s="26"/>
      <c r="C320" s="27"/>
      <c r="D320" s="26"/>
    </row>
    <row r="321" customFormat="false" ht="15" hidden="false" customHeight="false" outlineLevel="0" collapsed="false">
      <c r="A321" s="26"/>
      <c r="B321" s="26"/>
      <c r="C321" s="27"/>
      <c r="D321" s="26"/>
    </row>
    <row r="322" customFormat="false" ht="15" hidden="false" customHeight="false" outlineLevel="0" collapsed="false">
      <c r="A322" s="26"/>
      <c r="B322" s="26"/>
      <c r="C322" s="27"/>
      <c r="D322" s="26"/>
    </row>
    <row r="323" customFormat="false" ht="15" hidden="false" customHeight="false" outlineLevel="0" collapsed="false">
      <c r="A323" s="26"/>
      <c r="B323" s="26"/>
      <c r="C323" s="27"/>
      <c r="D323" s="26"/>
    </row>
    <row r="324" customFormat="false" ht="15" hidden="false" customHeight="false" outlineLevel="0" collapsed="false">
      <c r="A324" s="26"/>
      <c r="B324" s="26"/>
      <c r="C324" s="27"/>
      <c r="D324" s="26"/>
    </row>
    <row r="325" customFormat="false" ht="15" hidden="false" customHeight="false" outlineLevel="0" collapsed="false">
      <c r="A325" s="26"/>
      <c r="B325" s="26"/>
      <c r="C325" s="27"/>
      <c r="D325" s="26"/>
    </row>
    <row r="326" customFormat="false" ht="15" hidden="false" customHeight="false" outlineLevel="0" collapsed="false">
      <c r="A326" s="26"/>
      <c r="B326" s="26"/>
      <c r="C326" s="27"/>
      <c r="D326" s="26"/>
    </row>
    <row r="327" customFormat="false" ht="15" hidden="false" customHeight="false" outlineLevel="0" collapsed="false">
      <c r="A327" s="26"/>
      <c r="B327" s="26"/>
      <c r="C327" s="27"/>
      <c r="D327" s="26"/>
    </row>
    <row r="328" customFormat="false" ht="15" hidden="false" customHeight="false" outlineLevel="0" collapsed="false">
      <c r="A328" s="26"/>
      <c r="B328" s="26"/>
      <c r="C328" s="27"/>
      <c r="D328" s="26"/>
    </row>
    <row r="329" customFormat="false" ht="15" hidden="false" customHeight="false" outlineLevel="0" collapsed="false">
      <c r="A329" s="26"/>
      <c r="B329" s="26"/>
      <c r="C329" s="27"/>
      <c r="D329" s="26"/>
    </row>
    <row r="330" customFormat="false" ht="15" hidden="false" customHeight="false" outlineLevel="0" collapsed="false">
      <c r="A330" s="26"/>
      <c r="B330" s="26"/>
      <c r="C330" s="27"/>
      <c r="D330" s="26"/>
    </row>
    <row r="331" customFormat="false" ht="15" hidden="false" customHeight="false" outlineLevel="0" collapsed="false">
      <c r="A331" s="26"/>
      <c r="B331" s="26"/>
      <c r="C331" s="27"/>
      <c r="D331" s="26"/>
    </row>
    <row r="332" customFormat="false" ht="15" hidden="false" customHeight="false" outlineLevel="0" collapsed="false">
      <c r="A332" s="26"/>
      <c r="B332" s="26"/>
      <c r="C332" s="27"/>
      <c r="D332" s="26"/>
    </row>
    <row r="333" customFormat="false" ht="15" hidden="false" customHeight="false" outlineLevel="0" collapsed="false">
      <c r="A333" s="26"/>
      <c r="B333" s="26"/>
      <c r="C333" s="27"/>
      <c r="D333" s="26"/>
    </row>
    <row r="334" customFormat="false" ht="15" hidden="false" customHeight="false" outlineLevel="0" collapsed="false">
      <c r="A334" s="26"/>
      <c r="B334" s="26"/>
      <c r="C334" s="27"/>
      <c r="D334" s="26"/>
    </row>
    <row r="335" customFormat="false" ht="15" hidden="false" customHeight="false" outlineLevel="0" collapsed="false">
      <c r="A335" s="26"/>
      <c r="B335" s="26"/>
      <c r="C335" s="27"/>
      <c r="D335" s="26"/>
    </row>
    <row r="336" customFormat="false" ht="15" hidden="false" customHeight="false" outlineLevel="0" collapsed="false">
      <c r="A336" s="26"/>
      <c r="B336" s="26"/>
      <c r="C336" s="27"/>
      <c r="D336" s="26"/>
    </row>
    <row r="337" customFormat="false" ht="15" hidden="false" customHeight="false" outlineLevel="0" collapsed="false">
      <c r="A337" s="26"/>
      <c r="B337" s="26"/>
      <c r="C337" s="27"/>
      <c r="D337" s="26"/>
    </row>
    <row r="338" customFormat="false" ht="15" hidden="false" customHeight="false" outlineLevel="0" collapsed="false">
      <c r="A338" s="26"/>
      <c r="B338" s="26"/>
      <c r="C338" s="27"/>
      <c r="D338" s="26"/>
    </row>
    <row r="339" customFormat="false" ht="15" hidden="false" customHeight="false" outlineLevel="0" collapsed="false">
      <c r="A339" s="26"/>
      <c r="B339" s="26"/>
      <c r="C339" s="27"/>
      <c r="D339" s="26"/>
    </row>
    <row r="340" customFormat="false" ht="15" hidden="false" customHeight="false" outlineLevel="0" collapsed="false">
      <c r="A340" s="26"/>
      <c r="B340" s="26"/>
      <c r="C340" s="27"/>
      <c r="D340" s="26"/>
    </row>
    <row r="341" customFormat="false" ht="15" hidden="false" customHeight="false" outlineLevel="0" collapsed="false">
      <c r="A341" s="26"/>
      <c r="B341" s="26"/>
      <c r="C341" s="27"/>
      <c r="D341" s="26"/>
    </row>
    <row r="342" customFormat="false" ht="15" hidden="false" customHeight="false" outlineLevel="0" collapsed="false">
      <c r="A342" s="26"/>
      <c r="B342" s="26"/>
      <c r="C342" s="27"/>
      <c r="D342" s="26"/>
    </row>
    <row r="343" customFormat="false" ht="15" hidden="false" customHeight="false" outlineLevel="0" collapsed="false">
      <c r="A343" s="26"/>
      <c r="B343" s="26"/>
      <c r="C343" s="27"/>
      <c r="D343" s="26"/>
    </row>
    <row r="344" customFormat="false" ht="15" hidden="false" customHeight="false" outlineLevel="0" collapsed="false">
      <c r="A344" s="26"/>
      <c r="B344" s="26"/>
      <c r="C344" s="27"/>
      <c r="D344" s="26"/>
    </row>
    <row r="345" customFormat="false" ht="15" hidden="false" customHeight="false" outlineLevel="0" collapsed="false">
      <c r="A345" s="26"/>
      <c r="B345" s="26"/>
      <c r="C345" s="27"/>
      <c r="D345" s="26"/>
    </row>
    <row r="346" customFormat="false" ht="15" hidden="false" customHeight="false" outlineLevel="0" collapsed="false">
      <c r="A346" s="26"/>
      <c r="B346" s="26"/>
      <c r="C346" s="27"/>
      <c r="D346" s="26"/>
    </row>
    <row r="347" customFormat="false" ht="15" hidden="false" customHeight="false" outlineLevel="0" collapsed="false">
      <c r="A347" s="26"/>
      <c r="B347" s="26"/>
      <c r="C347" s="27"/>
      <c r="D347" s="26"/>
    </row>
    <row r="348" customFormat="false" ht="15" hidden="false" customHeight="false" outlineLevel="0" collapsed="false">
      <c r="A348" s="26"/>
      <c r="B348" s="26"/>
      <c r="C348" s="27"/>
      <c r="D348" s="26"/>
    </row>
    <row r="349" customFormat="false" ht="15" hidden="false" customHeight="false" outlineLevel="0" collapsed="false">
      <c r="A349" s="26"/>
      <c r="B349" s="26"/>
      <c r="C349" s="27"/>
      <c r="D349" s="26"/>
    </row>
    <row r="350" customFormat="false" ht="15" hidden="false" customHeight="false" outlineLevel="0" collapsed="false">
      <c r="A350" s="26"/>
      <c r="B350" s="26"/>
      <c r="C350" s="27"/>
      <c r="D350" s="26"/>
    </row>
    <row r="351" customFormat="false" ht="15" hidden="false" customHeight="false" outlineLevel="0" collapsed="false">
      <c r="A351" s="26"/>
      <c r="B351" s="26"/>
      <c r="C351" s="27"/>
      <c r="D351" s="26"/>
    </row>
    <row r="352" customFormat="false" ht="15" hidden="false" customHeight="false" outlineLevel="0" collapsed="false">
      <c r="A352" s="26"/>
      <c r="B352" s="26"/>
      <c r="C352" s="27"/>
      <c r="D352" s="26"/>
    </row>
    <row r="353" customFormat="false" ht="15" hidden="false" customHeight="false" outlineLevel="0" collapsed="false">
      <c r="A353" s="26"/>
      <c r="B353" s="26"/>
      <c r="C353" s="27"/>
      <c r="D353" s="26"/>
    </row>
    <row r="354" customFormat="false" ht="15" hidden="false" customHeight="false" outlineLevel="0" collapsed="false">
      <c r="A354" s="26"/>
      <c r="B354" s="26"/>
      <c r="C354" s="27"/>
      <c r="D354" s="26"/>
    </row>
    <row r="355" customFormat="false" ht="15" hidden="false" customHeight="false" outlineLevel="0" collapsed="false">
      <c r="A355" s="26"/>
      <c r="B355" s="26"/>
      <c r="C355" s="27"/>
      <c r="D355" s="26"/>
    </row>
    <row r="356" customFormat="false" ht="15" hidden="false" customHeight="false" outlineLevel="0" collapsed="false">
      <c r="A356" s="26"/>
      <c r="B356" s="26"/>
      <c r="C356" s="27"/>
      <c r="D356" s="26"/>
    </row>
    <row r="357" customFormat="false" ht="15" hidden="false" customHeight="false" outlineLevel="0" collapsed="false">
      <c r="A357" s="26"/>
      <c r="B357" s="26"/>
      <c r="C357" s="27"/>
      <c r="D357" s="26"/>
    </row>
    <row r="358" customFormat="false" ht="15" hidden="false" customHeight="false" outlineLevel="0" collapsed="false">
      <c r="A358" s="26"/>
      <c r="B358" s="26"/>
      <c r="C358" s="27"/>
      <c r="D358" s="26"/>
    </row>
    <row r="359" customFormat="false" ht="15" hidden="false" customHeight="false" outlineLevel="0" collapsed="false">
      <c r="A359" s="26"/>
      <c r="B359" s="26"/>
      <c r="C359" s="27"/>
      <c r="D359" s="26"/>
    </row>
    <row r="360" customFormat="false" ht="15" hidden="false" customHeight="false" outlineLevel="0" collapsed="false">
      <c r="A360" s="26"/>
      <c r="B360" s="26"/>
      <c r="C360" s="27"/>
      <c r="D360" s="26"/>
    </row>
    <row r="361" customFormat="false" ht="15" hidden="false" customHeight="false" outlineLevel="0" collapsed="false">
      <c r="A361" s="26"/>
      <c r="B361" s="26"/>
      <c r="C361" s="27"/>
      <c r="D361" s="26"/>
    </row>
    <row r="362" customFormat="false" ht="15" hidden="false" customHeight="false" outlineLevel="0" collapsed="false">
      <c r="A362" s="26"/>
      <c r="B362" s="26"/>
      <c r="C362" s="27"/>
      <c r="D362" s="26"/>
    </row>
    <row r="363" customFormat="false" ht="15" hidden="false" customHeight="false" outlineLevel="0" collapsed="false">
      <c r="A363" s="26"/>
      <c r="B363" s="26"/>
      <c r="C363" s="27"/>
      <c r="D363" s="26"/>
    </row>
    <row r="364" customFormat="false" ht="15" hidden="false" customHeight="false" outlineLevel="0" collapsed="false">
      <c r="A364" s="26"/>
      <c r="B364" s="26"/>
      <c r="C364" s="27"/>
      <c r="D364" s="26"/>
    </row>
    <row r="365" customFormat="false" ht="15" hidden="false" customHeight="false" outlineLevel="0" collapsed="false">
      <c r="A365" s="26"/>
      <c r="B365" s="26"/>
      <c r="C365" s="27"/>
      <c r="D365" s="26"/>
    </row>
    <row r="366" customFormat="false" ht="15" hidden="false" customHeight="false" outlineLevel="0" collapsed="false">
      <c r="A366" s="26"/>
      <c r="B366" s="26"/>
      <c r="C366" s="27"/>
      <c r="D366" s="26"/>
    </row>
    <row r="367" customFormat="false" ht="15" hidden="false" customHeight="false" outlineLevel="0" collapsed="false">
      <c r="A367" s="26"/>
      <c r="B367" s="26"/>
      <c r="C367" s="27"/>
      <c r="D367" s="26"/>
    </row>
    <row r="368" customFormat="false" ht="15" hidden="false" customHeight="false" outlineLevel="0" collapsed="false">
      <c r="A368" s="26"/>
      <c r="B368" s="26"/>
      <c r="C368" s="27"/>
      <c r="D368" s="26"/>
    </row>
    <row r="369" customFormat="false" ht="15" hidden="false" customHeight="false" outlineLevel="0" collapsed="false">
      <c r="A369" s="26"/>
      <c r="B369" s="26"/>
      <c r="C369" s="27"/>
      <c r="D369" s="26"/>
    </row>
    <row r="370" customFormat="false" ht="15" hidden="false" customHeight="false" outlineLevel="0" collapsed="false">
      <c r="A370" s="26"/>
      <c r="B370" s="26"/>
      <c r="C370" s="27"/>
      <c r="D370" s="26"/>
    </row>
    <row r="371" customFormat="false" ht="15" hidden="false" customHeight="false" outlineLevel="0" collapsed="false">
      <c r="A371" s="26"/>
      <c r="B371" s="26"/>
      <c r="C371" s="27"/>
      <c r="D371" s="26"/>
    </row>
    <row r="372" customFormat="false" ht="15" hidden="false" customHeight="false" outlineLevel="0" collapsed="false">
      <c r="A372" s="26"/>
      <c r="B372" s="26"/>
      <c r="C372" s="27"/>
      <c r="D372" s="26"/>
    </row>
    <row r="373" customFormat="false" ht="15" hidden="false" customHeight="false" outlineLevel="0" collapsed="false">
      <c r="A373" s="26"/>
      <c r="B373" s="26"/>
      <c r="C373" s="27"/>
      <c r="D373" s="26"/>
    </row>
    <row r="374" customFormat="false" ht="15" hidden="false" customHeight="false" outlineLevel="0" collapsed="false">
      <c r="A374" s="26"/>
      <c r="B374" s="26"/>
      <c r="C374" s="27"/>
      <c r="D374" s="26"/>
    </row>
    <row r="375" customFormat="false" ht="15" hidden="false" customHeight="false" outlineLevel="0" collapsed="false">
      <c r="A375" s="26"/>
      <c r="B375" s="26"/>
      <c r="C375" s="27"/>
      <c r="D375" s="26"/>
    </row>
    <row r="376" customFormat="false" ht="15" hidden="false" customHeight="false" outlineLevel="0" collapsed="false">
      <c r="A376" s="26"/>
      <c r="B376" s="26"/>
      <c r="C376" s="27"/>
      <c r="D376" s="26"/>
    </row>
    <row r="377" customFormat="false" ht="15" hidden="false" customHeight="false" outlineLevel="0" collapsed="false">
      <c r="A377" s="26"/>
      <c r="B377" s="26"/>
      <c r="C377" s="27"/>
      <c r="D377" s="26"/>
    </row>
    <row r="378" customFormat="false" ht="15" hidden="false" customHeight="false" outlineLevel="0" collapsed="false">
      <c r="A378" s="26"/>
      <c r="B378" s="26"/>
      <c r="C378" s="27"/>
      <c r="D378" s="26"/>
    </row>
    <row r="379" customFormat="false" ht="15" hidden="false" customHeight="false" outlineLevel="0" collapsed="false">
      <c r="A379" s="26"/>
      <c r="B379" s="26"/>
      <c r="C379" s="27"/>
      <c r="D379" s="26"/>
    </row>
    <row r="380" customFormat="false" ht="15" hidden="false" customHeight="false" outlineLevel="0" collapsed="false">
      <c r="A380" s="26"/>
      <c r="B380" s="26"/>
      <c r="C380" s="27"/>
      <c r="D380" s="26"/>
    </row>
    <row r="381" customFormat="false" ht="15" hidden="false" customHeight="false" outlineLevel="0" collapsed="false">
      <c r="A381" s="26"/>
      <c r="B381" s="26"/>
      <c r="C381" s="27"/>
      <c r="D381" s="26"/>
    </row>
    <row r="382" customFormat="false" ht="15" hidden="false" customHeight="false" outlineLevel="0" collapsed="false">
      <c r="A382" s="26"/>
      <c r="B382" s="26"/>
      <c r="C382" s="27"/>
      <c r="D382" s="26"/>
    </row>
    <row r="383" customFormat="false" ht="15" hidden="false" customHeight="false" outlineLevel="0" collapsed="false">
      <c r="A383" s="26"/>
      <c r="B383" s="26"/>
      <c r="C383" s="27"/>
      <c r="D383" s="26"/>
    </row>
    <row r="384" customFormat="false" ht="15" hidden="false" customHeight="false" outlineLevel="0" collapsed="false">
      <c r="A384" s="26"/>
      <c r="B384" s="26"/>
      <c r="C384" s="27"/>
      <c r="D384" s="26"/>
    </row>
    <row r="385" customFormat="false" ht="15" hidden="false" customHeight="false" outlineLevel="0" collapsed="false">
      <c r="A385" s="26"/>
      <c r="B385" s="26"/>
      <c r="C385" s="27"/>
      <c r="D385" s="26"/>
    </row>
    <row r="386" customFormat="false" ht="15" hidden="false" customHeight="false" outlineLevel="0" collapsed="false">
      <c r="A386" s="26"/>
      <c r="B386" s="26"/>
      <c r="C386" s="27"/>
      <c r="D386" s="26"/>
    </row>
    <row r="387" customFormat="false" ht="15" hidden="false" customHeight="false" outlineLevel="0" collapsed="false">
      <c r="A387" s="26"/>
      <c r="B387" s="26"/>
      <c r="C387" s="27"/>
      <c r="D387" s="26"/>
    </row>
    <row r="388" customFormat="false" ht="15" hidden="false" customHeight="false" outlineLevel="0" collapsed="false">
      <c r="A388" s="26"/>
      <c r="B388" s="26"/>
      <c r="C388" s="27"/>
      <c r="D388" s="26"/>
    </row>
    <row r="389" customFormat="false" ht="15" hidden="false" customHeight="false" outlineLevel="0" collapsed="false">
      <c r="A389" s="26"/>
      <c r="B389" s="26"/>
      <c r="C389" s="27"/>
      <c r="D389" s="26"/>
    </row>
    <row r="390" customFormat="false" ht="15" hidden="false" customHeight="false" outlineLevel="0" collapsed="false">
      <c r="A390" s="26"/>
      <c r="B390" s="26"/>
      <c r="C390" s="27"/>
      <c r="D390" s="26"/>
    </row>
    <row r="391" customFormat="false" ht="15" hidden="false" customHeight="false" outlineLevel="0" collapsed="false">
      <c r="A391" s="26"/>
      <c r="B391" s="26"/>
      <c r="C391" s="27"/>
      <c r="D391" s="26"/>
    </row>
    <row r="392" customFormat="false" ht="15" hidden="false" customHeight="false" outlineLevel="0" collapsed="false">
      <c r="A392" s="26"/>
      <c r="B392" s="26"/>
      <c r="C392" s="27"/>
      <c r="D392" s="26"/>
    </row>
    <row r="393" customFormat="false" ht="15" hidden="false" customHeight="false" outlineLevel="0" collapsed="false">
      <c r="A393" s="26"/>
      <c r="B393" s="26"/>
      <c r="C393" s="27"/>
      <c r="D393" s="26"/>
    </row>
    <row r="394" customFormat="false" ht="15" hidden="false" customHeight="false" outlineLevel="0" collapsed="false">
      <c r="A394" s="26"/>
      <c r="B394" s="26"/>
      <c r="C394" s="27"/>
      <c r="D394" s="26"/>
    </row>
    <row r="395" customFormat="false" ht="15" hidden="false" customHeight="false" outlineLevel="0" collapsed="false">
      <c r="A395" s="26"/>
      <c r="B395" s="26"/>
      <c r="C395" s="27"/>
      <c r="D395" s="26"/>
    </row>
    <row r="396" customFormat="false" ht="15" hidden="false" customHeight="false" outlineLevel="0" collapsed="false">
      <c r="A396" s="26"/>
      <c r="B396" s="26"/>
      <c r="C396" s="27"/>
      <c r="D396" s="26"/>
    </row>
    <row r="397" customFormat="false" ht="15" hidden="false" customHeight="false" outlineLevel="0" collapsed="false">
      <c r="A397" s="26"/>
      <c r="B397" s="26"/>
      <c r="C397" s="27"/>
      <c r="D397" s="26"/>
    </row>
    <row r="398" customFormat="false" ht="15" hidden="false" customHeight="false" outlineLevel="0" collapsed="false">
      <c r="A398" s="26"/>
      <c r="B398" s="26"/>
      <c r="C398" s="27"/>
      <c r="D398" s="26"/>
    </row>
    <row r="399" customFormat="false" ht="15" hidden="false" customHeight="false" outlineLevel="0" collapsed="false">
      <c r="A399" s="26"/>
      <c r="B399" s="26"/>
      <c r="C399" s="27"/>
      <c r="D399" s="26"/>
    </row>
    <row r="400" customFormat="false" ht="15" hidden="false" customHeight="false" outlineLevel="0" collapsed="false">
      <c r="A400" s="26"/>
      <c r="B400" s="26"/>
      <c r="C400" s="27"/>
      <c r="D400" s="26"/>
    </row>
    <row r="401" customFormat="false" ht="15" hidden="false" customHeight="false" outlineLevel="0" collapsed="false">
      <c r="A401" s="26"/>
      <c r="B401" s="26"/>
      <c r="C401" s="27"/>
      <c r="D401" s="26"/>
    </row>
    <row r="402" customFormat="false" ht="15" hidden="false" customHeight="false" outlineLevel="0" collapsed="false">
      <c r="A402" s="26"/>
      <c r="B402" s="26"/>
      <c r="C402" s="27"/>
      <c r="D402" s="26"/>
    </row>
    <row r="403" customFormat="false" ht="15" hidden="false" customHeight="false" outlineLevel="0" collapsed="false">
      <c r="A403" s="26"/>
      <c r="B403" s="26"/>
      <c r="C403" s="27"/>
      <c r="D403" s="26"/>
    </row>
    <row r="404" customFormat="false" ht="15" hidden="false" customHeight="false" outlineLevel="0" collapsed="false">
      <c r="A404" s="26"/>
      <c r="B404" s="26"/>
      <c r="C404" s="27"/>
      <c r="D404" s="26"/>
    </row>
    <row r="405" customFormat="false" ht="15" hidden="false" customHeight="false" outlineLevel="0" collapsed="false">
      <c r="A405" s="26"/>
      <c r="B405" s="26"/>
      <c r="C405" s="27"/>
      <c r="D405" s="26"/>
    </row>
    <row r="406" customFormat="false" ht="15" hidden="false" customHeight="false" outlineLevel="0" collapsed="false">
      <c r="A406" s="26"/>
      <c r="B406" s="26"/>
      <c r="C406" s="27"/>
      <c r="D406" s="26"/>
    </row>
    <row r="407" customFormat="false" ht="15" hidden="false" customHeight="false" outlineLevel="0" collapsed="false">
      <c r="A407" s="26"/>
      <c r="B407" s="26"/>
      <c r="C407" s="27"/>
      <c r="D407" s="26"/>
    </row>
    <row r="408" customFormat="false" ht="15" hidden="false" customHeight="false" outlineLevel="0" collapsed="false">
      <c r="A408" s="26"/>
      <c r="B408" s="26"/>
      <c r="C408" s="27"/>
      <c r="D408" s="26"/>
    </row>
    <row r="409" customFormat="false" ht="15" hidden="false" customHeight="false" outlineLevel="0" collapsed="false">
      <c r="A409" s="26"/>
      <c r="B409" s="26"/>
      <c r="C409" s="27"/>
      <c r="D409" s="26"/>
    </row>
    <row r="410" customFormat="false" ht="15" hidden="false" customHeight="false" outlineLevel="0" collapsed="false">
      <c r="A410" s="26"/>
      <c r="B410" s="26"/>
      <c r="C410" s="27"/>
      <c r="D410" s="26"/>
    </row>
    <row r="411" customFormat="false" ht="15" hidden="false" customHeight="false" outlineLevel="0" collapsed="false">
      <c r="A411" s="26"/>
      <c r="B411" s="26"/>
      <c r="C411" s="27"/>
      <c r="D411" s="26"/>
    </row>
    <row r="412" customFormat="false" ht="15" hidden="false" customHeight="false" outlineLevel="0" collapsed="false">
      <c r="A412" s="26"/>
      <c r="B412" s="26"/>
      <c r="C412" s="27"/>
      <c r="D412" s="26"/>
    </row>
    <row r="413" customFormat="false" ht="15" hidden="false" customHeight="false" outlineLevel="0" collapsed="false">
      <c r="A413" s="26"/>
      <c r="B413" s="26"/>
      <c r="C413" s="27"/>
      <c r="D413" s="26"/>
    </row>
    <row r="414" customFormat="false" ht="15" hidden="false" customHeight="false" outlineLevel="0" collapsed="false">
      <c r="A414" s="26"/>
      <c r="B414" s="26"/>
      <c r="C414" s="27"/>
      <c r="D414" s="26"/>
    </row>
    <row r="415" customFormat="false" ht="15" hidden="false" customHeight="false" outlineLevel="0" collapsed="false">
      <c r="A415" s="26"/>
      <c r="B415" s="26"/>
      <c r="C415" s="27"/>
      <c r="D415" s="26"/>
    </row>
    <row r="416" customFormat="false" ht="15" hidden="false" customHeight="false" outlineLevel="0" collapsed="false">
      <c r="A416" s="26"/>
      <c r="B416" s="26"/>
      <c r="C416" s="27"/>
      <c r="D416" s="26"/>
    </row>
    <row r="417" customFormat="false" ht="15" hidden="false" customHeight="false" outlineLevel="0" collapsed="false">
      <c r="A417" s="26"/>
      <c r="B417" s="26"/>
      <c r="C417" s="27"/>
      <c r="D417" s="26"/>
    </row>
    <row r="418" customFormat="false" ht="15" hidden="false" customHeight="false" outlineLevel="0" collapsed="false">
      <c r="A418" s="26"/>
      <c r="B418" s="26"/>
      <c r="C418" s="27"/>
      <c r="D418" s="26"/>
    </row>
    <row r="419" customFormat="false" ht="15" hidden="false" customHeight="false" outlineLevel="0" collapsed="false">
      <c r="A419" s="26"/>
      <c r="B419" s="26"/>
      <c r="C419" s="27"/>
      <c r="D419" s="26"/>
    </row>
    <row r="420" customFormat="false" ht="15" hidden="false" customHeight="false" outlineLevel="0" collapsed="false">
      <c r="A420" s="26"/>
      <c r="B420" s="26"/>
      <c r="C420" s="27"/>
      <c r="D420" s="26"/>
    </row>
    <row r="421" customFormat="false" ht="15" hidden="false" customHeight="false" outlineLevel="0" collapsed="false">
      <c r="A421" s="26"/>
      <c r="B421" s="26"/>
      <c r="C421" s="27"/>
      <c r="D421" s="26"/>
    </row>
    <row r="422" customFormat="false" ht="15" hidden="false" customHeight="false" outlineLevel="0" collapsed="false">
      <c r="A422" s="26"/>
      <c r="B422" s="26"/>
      <c r="C422" s="27"/>
      <c r="D422" s="26"/>
    </row>
    <row r="423" customFormat="false" ht="15" hidden="false" customHeight="false" outlineLevel="0" collapsed="false">
      <c r="A423" s="26"/>
      <c r="B423" s="26"/>
      <c r="C423" s="27"/>
      <c r="D423" s="26"/>
    </row>
    <row r="424" customFormat="false" ht="15" hidden="false" customHeight="false" outlineLevel="0" collapsed="false">
      <c r="A424" s="26"/>
      <c r="B424" s="26"/>
      <c r="C424" s="27"/>
      <c r="D424" s="26"/>
    </row>
    <row r="425" customFormat="false" ht="15" hidden="false" customHeight="false" outlineLevel="0" collapsed="false">
      <c r="A425" s="26"/>
      <c r="B425" s="26"/>
      <c r="C425" s="27"/>
      <c r="D425" s="26"/>
    </row>
    <row r="426" customFormat="false" ht="15" hidden="false" customHeight="false" outlineLevel="0" collapsed="false">
      <c r="A426" s="26"/>
      <c r="B426" s="26"/>
      <c r="C426" s="27"/>
      <c r="D426" s="26"/>
    </row>
    <row r="427" customFormat="false" ht="15" hidden="false" customHeight="false" outlineLevel="0" collapsed="false">
      <c r="A427" s="26"/>
      <c r="B427" s="26"/>
      <c r="C427" s="27"/>
      <c r="D427" s="26"/>
    </row>
    <row r="428" customFormat="false" ht="15" hidden="false" customHeight="false" outlineLevel="0" collapsed="false">
      <c r="A428" s="26"/>
      <c r="B428" s="26"/>
      <c r="C428" s="27"/>
      <c r="D428" s="26"/>
    </row>
    <row r="429" customFormat="false" ht="15" hidden="false" customHeight="false" outlineLevel="0" collapsed="false">
      <c r="A429" s="26"/>
      <c r="B429" s="26"/>
      <c r="C429" s="27"/>
      <c r="D429" s="26"/>
    </row>
    <row r="430" customFormat="false" ht="15" hidden="false" customHeight="false" outlineLevel="0" collapsed="false">
      <c r="A430" s="26"/>
      <c r="B430" s="26"/>
      <c r="C430" s="27"/>
      <c r="D430" s="26"/>
    </row>
    <row r="431" customFormat="false" ht="15" hidden="false" customHeight="false" outlineLevel="0" collapsed="false">
      <c r="A431" s="26"/>
      <c r="B431" s="26"/>
      <c r="C431" s="27"/>
      <c r="D431" s="26"/>
    </row>
    <row r="432" customFormat="false" ht="15" hidden="false" customHeight="false" outlineLevel="0" collapsed="false">
      <c r="A432" s="26"/>
      <c r="B432" s="26"/>
      <c r="C432" s="27"/>
      <c r="D432" s="26"/>
    </row>
    <row r="433" customFormat="false" ht="15" hidden="false" customHeight="false" outlineLevel="0" collapsed="false">
      <c r="A433" s="26"/>
      <c r="B433" s="26"/>
      <c r="C433" s="27"/>
      <c r="D433" s="26"/>
    </row>
    <row r="434" customFormat="false" ht="15" hidden="false" customHeight="false" outlineLevel="0" collapsed="false">
      <c r="A434" s="26"/>
      <c r="B434" s="26"/>
      <c r="C434" s="27"/>
      <c r="D434" s="26"/>
    </row>
    <row r="435" customFormat="false" ht="15" hidden="false" customHeight="false" outlineLevel="0" collapsed="false">
      <c r="A435" s="26"/>
      <c r="B435" s="26"/>
      <c r="C435" s="27"/>
      <c r="D435" s="26"/>
    </row>
    <row r="436" customFormat="false" ht="15" hidden="false" customHeight="false" outlineLevel="0" collapsed="false">
      <c r="A436" s="26"/>
      <c r="B436" s="26"/>
      <c r="C436" s="27"/>
      <c r="D436" s="26"/>
    </row>
    <row r="437" customFormat="false" ht="15" hidden="false" customHeight="false" outlineLevel="0" collapsed="false">
      <c r="A437" s="26"/>
      <c r="B437" s="26"/>
      <c r="C437" s="27"/>
      <c r="D437" s="26"/>
    </row>
    <row r="438" customFormat="false" ht="15" hidden="false" customHeight="false" outlineLevel="0" collapsed="false">
      <c r="A438" s="26"/>
      <c r="B438" s="26"/>
      <c r="C438" s="27"/>
      <c r="D438" s="26"/>
    </row>
    <row r="439" customFormat="false" ht="15" hidden="false" customHeight="false" outlineLevel="0" collapsed="false">
      <c r="A439" s="26"/>
      <c r="B439" s="26"/>
      <c r="C439" s="27"/>
      <c r="D439" s="26"/>
    </row>
    <row r="440" customFormat="false" ht="15" hidden="false" customHeight="false" outlineLevel="0" collapsed="false">
      <c r="A440" s="26"/>
      <c r="B440" s="26"/>
      <c r="C440" s="27"/>
      <c r="D440" s="26"/>
    </row>
    <row r="441" customFormat="false" ht="15" hidden="false" customHeight="false" outlineLevel="0" collapsed="false">
      <c r="A441" s="26"/>
      <c r="B441" s="26"/>
      <c r="C441" s="27"/>
      <c r="D441" s="26"/>
    </row>
    <row r="442" customFormat="false" ht="15" hidden="false" customHeight="false" outlineLevel="0" collapsed="false">
      <c r="A442" s="26"/>
      <c r="B442" s="26"/>
      <c r="C442" s="27"/>
      <c r="D442" s="26"/>
    </row>
    <row r="443" customFormat="false" ht="15" hidden="false" customHeight="false" outlineLevel="0" collapsed="false">
      <c r="A443" s="26"/>
      <c r="B443" s="26"/>
      <c r="C443" s="27"/>
      <c r="D443" s="26"/>
    </row>
    <row r="444" customFormat="false" ht="15" hidden="false" customHeight="false" outlineLevel="0" collapsed="false">
      <c r="A444" s="26"/>
      <c r="B444" s="26"/>
      <c r="C444" s="27"/>
      <c r="D444" s="26"/>
    </row>
    <row r="445" customFormat="false" ht="15" hidden="false" customHeight="false" outlineLevel="0" collapsed="false">
      <c r="A445" s="26"/>
      <c r="B445" s="26"/>
      <c r="C445" s="27"/>
      <c r="D445" s="26"/>
    </row>
    <row r="446" customFormat="false" ht="15" hidden="false" customHeight="false" outlineLevel="0" collapsed="false">
      <c r="A446" s="26"/>
      <c r="B446" s="26"/>
      <c r="C446" s="27"/>
      <c r="D446" s="26"/>
    </row>
    <row r="447" customFormat="false" ht="15" hidden="false" customHeight="false" outlineLevel="0" collapsed="false">
      <c r="A447" s="26"/>
      <c r="B447" s="26"/>
      <c r="C447" s="27"/>
      <c r="D447" s="26"/>
    </row>
    <row r="448" customFormat="false" ht="15" hidden="false" customHeight="false" outlineLevel="0" collapsed="false">
      <c r="A448" s="26"/>
      <c r="B448" s="26"/>
      <c r="C448" s="27"/>
      <c r="D448" s="26"/>
    </row>
    <row r="449" customFormat="false" ht="15" hidden="false" customHeight="false" outlineLevel="0" collapsed="false">
      <c r="A449" s="26"/>
      <c r="B449" s="26"/>
      <c r="C449" s="27"/>
      <c r="D449" s="26"/>
    </row>
    <row r="450" customFormat="false" ht="15" hidden="false" customHeight="false" outlineLevel="0" collapsed="false">
      <c r="A450" s="26"/>
      <c r="B450" s="26"/>
      <c r="C450" s="27"/>
      <c r="D450" s="26"/>
    </row>
    <row r="451" customFormat="false" ht="15" hidden="false" customHeight="false" outlineLevel="0" collapsed="false">
      <c r="A451" s="26"/>
      <c r="B451" s="26"/>
      <c r="C451" s="27"/>
      <c r="D451" s="26"/>
    </row>
    <row r="452" customFormat="false" ht="15" hidden="false" customHeight="false" outlineLevel="0" collapsed="false">
      <c r="A452" s="26"/>
      <c r="B452" s="26"/>
      <c r="C452" s="27"/>
      <c r="D452" s="26"/>
    </row>
    <row r="453" customFormat="false" ht="15" hidden="false" customHeight="false" outlineLevel="0" collapsed="false">
      <c r="A453" s="26"/>
      <c r="B453" s="26"/>
      <c r="C453" s="27"/>
      <c r="D453" s="26"/>
    </row>
    <row r="454" customFormat="false" ht="15" hidden="false" customHeight="false" outlineLevel="0" collapsed="false">
      <c r="A454" s="26"/>
      <c r="B454" s="26"/>
      <c r="C454" s="27"/>
      <c r="D454" s="26"/>
    </row>
    <row r="455" customFormat="false" ht="15" hidden="false" customHeight="false" outlineLevel="0" collapsed="false">
      <c r="A455" s="26"/>
      <c r="B455" s="26"/>
      <c r="C455" s="27"/>
      <c r="D455" s="26"/>
    </row>
    <row r="456" customFormat="false" ht="15" hidden="false" customHeight="false" outlineLevel="0" collapsed="false">
      <c r="A456" s="26"/>
      <c r="B456" s="26"/>
      <c r="C456" s="27"/>
      <c r="D456" s="26"/>
    </row>
    <row r="457" customFormat="false" ht="15" hidden="false" customHeight="false" outlineLevel="0" collapsed="false">
      <c r="A457" s="26"/>
      <c r="B457" s="26"/>
      <c r="C457" s="27"/>
      <c r="D457" s="26"/>
    </row>
    <row r="458" customFormat="false" ht="15" hidden="false" customHeight="false" outlineLevel="0" collapsed="false">
      <c r="A458" s="26"/>
      <c r="B458" s="26"/>
      <c r="C458" s="27"/>
      <c r="D458" s="26"/>
    </row>
    <row r="459" customFormat="false" ht="15" hidden="false" customHeight="false" outlineLevel="0" collapsed="false">
      <c r="A459" s="26"/>
      <c r="B459" s="26"/>
      <c r="C459" s="27"/>
      <c r="D459" s="26"/>
    </row>
    <row r="460" customFormat="false" ht="15" hidden="false" customHeight="false" outlineLevel="0" collapsed="false">
      <c r="A460" s="26"/>
      <c r="B460" s="26"/>
      <c r="C460" s="27"/>
      <c r="D460" s="26"/>
    </row>
    <row r="461" customFormat="false" ht="15" hidden="false" customHeight="false" outlineLevel="0" collapsed="false">
      <c r="A461" s="26"/>
      <c r="B461" s="26"/>
      <c r="C461" s="27"/>
      <c r="D461" s="26"/>
    </row>
    <row r="462" customFormat="false" ht="15" hidden="false" customHeight="false" outlineLevel="0" collapsed="false">
      <c r="A462" s="26"/>
      <c r="B462" s="26"/>
      <c r="C462" s="27"/>
      <c r="D462" s="26"/>
    </row>
    <row r="463" customFormat="false" ht="15" hidden="false" customHeight="false" outlineLevel="0" collapsed="false">
      <c r="A463" s="26"/>
      <c r="B463" s="26"/>
      <c r="C463" s="27"/>
      <c r="D463" s="26"/>
    </row>
    <row r="464" customFormat="false" ht="15" hidden="false" customHeight="false" outlineLevel="0" collapsed="false">
      <c r="A464" s="26"/>
      <c r="B464" s="26"/>
      <c r="C464" s="27"/>
      <c r="D464" s="26"/>
    </row>
    <row r="465" customFormat="false" ht="15" hidden="false" customHeight="false" outlineLevel="0" collapsed="false">
      <c r="A465" s="26"/>
      <c r="B465" s="26"/>
      <c r="C465" s="27"/>
      <c r="D465" s="26"/>
    </row>
    <row r="466" customFormat="false" ht="15" hidden="false" customHeight="false" outlineLevel="0" collapsed="false">
      <c r="A466" s="26"/>
      <c r="B466" s="26"/>
      <c r="C466" s="27"/>
      <c r="D466" s="26"/>
    </row>
    <row r="467" customFormat="false" ht="15" hidden="false" customHeight="false" outlineLevel="0" collapsed="false">
      <c r="A467" s="26"/>
      <c r="B467" s="26"/>
      <c r="C467" s="27"/>
      <c r="D467" s="26"/>
    </row>
    <row r="468" customFormat="false" ht="15" hidden="false" customHeight="false" outlineLevel="0" collapsed="false">
      <c r="A468" s="26"/>
      <c r="B468" s="26"/>
      <c r="C468" s="27"/>
      <c r="D468" s="26"/>
    </row>
    <row r="469" customFormat="false" ht="15" hidden="false" customHeight="false" outlineLevel="0" collapsed="false">
      <c r="A469" s="26"/>
      <c r="B469" s="26"/>
      <c r="C469" s="27"/>
      <c r="D469" s="26"/>
    </row>
    <row r="470" customFormat="false" ht="15" hidden="false" customHeight="false" outlineLevel="0" collapsed="false">
      <c r="A470" s="26"/>
      <c r="B470" s="26"/>
      <c r="C470" s="27"/>
      <c r="D470" s="26"/>
    </row>
    <row r="471" customFormat="false" ht="15" hidden="false" customHeight="false" outlineLevel="0" collapsed="false">
      <c r="A471" s="26"/>
      <c r="B471" s="26"/>
      <c r="C471" s="27"/>
      <c r="D471" s="26"/>
    </row>
    <row r="472" customFormat="false" ht="15" hidden="false" customHeight="false" outlineLevel="0" collapsed="false">
      <c r="A472" s="26"/>
      <c r="B472" s="26"/>
      <c r="C472" s="27"/>
      <c r="D472" s="26"/>
    </row>
    <row r="473" customFormat="false" ht="15" hidden="false" customHeight="false" outlineLevel="0" collapsed="false">
      <c r="A473" s="26"/>
      <c r="B473" s="26"/>
      <c r="C473" s="27"/>
      <c r="D473" s="26"/>
    </row>
    <row r="474" customFormat="false" ht="15" hidden="false" customHeight="false" outlineLevel="0" collapsed="false">
      <c r="A474" s="26"/>
      <c r="B474" s="26"/>
      <c r="C474" s="27"/>
      <c r="D474" s="26"/>
    </row>
    <row r="475" customFormat="false" ht="15" hidden="false" customHeight="false" outlineLevel="0" collapsed="false">
      <c r="A475" s="26"/>
      <c r="B475" s="26"/>
      <c r="C475" s="27"/>
      <c r="D475" s="26"/>
    </row>
    <row r="476" customFormat="false" ht="15" hidden="false" customHeight="false" outlineLevel="0" collapsed="false">
      <c r="A476" s="26"/>
      <c r="B476" s="26"/>
      <c r="C476" s="27"/>
      <c r="D476" s="26"/>
    </row>
    <row r="477" customFormat="false" ht="15" hidden="false" customHeight="false" outlineLevel="0" collapsed="false">
      <c r="A477" s="26"/>
      <c r="B477" s="26"/>
      <c r="C477" s="27"/>
      <c r="D477" s="26"/>
    </row>
    <row r="478" customFormat="false" ht="15" hidden="false" customHeight="false" outlineLevel="0" collapsed="false">
      <c r="A478" s="26"/>
      <c r="B478" s="26"/>
      <c r="C478" s="27"/>
      <c r="D478" s="26"/>
    </row>
    <row r="479" customFormat="false" ht="15" hidden="false" customHeight="false" outlineLevel="0" collapsed="false">
      <c r="A479" s="26"/>
      <c r="B479" s="26"/>
      <c r="C479" s="27"/>
      <c r="D479" s="26"/>
    </row>
    <row r="480" customFormat="false" ht="15" hidden="false" customHeight="false" outlineLevel="0" collapsed="false">
      <c r="A480" s="26"/>
      <c r="B480" s="26"/>
      <c r="C480" s="27"/>
      <c r="D480" s="26"/>
    </row>
    <row r="481" customFormat="false" ht="15" hidden="false" customHeight="false" outlineLevel="0" collapsed="false">
      <c r="A481" s="26"/>
      <c r="B481" s="26"/>
      <c r="C481" s="27"/>
      <c r="D481" s="26"/>
    </row>
    <row r="482" customFormat="false" ht="15" hidden="false" customHeight="false" outlineLevel="0" collapsed="false">
      <c r="A482" s="26"/>
      <c r="B482" s="26"/>
      <c r="C482" s="27"/>
      <c r="D482" s="26"/>
    </row>
    <row r="483" customFormat="false" ht="15" hidden="false" customHeight="false" outlineLevel="0" collapsed="false">
      <c r="A483" s="26"/>
      <c r="B483" s="26"/>
      <c r="C483" s="27"/>
      <c r="D483" s="26"/>
    </row>
    <row r="484" customFormat="false" ht="15" hidden="false" customHeight="false" outlineLevel="0" collapsed="false">
      <c r="A484" s="26"/>
      <c r="B484" s="26"/>
      <c r="C484" s="27"/>
      <c r="D484" s="26"/>
    </row>
    <row r="485" customFormat="false" ht="15" hidden="false" customHeight="false" outlineLevel="0" collapsed="false">
      <c r="A485" s="26"/>
      <c r="B485" s="26"/>
      <c r="C485" s="27"/>
      <c r="D485" s="26"/>
    </row>
    <row r="486" customFormat="false" ht="15" hidden="false" customHeight="false" outlineLevel="0" collapsed="false">
      <c r="A486" s="26"/>
      <c r="B486" s="26"/>
      <c r="C486" s="27"/>
      <c r="D486" s="26"/>
    </row>
    <row r="487" customFormat="false" ht="15" hidden="false" customHeight="false" outlineLevel="0" collapsed="false">
      <c r="A487" s="26"/>
      <c r="B487" s="26"/>
      <c r="C487" s="27"/>
      <c r="D487" s="26"/>
    </row>
    <row r="488" customFormat="false" ht="15" hidden="false" customHeight="false" outlineLevel="0" collapsed="false">
      <c r="A488" s="26"/>
      <c r="B488" s="26"/>
      <c r="C488" s="27"/>
      <c r="D488" s="26"/>
    </row>
    <row r="489" customFormat="false" ht="15" hidden="false" customHeight="false" outlineLevel="0" collapsed="false">
      <c r="A489" s="26"/>
      <c r="B489" s="26"/>
      <c r="C489" s="27"/>
      <c r="D489" s="26"/>
    </row>
    <row r="490" customFormat="false" ht="15" hidden="false" customHeight="false" outlineLevel="0" collapsed="false">
      <c r="A490" s="26"/>
      <c r="B490" s="26"/>
      <c r="C490" s="27"/>
      <c r="D490" s="26"/>
    </row>
    <row r="491" customFormat="false" ht="15" hidden="false" customHeight="false" outlineLevel="0" collapsed="false">
      <c r="A491" s="26"/>
      <c r="B491" s="26"/>
      <c r="C491" s="27"/>
      <c r="D491" s="26"/>
    </row>
    <row r="492" customFormat="false" ht="15" hidden="false" customHeight="false" outlineLevel="0" collapsed="false">
      <c r="A492" s="26"/>
      <c r="B492" s="26"/>
      <c r="C492" s="27"/>
      <c r="D492" s="26"/>
    </row>
    <row r="493" customFormat="false" ht="15" hidden="false" customHeight="false" outlineLevel="0" collapsed="false">
      <c r="A493" s="26"/>
      <c r="B493" s="26"/>
      <c r="C493" s="27"/>
      <c r="D493" s="26"/>
    </row>
    <row r="494" customFormat="false" ht="15" hidden="false" customHeight="false" outlineLevel="0" collapsed="false">
      <c r="A494" s="26"/>
      <c r="B494" s="26"/>
      <c r="C494" s="27"/>
      <c r="D494" s="26"/>
    </row>
    <row r="495" customFormat="false" ht="15" hidden="false" customHeight="false" outlineLevel="0" collapsed="false">
      <c r="A495" s="26"/>
      <c r="B495" s="26"/>
      <c r="C495" s="27"/>
      <c r="D495" s="26"/>
    </row>
    <row r="496" customFormat="false" ht="15" hidden="false" customHeight="false" outlineLevel="0" collapsed="false">
      <c r="A496" s="26"/>
      <c r="B496" s="26"/>
      <c r="C496" s="27"/>
      <c r="D496" s="26"/>
    </row>
    <row r="497" customFormat="false" ht="15" hidden="false" customHeight="false" outlineLevel="0" collapsed="false">
      <c r="A497" s="26"/>
      <c r="B497" s="26"/>
      <c r="C497" s="27"/>
      <c r="D497" s="26"/>
    </row>
    <row r="498" customFormat="false" ht="15" hidden="false" customHeight="false" outlineLevel="0" collapsed="false">
      <c r="A498" s="26"/>
      <c r="B498" s="26"/>
      <c r="C498" s="27"/>
      <c r="D498" s="26"/>
    </row>
    <row r="499" customFormat="false" ht="15" hidden="false" customHeight="false" outlineLevel="0" collapsed="false">
      <c r="A499" s="26"/>
      <c r="B499" s="26"/>
      <c r="C499" s="27"/>
      <c r="D499" s="26"/>
    </row>
    <row r="500" customFormat="false" ht="15" hidden="false" customHeight="false" outlineLevel="0" collapsed="false">
      <c r="A500" s="26"/>
      <c r="B500" s="26"/>
      <c r="C500" s="27"/>
      <c r="D500" s="26"/>
    </row>
    <row r="501" customFormat="false" ht="15" hidden="false" customHeight="false" outlineLevel="0" collapsed="false">
      <c r="A501" s="26"/>
      <c r="B501" s="26"/>
      <c r="C501" s="27"/>
      <c r="D501" s="26"/>
    </row>
    <row r="502" customFormat="false" ht="15" hidden="false" customHeight="false" outlineLevel="0" collapsed="false">
      <c r="A502" s="26"/>
      <c r="B502" s="26"/>
      <c r="C502" s="27"/>
      <c r="D502" s="26"/>
    </row>
    <row r="503" customFormat="false" ht="15" hidden="false" customHeight="false" outlineLevel="0" collapsed="false">
      <c r="A503" s="26"/>
      <c r="B503" s="26"/>
      <c r="C503" s="27"/>
      <c r="D503" s="26"/>
    </row>
  </sheetData>
  <dataValidations count="2">
    <dataValidation allowBlank="true" error="Escolha um valor da lista" errorStyle="stop" operator="between" showDropDown="false" showErrorMessage="false" showInputMessage="false" sqref="A4:A503" type="list">
      <formula1>Calendario!$A$4:$A$107</formula1>
      <formula2>0</formula2>
    </dataValidation>
    <dataValidation allowBlank="true" error="Escolha um valor da lista" errorStyle="stop" operator="between" showDropDown="false" showErrorMessage="false" showInputMessage="false" sqref="B4:B503" type="list">
      <formula1>Config!$I$10:$I$21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7" min="3" style="0" width="30"/>
    <col collapsed="false" customWidth="true" hidden="false" outlineLevel="0" max="8" min="8" style="0" width="14"/>
    <col collapsed="false" customWidth="true" hidden="false" outlineLevel="0" max="14" min="9" style="0" width="30"/>
  </cols>
  <sheetData>
    <row r="1" customFormat="false" ht="17.35" hidden="false" customHeight="false" outlineLevel="0" collapsed="false">
      <c r="A1" s="1" t="s">
        <v>510</v>
      </c>
    </row>
    <row r="2" customFormat="false" ht="15" hidden="false" customHeight="false" outlineLevel="0" collapsed="false">
      <c r="A2" s="2" t="s">
        <v>511</v>
      </c>
    </row>
    <row r="3" customFormat="false" ht="31.5" hidden="false" customHeight="true" outlineLevel="0" collapsed="false">
      <c r="A3" s="8" t="s">
        <v>28</v>
      </c>
      <c r="B3" s="8" t="s">
        <v>127</v>
      </c>
      <c r="C3" s="8" t="s">
        <v>129</v>
      </c>
      <c r="D3" s="8" t="s">
        <v>131</v>
      </c>
      <c r="E3" s="8" t="s">
        <v>132</v>
      </c>
      <c r="F3" s="8" t="s">
        <v>134</v>
      </c>
      <c r="G3" s="8" t="s">
        <v>135</v>
      </c>
      <c r="H3" s="8" t="s">
        <v>136</v>
      </c>
      <c r="I3" s="8" t="s">
        <v>138</v>
      </c>
      <c r="J3" s="8" t="s">
        <v>140</v>
      </c>
      <c r="K3" s="8" t="s">
        <v>142</v>
      </c>
      <c r="L3" s="8" t="s">
        <v>144</v>
      </c>
      <c r="M3" s="8" t="s">
        <v>146</v>
      </c>
      <c r="N3" s="8" t="s">
        <v>148</v>
      </c>
    </row>
    <row r="4" customFormat="false" ht="35.05" hidden="false" customHeight="false" outlineLevel="0" collapsed="false">
      <c r="A4" s="33" t="s">
        <v>219</v>
      </c>
      <c r="B4" s="33" t="s">
        <v>298</v>
      </c>
      <c r="C4" s="33" t="s">
        <v>512</v>
      </c>
      <c r="D4" s="33" t="s">
        <v>513</v>
      </c>
      <c r="E4" s="33" t="s">
        <v>514</v>
      </c>
      <c r="F4" s="33" t="s">
        <v>515</v>
      </c>
      <c r="G4" s="33" t="s">
        <v>516</v>
      </c>
      <c r="H4" s="33" t="s">
        <v>299</v>
      </c>
      <c r="I4" s="33" t="s">
        <v>517</v>
      </c>
      <c r="J4" s="33" t="s">
        <v>518</v>
      </c>
      <c r="K4" s="33" t="s">
        <v>519</v>
      </c>
      <c r="L4" s="33" t="s">
        <v>520</v>
      </c>
      <c r="M4" s="33" t="s">
        <v>521</v>
      </c>
      <c r="N4" s="33" t="s">
        <v>522</v>
      </c>
    </row>
    <row r="5" customFormat="false" ht="23.85" hidden="false" customHeight="false" outlineLevel="0" collapsed="false">
      <c r="A5" s="33" t="s">
        <v>382</v>
      </c>
      <c r="B5" s="33" t="s">
        <v>308</v>
      </c>
      <c r="C5" s="33" t="s">
        <v>465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customFormat="false" ht="15" hidden="false" customHeight="false" outlineLevel="0" collapsed="false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customFormat="false" ht="15" hidden="false" customHeight="false" outlineLevel="0" collapsed="false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</row>
    <row r="8" customFormat="false" ht="15" hidden="false" customHeight="false" outlineLevel="0" collapsed="false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</row>
    <row r="158" customFormat="false" ht="15" hidden="false" customHeight="false" outlineLevel="0" collapsed="false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</row>
    <row r="159" customFormat="false" ht="15" hidden="false" customHeight="false" outlineLevel="0" collapsed="false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</row>
    <row r="160" customFormat="false" ht="15" hidden="false" customHeight="false" outlineLevel="0" collapsed="false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</row>
    <row r="161" customFormat="false" ht="15" hidden="false" customHeight="false" outlineLevel="0" collapsed="false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</row>
    <row r="162" customFormat="false" ht="15" hidden="false" customHeight="false" outlineLevel="0" collapsed="false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</row>
    <row r="163" customFormat="false" ht="15" hidden="false" customHeight="false" outlineLevel="0" collapsed="false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</row>
    <row r="164" customFormat="false" ht="15" hidden="false" customHeight="false" outlineLevel="0" collapsed="false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</row>
    <row r="165" customFormat="false" ht="15" hidden="false" customHeight="false" outlineLevel="0" collapsed="false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</row>
    <row r="166" customFormat="false" ht="15" hidden="false" customHeight="false" outlineLevel="0" collapsed="false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</row>
    <row r="167" customFormat="false" ht="15" hidden="false" customHeight="false" outlineLevel="0" collapsed="false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</row>
    <row r="168" customFormat="false" ht="15" hidden="false" customHeight="false" outlineLevel="0" collapsed="false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</row>
    <row r="169" customFormat="false" ht="15" hidden="false" customHeight="false" outlineLevel="0" collapsed="false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</row>
    <row r="170" customFormat="false" ht="15" hidden="false" customHeight="false" outlineLevel="0" collapsed="false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</row>
    <row r="171" customFormat="false" ht="15" hidden="false" customHeight="false" outlineLevel="0" collapsed="false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</row>
    <row r="172" customFormat="false" ht="15" hidden="false" customHeight="false" outlineLevel="0" collapsed="false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</row>
    <row r="173" customFormat="false" ht="15" hidden="false" customHeight="false" outlineLevel="0" collapsed="false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</row>
    <row r="174" customFormat="false" ht="15" hidden="false" customHeight="false" outlineLevel="0" collapsed="false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</row>
    <row r="175" customFormat="false" ht="15" hidden="false" customHeight="false" outlineLevel="0" collapsed="false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</row>
    <row r="176" customFormat="false" ht="15" hidden="false" customHeight="false" outlineLevel="0" collapsed="false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</row>
    <row r="177" customFormat="false" ht="15" hidden="false" customHeight="false" outlineLevel="0" collapsed="false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</row>
    <row r="178" customFormat="false" ht="15" hidden="false" customHeight="false" outlineLevel="0" collapsed="false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</row>
    <row r="179" customFormat="false" ht="15" hidden="false" customHeight="false" outlineLevel="0" collapsed="false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</row>
    <row r="180" customFormat="false" ht="15" hidden="false" customHeight="false" outlineLevel="0" collapsed="false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</row>
    <row r="181" customFormat="false" ht="15" hidden="false" customHeight="false" outlineLevel="0" collapsed="false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</row>
    <row r="182" customFormat="false" ht="15" hidden="false" customHeight="false" outlineLevel="0" collapsed="false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</row>
    <row r="183" customFormat="false" ht="15" hidden="false" customHeight="false" outlineLevel="0" collapsed="false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</row>
    <row r="184" customFormat="false" ht="15" hidden="false" customHeight="false" outlineLevel="0" collapsed="false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</row>
    <row r="185" customFormat="false" ht="15" hidden="false" customHeight="false" outlineLevel="0" collapsed="false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</row>
    <row r="186" customFormat="false" ht="15" hidden="false" customHeight="false" outlineLevel="0" collapsed="false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</row>
    <row r="187" customFormat="false" ht="15" hidden="false" customHeight="false" outlineLevel="0" collapsed="false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</row>
    <row r="188" customFormat="false" ht="15" hidden="false" customHeight="false" outlineLevel="0" collapsed="false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</row>
    <row r="189" customFormat="false" ht="15" hidden="false" customHeight="false" outlineLevel="0" collapsed="false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</row>
    <row r="190" customFormat="false" ht="15" hidden="false" customHeight="false" outlineLevel="0" collapsed="false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</row>
    <row r="191" customFormat="false" ht="15" hidden="false" customHeight="false" outlineLevel="0" collapsed="false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</row>
    <row r="192" customFormat="false" ht="15" hidden="false" customHeight="false" outlineLevel="0" collapsed="false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</row>
    <row r="193" customFormat="false" ht="15" hidden="false" customHeight="false" outlineLevel="0" collapsed="false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</row>
    <row r="194" customFormat="false" ht="15" hidden="false" customHeight="false" outlineLevel="0" collapsed="false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</row>
    <row r="195" customFormat="false" ht="15" hidden="false" customHeight="false" outlineLevel="0" collapsed="false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</row>
    <row r="196" customFormat="false" ht="15" hidden="false" customHeight="false" outlineLevel="0" collapsed="false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</row>
    <row r="197" customFormat="false" ht="15" hidden="false" customHeight="false" outlineLevel="0" collapsed="false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</row>
    <row r="198" customFormat="false" ht="15" hidden="false" customHeight="false" outlineLevel="0" collapsed="false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</row>
    <row r="199" customFormat="false" ht="15" hidden="false" customHeight="false" outlineLevel="0" collapsed="false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</row>
    <row r="200" customFormat="false" ht="15" hidden="false" customHeight="false" outlineLevel="0" collapsed="false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</row>
    <row r="201" customFormat="false" ht="15" hidden="false" customHeight="false" outlineLevel="0" collapsed="false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</row>
    <row r="202" customFormat="false" ht="15" hidden="false" customHeight="false" outlineLevel="0" collapsed="false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</row>
    <row r="203" customFormat="false" ht="15" hidden="false" customHeight="false" outlineLevel="0" collapsed="false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</row>
  </sheetData>
  <dataValidations count="3">
    <dataValidation allowBlank="true" error="Escolha um valor da lista" errorStyle="stop" operator="between" showDropDown="false" showErrorMessage="false" showInputMessage="false" sqref="A4:A203" type="list">
      <formula1>Calendario!$A$4:$A$107</formula1>
      <formula2>0</formula2>
    </dataValidation>
    <dataValidation allowBlank="true" error="Escolha um valor da lista" errorStyle="stop" operator="between" showDropDown="false" showErrorMessage="false" showInputMessage="false" sqref="B4:B203" type="list">
      <formula1>Config!$M$10:$M$21</formula1>
      <formula2>0</formula2>
    </dataValidation>
    <dataValidation allowBlank="true" error="Escolha um valor da lista" errorStyle="stop" operator="between" showDropDown="false" showErrorMessage="false" showInputMessage="false" sqref="H4:H203" type="list">
      <formula1>Config!$N$10:$N$21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4" min="3" style="0" width="2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2" min="11" style="0" width="12"/>
  </cols>
  <sheetData>
    <row r="1" customFormat="false" ht="17.35" hidden="false" customHeight="false" outlineLevel="0" collapsed="false">
      <c r="A1" s="1" t="s">
        <v>523</v>
      </c>
    </row>
    <row r="2" customFormat="false" ht="15" hidden="false" customHeight="false" outlineLevel="0" collapsed="false">
      <c r="A2" s="2" t="s">
        <v>524</v>
      </c>
    </row>
    <row r="3" customFormat="false" ht="31.5" hidden="false" customHeight="true" outlineLevel="0" collapsed="false">
      <c r="A3" s="8" t="s">
        <v>28</v>
      </c>
      <c r="B3" s="8" t="s">
        <v>151</v>
      </c>
      <c r="C3" s="8" t="s">
        <v>153</v>
      </c>
      <c r="D3" s="8" t="s">
        <v>155</v>
      </c>
      <c r="E3" s="8" t="s">
        <v>157</v>
      </c>
      <c r="F3" s="8" t="s">
        <v>159</v>
      </c>
      <c r="G3" s="8" t="s">
        <v>161</v>
      </c>
      <c r="H3" s="8" t="s">
        <v>163</v>
      </c>
      <c r="I3" s="8" t="s">
        <v>165</v>
      </c>
      <c r="J3" s="8" t="s">
        <v>167</v>
      </c>
      <c r="K3" s="8" t="s">
        <v>114</v>
      </c>
      <c r="L3" s="8" t="s">
        <v>170</v>
      </c>
    </row>
    <row r="4" customFormat="false" ht="23.85" hidden="false" customHeight="false" outlineLevel="0" collapsed="false">
      <c r="A4" s="33" t="s">
        <v>219</v>
      </c>
      <c r="B4" s="9" t="n">
        <f aca="false">IF(A4="","",COUNTIF($A$4:A4,A4))</f>
        <v>1</v>
      </c>
      <c r="C4" s="33" t="s">
        <v>525</v>
      </c>
      <c r="D4" s="33" t="s">
        <v>526</v>
      </c>
      <c r="E4" s="33" t="s">
        <v>527</v>
      </c>
      <c r="F4" s="33" t="s">
        <v>528</v>
      </c>
      <c r="G4" s="34" t="n">
        <v>46301</v>
      </c>
      <c r="H4" s="33" t="s">
        <v>528</v>
      </c>
      <c r="I4" s="33" t="s">
        <v>529</v>
      </c>
      <c r="J4" s="35" t="n">
        <v>0</v>
      </c>
      <c r="K4" s="33" t="s">
        <v>307</v>
      </c>
      <c r="L4" s="9" t="str">
        <f aca="false">IF(A4="","",A4&amp;"-"&amp;B4)</f>
        <v>2026-S40-1</v>
      </c>
    </row>
    <row r="5" customFormat="false" ht="23.85" hidden="false" customHeight="false" outlineLevel="0" collapsed="false">
      <c r="A5" s="33" t="s">
        <v>219</v>
      </c>
      <c r="B5" s="9" t="n">
        <f aca="false">IF(A5="","",COUNTIF($A$4:A5,A5))</f>
        <v>2</v>
      </c>
      <c r="C5" s="33" t="s">
        <v>530</v>
      </c>
      <c r="D5" s="33" t="s">
        <v>531</v>
      </c>
      <c r="E5" s="33" t="s">
        <v>532</v>
      </c>
      <c r="F5" s="33" t="s">
        <v>528</v>
      </c>
      <c r="G5" s="34" t="n">
        <v>46304</v>
      </c>
      <c r="H5" s="33" t="s">
        <v>528</v>
      </c>
      <c r="I5" s="33" t="s">
        <v>533</v>
      </c>
      <c r="J5" s="35" t="n">
        <v>0</v>
      </c>
      <c r="K5" s="33" t="s">
        <v>297</v>
      </c>
      <c r="L5" s="9" t="str">
        <f aca="false">IF(A5="","",A5&amp;"-"&amp;B5)</f>
        <v>2026-S40-2</v>
      </c>
    </row>
    <row r="6" customFormat="false" ht="23.85" hidden="false" customHeight="false" outlineLevel="0" collapsed="false">
      <c r="A6" s="33" t="s">
        <v>219</v>
      </c>
      <c r="B6" s="9" t="n">
        <f aca="false">IF(A6="","",COUNTIF($A$4:A6,A6))</f>
        <v>3</v>
      </c>
      <c r="C6" s="33" t="s">
        <v>534</v>
      </c>
      <c r="D6" s="33" t="s">
        <v>535</v>
      </c>
      <c r="E6" s="33" t="s">
        <v>536</v>
      </c>
      <c r="F6" s="33" t="s">
        <v>202</v>
      </c>
      <c r="G6" s="34" t="n">
        <v>46311</v>
      </c>
      <c r="H6" s="33" t="s">
        <v>281</v>
      </c>
      <c r="I6" s="33" t="s">
        <v>537</v>
      </c>
      <c r="J6" s="35" t="n">
        <v>400</v>
      </c>
      <c r="K6" s="33" t="s">
        <v>297</v>
      </c>
      <c r="L6" s="9" t="str">
        <f aca="false">IF(A6="","",A6&amp;"-"&amp;B6)</f>
        <v>2026-S40-3</v>
      </c>
    </row>
    <row r="7" customFormat="false" ht="15" hidden="false" customHeight="false" outlineLevel="0" collapsed="false">
      <c r="A7" s="33"/>
      <c r="B7" s="9" t="str">
        <f aca="false">IF(A7="","",COUNTIF($A$4:A7,A7))</f>
        <v/>
      </c>
      <c r="C7" s="33"/>
      <c r="D7" s="33"/>
      <c r="E7" s="33"/>
      <c r="F7" s="33"/>
      <c r="G7" s="34"/>
      <c r="H7" s="33"/>
      <c r="I7" s="33"/>
      <c r="J7" s="35"/>
      <c r="K7" s="33"/>
      <c r="L7" s="9" t="str">
        <f aca="false">IF(A7="","",A7&amp;"-"&amp;B7)</f>
        <v/>
      </c>
    </row>
    <row r="8" customFormat="false" ht="15" hidden="false" customHeight="false" outlineLevel="0" collapsed="false">
      <c r="A8" s="33"/>
      <c r="B8" s="9" t="str">
        <f aca="false">IF(A8="","",COUNTIF($A$4:A8,A8))</f>
        <v/>
      </c>
      <c r="C8" s="33"/>
      <c r="D8" s="33"/>
      <c r="E8" s="33"/>
      <c r="F8" s="33"/>
      <c r="G8" s="34"/>
      <c r="H8" s="33"/>
      <c r="I8" s="33"/>
      <c r="J8" s="35"/>
      <c r="K8" s="33"/>
      <c r="L8" s="9" t="str">
        <f aca="false">IF(A8="","",A8&amp;"-"&amp;B8)</f>
        <v/>
      </c>
    </row>
    <row r="9" customFormat="false" ht="15" hidden="false" customHeight="false" outlineLevel="0" collapsed="false">
      <c r="A9" s="33"/>
      <c r="B9" s="9" t="str">
        <f aca="false">IF(A9="","",COUNTIF($A$4:A9,A9))</f>
        <v/>
      </c>
      <c r="C9" s="33"/>
      <c r="D9" s="33"/>
      <c r="E9" s="33"/>
      <c r="F9" s="33"/>
      <c r="G9" s="34"/>
      <c r="H9" s="33"/>
      <c r="I9" s="33"/>
      <c r="J9" s="35"/>
      <c r="K9" s="33"/>
      <c r="L9" s="9" t="str">
        <f aca="false">IF(A9="","",A9&amp;"-"&amp;B9)</f>
        <v/>
      </c>
    </row>
    <row r="10" customFormat="false" ht="15" hidden="false" customHeight="false" outlineLevel="0" collapsed="false">
      <c r="A10" s="33"/>
      <c r="B10" s="9" t="str">
        <f aca="false">IF(A10="","",COUNTIF($A$4:A10,A10))</f>
        <v/>
      </c>
      <c r="C10" s="33"/>
      <c r="D10" s="33"/>
      <c r="E10" s="33"/>
      <c r="F10" s="33"/>
      <c r="G10" s="34"/>
      <c r="H10" s="33"/>
      <c r="I10" s="33"/>
      <c r="J10" s="35"/>
      <c r="K10" s="33"/>
      <c r="L10" s="9" t="str">
        <f aca="false">IF(A10="","",A10&amp;"-"&amp;B10)</f>
        <v/>
      </c>
    </row>
    <row r="11" customFormat="false" ht="15" hidden="false" customHeight="false" outlineLevel="0" collapsed="false">
      <c r="A11" s="33"/>
      <c r="B11" s="9" t="str">
        <f aca="false">IF(A11="","",COUNTIF($A$4:A11,A11))</f>
        <v/>
      </c>
      <c r="C11" s="33"/>
      <c r="D11" s="33"/>
      <c r="E11" s="33"/>
      <c r="F11" s="33"/>
      <c r="G11" s="34"/>
      <c r="H11" s="33"/>
      <c r="I11" s="33"/>
      <c r="J11" s="35"/>
      <c r="K11" s="33"/>
      <c r="L11" s="9" t="str">
        <f aca="false">IF(A11="","",A11&amp;"-"&amp;B11)</f>
        <v/>
      </c>
    </row>
    <row r="12" customFormat="false" ht="15" hidden="false" customHeight="false" outlineLevel="0" collapsed="false">
      <c r="A12" s="33"/>
      <c r="B12" s="9" t="str">
        <f aca="false">IF(A12="","",COUNTIF($A$4:A12,A12))</f>
        <v/>
      </c>
      <c r="C12" s="33"/>
      <c r="D12" s="33"/>
      <c r="E12" s="33"/>
      <c r="F12" s="33"/>
      <c r="G12" s="34"/>
      <c r="H12" s="33"/>
      <c r="I12" s="33"/>
      <c r="J12" s="35"/>
      <c r="K12" s="33"/>
      <c r="L12" s="9" t="str">
        <f aca="false">IF(A12="","",A12&amp;"-"&amp;B12)</f>
        <v/>
      </c>
    </row>
    <row r="13" customFormat="false" ht="15" hidden="false" customHeight="false" outlineLevel="0" collapsed="false">
      <c r="A13" s="33"/>
      <c r="B13" s="9" t="str">
        <f aca="false">IF(A13="","",COUNTIF($A$4:A13,A13))</f>
        <v/>
      </c>
      <c r="C13" s="33"/>
      <c r="D13" s="33"/>
      <c r="E13" s="33"/>
      <c r="F13" s="33"/>
      <c r="G13" s="34"/>
      <c r="H13" s="33"/>
      <c r="I13" s="33"/>
      <c r="J13" s="35"/>
      <c r="K13" s="33"/>
      <c r="L13" s="9" t="str">
        <f aca="false">IF(A13="","",A13&amp;"-"&amp;B13)</f>
        <v/>
      </c>
    </row>
    <row r="14" customFormat="false" ht="15" hidden="false" customHeight="false" outlineLevel="0" collapsed="false">
      <c r="A14" s="33"/>
      <c r="B14" s="9" t="str">
        <f aca="false">IF(A14="","",COUNTIF($A$4:A14,A14))</f>
        <v/>
      </c>
      <c r="C14" s="33"/>
      <c r="D14" s="33"/>
      <c r="E14" s="33"/>
      <c r="F14" s="33"/>
      <c r="G14" s="34"/>
      <c r="H14" s="33"/>
      <c r="I14" s="33"/>
      <c r="J14" s="35"/>
      <c r="K14" s="33"/>
      <c r="L14" s="9" t="str">
        <f aca="false">IF(A14="","",A14&amp;"-"&amp;B14)</f>
        <v/>
      </c>
    </row>
    <row r="15" customFormat="false" ht="15" hidden="false" customHeight="false" outlineLevel="0" collapsed="false">
      <c r="A15" s="33"/>
      <c r="B15" s="9" t="str">
        <f aca="false">IF(A15="","",COUNTIF($A$4:A15,A15))</f>
        <v/>
      </c>
      <c r="C15" s="33"/>
      <c r="D15" s="33"/>
      <c r="E15" s="33"/>
      <c r="F15" s="33"/>
      <c r="G15" s="34"/>
      <c r="H15" s="33"/>
      <c r="I15" s="33"/>
      <c r="J15" s="35"/>
      <c r="K15" s="33"/>
      <c r="L15" s="9" t="str">
        <f aca="false">IF(A15="","",A15&amp;"-"&amp;B15)</f>
        <v/>
      </c>
    </row>
    <row r="16" customFormat="false" ht="15" hidden="false" customHeight="false" outlineLevel="0" collapsed="false">
      <c r="A16" s="33"/>
      <c r="B16" s="9" t="str">
        <f aca="false">IF(A16="","",COUNTIF($A$4:A16,A16))</f>
        <v/>
      </c>
      <c r="C16" s="33"/>
      <c r="D16" s="33"/>
      <c r="E16" s="33"/>
      <c r="F16" s="33"/>
      <c r="G16" s="34"/>
      <c r="H16" s="33"/>
      <c r="I16" s="33"/>
      <c r="J16" s="35"/>
      <c r="K16" s="33"/>
      <c r="L16" s="9" t="str">
        <f aca="false">IF(A16="","",A16&amp;"-"&amp;B16)</f>
        <v/>
      </c>
    </row>
    <row r="17" customFormat="false" ht="15" hidden="false" customHeight="false" outlineLevel="0" collapsed="false">
      <c r="A17" s="33"/>
      <c r="B17" s="9" t="str">
        <f aca="false">IF(A17="","",COUNTIF($A$4:A17,A17))</f>
        <v/>
      </c>
      <c r="C17" s="33"/>
      <c r="D17" s="33"/>
      <c r="E17" s="33"/>
      <c r="F17" s="33"/>
      <c r="G17" s="34"/>
      <c r="H17" s="33"/>
      <c r="I17" s="33"/>
      <c r="J17" s="35"/>
      <c r="K17" s="33"/>
      <c r="L17" s="9" t="str">
        <f aca="false">IF(A17="","",A17&amp;"-"&amp;B17)</f>
        <v/>
      </c>
    </row>
    <row r="18" customFormat="false" ht="15" hidden="false" customHeight="false" outlineLevel="0" collapsed="false">
      <c r="A18" s="33"/>
      <c r="B18" s="9" t="str">
        <f aca="false">IF(A18="","",COUNTIF($A$4:A18,A18))</f>
        <v/>
      </c>
      <c r="C18" s="33"/>
      <c r="D18" s="33"/>
      <c r="E18" s="33"/>
      <c r="F18" s="33"/>
      <c r="G18" s="34"/>
      <c r="H18" s="33"/>
      <c r="I18" s="33"/>
      <c r="J18" s="35"/>
      <c r="K18" s="33"/>
      <c r="L18" s="9" t="str">
        <f aca="false">IF(A18="","",A18&amp;"-"&amp;B18)</f>
        <v/>
      </c>
    </row>
    <row r="19" customFormat="false" ht="15" hidden="false" customHeight="false" outlineLevel="0" collapsed="false">
      <c r="A19" s="33"/>
      <c r="B19" s="9" t="str">
        <f aca="false">IF(A19="","",COUNTIF($A$4:A19,A19))</f>
        <v/>
      </c>
      <c r="C19" s="33"/>
      <c r="D19" s="33"/>
      <c r="E19" s="33"/>
      <c r="F19" s="33"/>
      <c r="G19" s="34"/>
      <c r="H19" s="33"/>
      <c r="I19" s="33"/>
      <c r="J19" s="35"/>
      <c r="K19" s="33"/>
      <c r="L19" s="9" t="str">
        <f aca="false">IF(A19="","",A19&amp;"-"&amp;B19)</f>
        <v/>
      </c>
    </row>
    <row r="20" customFormat="false" ht="15" hidden="false" customHeight="false" outlineLevel="0" collapsed="false">
      <c r="A20" s="33"/>
      <c r="B20" s="9" t="str">
        <f aca="false">IF(A20="","",COUNTIF($A$4:A20,A20))</f>
        <v/>
      </c>
      <c r="C20" s="33"/>
      <c r="D20" s="33"/>
      <c r="E20" s="33"/>
      <c r="F20" s="33"/>
      <c r="G20" s="34"/>
      <c r="H20" s="33"/>
      <c r="I20" s="33"/>
      <c r="J20" s="35"/>
      <c r="K20" s="33"/>
      <c r="L20" s="9" t="str">
        <f aca="false">IF(A20="","",A20&amp;"-"&amp;B20)</f>
        <v/>
      </c>
    </row>
    <row r="21" customFormat="false" ht="15" hidden="false" customHeight="false" outlineLevel="0" collapsed="false">
      <c r="A21" s="33"/>
      <c r="B21" s="9" t="str">
        <f aca="false">IF(A21="","",COUNTIF($A$4:A21,A21))</f>
        <v/>
      </c>
      <c r="C21" s="33"/>
      <c r="D21" s="33"/>
      <c r="E21" s="33"/>
      <c r="F21" s="33"/>
      <c r="G21" s="34"/>
      <c r="H21" s="33"/>
      <c r="I21" s="33"/>
      <c r="J21" s="35"/>
      <c r="K21" s="33"/>
      <c r="L21" s="9" t="str">
        <f aca="false">IF(A21="","",A21&amp;"-"&amp;B21)</f>
        <v/>
      </c>
    </row>
    <row r="22" customFormat="false" ht="15" hidden="false" customHeight="false" outlineLevel="0" collapsed="false">
      <c r="A22" s="33"/>
      <c r="B22" s="9" t="str">
        <f aca="false">IF(A22="","",COUNTIF($A$4:A22,A22))</f>
        <v/>
      </c>
      <c r="C22" s="33"/>
      <c r="D22" s="33"/>
      <c r="E22" s="33"/>
      <c r="F22" s="33"/>
      <c r="G22" s="34"/>
      <c r="H22" s="33"/>
      <c r="I22" s="33"/>
      <c r="J22" s="35"/>
      <c r="K22" s="33"/>
      <c r="L22" s="9" t="str">
        <f aca="false">IF(A22="","",A22&amp;"-"&amp;B22)</f>
        <v/>
      </c>
    </row>
    <row r="23" customFormat="false" ht="15" hidden="false" customHeight="false" outlineLevel="0" collapsed="false">
      <c r="A23" s="33"/>
      <c r="B23" s="9" t="str">
        <f aca="false">IF(A23="","",COUNTIF($A$4:A23,A23))</f>
        <v/>
      </c>
      <c r="C23" s="33"/>
      <c r="D23" s="33"/>
      <c r="E23" s="33"/>
      <c r="F23" s="33"/>
      <c r="G23" s="34"/>
      <c r="H23" s="33"/>
      <c r="I23" s="33"/>
      <c r="J23" s="35"/>
      <c r="K23" s="33"/>
      <c r="L23" s="9" t="str">
        <f aca="false">IF(A23="","",A23&amp;"-"&amp;B23)</f>
        <v/>
      </c>
    </row>
    <row r="24" customFormat="false" ht="15" hidden="false" customHeight="false" outlineLevel="0" collapsed="false">
      <c r="A24" s="33"/>
      <c r="B24" s="9" t="str">
        <f aca="false">IF(A24="","",COUNTIF($A$4:A24,A24))</f>
        <v/>
      </c>
      <c r="C24" s="33"/>
      <c r="D24" s="33"/>
      <c r="E24" s="33"/>
      <c r="F24" s="33"/>
      <c r="G24" s="34"/>
      <c r="H24" s="33"/>
      <c r="I24" s="33"/>
      <c r="J24" s="35"/>
      <c r="K24" s="33"/>
      <c r="L24" s="9" t="str">
        <f aca="false">IF(A24="","",A24&amp;"-"&amp;B24)</f>
        <v/>
      </c>
    </row>
    <row r="25" customFormat="false" ht="15" hidden="false" customHeight="false" outlineLevel="0" collapsed="false">
      <c r="A25" s="33"/>
      <c r="B25" s="9" t="str">
        <f aca="false">IF(A25="","",COUNTIF($A$4:A25,A25))</f>
        <v/>
      </c>
      <c r="C25" s="33"/>
      <c r="D25" s="33"/>
      <c r="E25" s="33"/>
      <c r="F25" s="33"/>
      <c r="G25" s="34"/>
      <c r="H25" s="33"/>
      <c r="I25" s="33"/>
      <c r="J25" s="35"/>
      <c r="K25" s="33"/>
      <c r="L25" s="9" t="str">
        <f aca="false">IF(A25="","",A25&amp;"-"&amp;B25)</f>
        <v/>
      </c>
    </row>
    <row r="26" customFormat="false" ht="15" hidden="false" customHeight="false" outlineLevel="0" collapsed="false">
      <c r="A26" s="33"/>
      <c r="B26" s="9" t="str">
        <f aca="false">IF(A26="","",COUNTIF($A$4:A26,A26))</f>
        <v/>
      </c>
      <c r="C26" s="33"/>
      <c r="D26" s="33"/>
      <c r="E26" s="33"/>
      <c r="F26" s="33"/>
      <c r="G26" s="34"/>
      <c r="H26" s="33"/>
      <c r="I26" s="33"/>
      <c r="J26" s="35"/>
      <c r="K26" s="33"/>
      <c r="L26" s="9" t="str">
        <f aca="false">IF(A26="","",A26&amp;"-"&amp;B26)</f>
        <v/>
      </c>
    </row>
    <row r="27" customFormat="false" ht="15" hidden="false" customHeight="false" outlineLevel="0" collapsed="false">
      <c r="A27" s="33"/>
      <c r="B27" s="9" t="str">
        <f aca="false">IF(A27="","",COUNTIF($A$4:A27,A27))</f>
        <v/>
      </c>
      <c r="C27" s="33"/>
      <c r="D27" s="33"/>
      <c r="E27" s="33"/>
      <c r="F27" s="33"/>
      <c r="G27" s="34"/>
      <c r="H27" s="33"/>
      <c r="I27" s="33"/>
      <c r="J27" s="35"/>
      <c r="K27" s="33"/>
      <c r="L27" s="9" t="str">
        <f aca="false">IF(A27="","",A27&amp;"-"&amp;B27)</f>
        <v/>
      </c>
    </row>
    <row r="28" customFormat="false" ht="15" hidden="false" customHeight="false" outlineLevel="0" collapsed="false">
      <c r="A28" s="33"/>
      <c r="B28" s="9" t="str">
        <f aca="false">IF(A28="","",COUNTIF($A$4:A28,A28))</f>
        <v/>
      </c>
      <c r="C28" s="33"/>
      <c r="D28" s="33"/>
      <c r="E28" s="33"/>
      <c r="F28" s="33"/>
      <c r="G28" s="34"/>
      <c r="H28" s="33"/>
      <c r="I28" s="33"/>
      <c r="J28" s="35"/>
      <c r="K28" s="33"/>
      <c r="L28" s="9" t="str">
        <f aca="false">IF(A28="","",A28&amp;"-"&amp;B28)</f>
        <v/>
      </c>
    </row>
    <row r="29" customFormat="false" ht="15" hidden="false" customHeight="false" outlineLevel="0" collapsed="false">
      <c r="A29" s="33"/>
      <c r="B29" s="9" t="str">
        <f aca="false">IF(A29="","",COUNTIF($A$4:A29,A29))</f>
        <v/>
      </c>
      <c r="C29" s="33"/>
      <c r="D29" s="33"/>
      <c r="E29" s="33"/>
      <c r="F29" s="33"/>
      <c r="G29" s="34"/>
      <c r="H29" s="33"/>
      <c r="I29" s="33"/>
      <c r="J29" s="35"/>
      <c r="K29" s="33"/>
      <c r="L29" s="9" t="str">
        <f aca="false">IF(A29="","",A29&amp;"-"&amp;B29)</f>
        <v/>
      </c>
    </row>
    <row r="30" customFormat="false" ht="15" hidden="false" customHeight="false" outlineLevel="0" collapsed="false">
      <c r="A30" s="33"/>
      <c r="B30" s="9" t="str">
        <f aca="false">IF(A30="","",COUNTIF($A$4:A30,A30))</f>
        <v/>
      </c>
      <c r="C30" s="33"/>
      <c r="D30" s="33"/>
      <c r="E30" s="33"/>
      <c r="F30" s="33"/>
      <c r="G30" s="34"/>
      <c r="H30" s="33"/>
      <c r="I30" s="33"/>
      <c r="J30" s="35"/>
      <c r="K30" s="33"/>
      <c r="L30" s="9" t="str">
        <f aca="false">IF(A30="","",A30&amp;"-"&amp;B30)</f>
        <v/>
      </c>
    </row>
    <row r="31" customFormat="false" ht="15" hidden="false" customHeight="false" outlineLevel="0" collapsed="false">
      <c r="A31" s="33"/>
      <c r="B31" s="9" t="str">
        <f aca="false">IF(A31="","",COUNTIF($A$4:A31,A31))</f>
        <v/>
      </c>
      <c r="C31" s="33"/>
      <c r="D31" s="33"/>
      <c r="E31" s="33"/>
      <c r="F31" s="33"/>
      <c r="G31" s="34"/>
      <c r="H31" s="33"/>
      <c r="I31" s="33"/>
      <c r="J31" s="35"/>
      <c r="K31" s="33"/>
      <c r="L31" s="9" t="str">
        <f aca="false">IF(A31="","",A31&amp;"-"&amp;B31)</f>
        <v/>
      </c>
    </row>
    <row r="32" customFormat="false" ht="15" hidden="false" customHeight="false" outlineLevel="0" collapsed="false">
      <c r="A32" s="33"/>
      <c r="B32" s="9" t="str">
        <f aca="false">IF(A32="","",COUNTIF($A$4:A32,A32))</f>
        <v/>
      </c>
      <c r="C32" s="33"/>
      <c r="D32" s="33"/>
      <c r="E32" s="33"/>
      <c r="F32" s="33"/>
      <c r="G32" s="34"/>
      <c r="H32" s="33"/>
      <c r="I32" s="33"/>
      <c r="J32" s="35"/>
      <c r="K32" s="33"/>
      <c r="L32" s="9" t="str">
        <f aca="false">IF(A32="","",A32&amp;"-"&amp;B32)</f>
        <v/>
      </c>
    </row>
    <row r="33" customFormat="false" ht="15" hidden="false" customHeight="false" outlineLevel="0" collapsed="false">
      <c r="A33" s="33"/>
      <c r="B33" s="9" t="str">
        <f aca="false">IF(A33="","",COUNTIF($A$4:A33,A33))</f>
        <v/>
      </c>
      <c r="C33" s="33"/>
      <c r="D33" s="33"/>
      <c r="E33" s="33"/>
      <c r="F33" s="33"/>
      <c r="G33" s="34"/>
      <c r="H33" s="33"/>
      <c r="I33" s="33"/>
      <c r="J33" s="35"/>
      <c r="K33" s="33"/>
      <c r="L33" s="9" t="str">
        <f aca="false">IF(A33="","",A33&amp;"-"&amp;B33)</f>
        <v/>
      </c>
    </row>
    <row r="34" customFormat="false" ht="15" hidden="false" customHeight="false" outlineLevel="0" collapsed="false">
      <c r="A34" s="33"/>
      <c r="B34" s="9" t="str">
        <f aca="false">IF(A34="","",COUNTIF($A$4:A34,A34))</f>
        <v/>
      </c>
      <c r="C34" s="33"/>
      <c r="D34" s="33"/>
      <c r="E34" s="33"/>
      <c r="F34" s="33"/>
      <c r="G34" s="34"/>
      <c r="H34" s="33"/>
      <c r="I34" s="33"/>
      <c r="J34" s="35"/>
      <c r="K34" s="33"/>
      <c r="L34" s="9" t="str">
        <f aca="false">IF(A34="","",A34&amp;"-"&amp;B34)</f>
        <v/>
      </c>
    </row>
    <row r="35" customFormat="false" ht="15" hidden="false" customHeight="false" outlineLevel="0" collapsed="false">
      <c r="A35" s="33"/>
      <c r="B35" s="9" t="str">
        <f aca="false">IF(A35="","",COUNTIF($A$4:A35,A35))</f>
        <v/>
      </c>
      <c r="C35" s="33"/>
      <c r="D35" s="33"/>
      <c r="E35" s="33"/>
      <c r="F35" s="33"/>
      <c r="G35" s="34"/>
      <c r="H35" s="33"/>
      <c r="I35" s="33"/>
      <c r="J35" s="35"/>
      <c r="K35" s="33"/>
      <c r="L35" s="9" t="str">
        <f aca="false">IF(A35="","",A35&amp;"-"&amp;B35)</f>
        <v/>
      </c>
    </row>
    <row r="36" customFormat="false" ht="15" hidden="false" customHeight="false" outlineLevel="0" collapsed="false">
      <c r="A36" s="33"/>
      <c r="B36" s="9" t="str">
        <f aca="false">IF(A36="","",COUNTIF($A$4:A36,A36))</f>
        <v/>
      </c>
      <c r="C36" s="33"/>
      <c r="D36" s="33"/>
      <c r="E36" s="33"/>
      <c r="F36" s="33"/>
      <c r="G36" s="34"/>
      <c r="H36" s="33"/>
      <c r="I36" s="33"/>
      <c r="J36" s="35"/>
      <c r="K36" s="33"/>
      <c r="L36" s="9" t="str">
        <f aca="false">IF(A36="","",A36&amp;"-"&amp;B36)</f>
        <v/>
      </c>
    </row>
    <row r="37" customFormat="false" ht="15" hidden="false" customHeight="false" outlineLevel="0" collapsed="false">
      <c r="A37" s="33"/>
      <c r="B37" s="9" t="str">
        <f aca="false">IF(A37="","",COUNTIF($A$4:A37,A37))</f>
        <v/>
      </c>
      <c r="C37" s="33"/>
      <c r="D37" s="33"/>
      <c r="E37" s="33"/>
      <c r="F37" s="33"/>
      <c r="G37" s="34"/>
      <c r="H37" s="33"/>
      <c r="I37" s="33"/>
      <c r="J37" s="35"/>
      <c r="K37" s="33"/>
      <c r="L37" s="9" t="str">
        <f aca="false">IF(A37="","",A37&amp;"-"&amp;B37)</f>
        <v/>
      </c>
    </row>
    <row r="38" customFormat="false" ht="15" hidden="false" customHeight="false" outlineLevel="0" collapsed="false">
      <c r="A38" s="33"/>
      <c r="B38" s="9" t="str">
        <f aca="false">IF(A38="","",COUNTIF($A$4:A38,A38))</f>
        <v/>
      </c>
      <c r="C38" s="33"/>
      <c r="D38" s="33"/>
      <c r="E38" s="33"/>
      <c r="F38" s="33"/>
      <c r="G38" s="34"/>
      <c r="H38" s="33"/>
      <c r="I38" s="33"/>
      <c r="J38" s="35"/>
      <c r="K38" s="33"/>
      <c r="L38" s="9" t="str">
        <f aca="false">IF(A38="","",A38&amp;"-"&amp;B38)</f>
        <v/>
      </c>
    </row>
    <row r="39" customFormat="false" ht="15" hidden="false" customHeight="false" outlineLevel="0" collapsed="false">
      <c r="A39" s="33"/>
      <c r="B39" s="9" t="str">
        <f aca="false">IF(A39="","",COUNTIF($A$4:A39,A39))</f>
        <v/>
      </c>
      <c r="C39" s="33"/>
      <c r="D39" s="33"/>
      <c r="E39" s="33"/>
      <c r="F39" s="33"/>
      <c r="G39" s="34"/>
      <c r="H39" s="33"/>
      <c r="I39" s="33"/>
      <c r="J39" s="35"/>
      <c r="K39" s="33"/>
      <c r="L39" s="9" t="str">
        <f aca="false">IF(A39="","",A39&amp;"-"&amp;B39)</f>
        <v/>
      </c>
    </row>
    <row r="40" customFormat="false" ht="15" hidden="false" customHeight="false" outlineLevel="0" collapsed="false">
      <c r="A40" s="33"/>
      <c r="B40" s="9" t="str">
        <f aca="false">IF(A40="","",COUNTIF($A$4:A40,A40))</f>
        <v/>
      </c>
      <c r="C40" s="33"/>
      <c r="D40" s="33"/>
      <c r="E40" s="33"/>
      <c r="F40" s="33"/>
      <c r="G40" s="34"/>
      <c r="H40" s="33"/>
      <c r="I40" s="33"/>
      <c r="J40" s="35"/>
      <c r="K40" s="33"/>
      <c r="L40" s="9" t="str">
        <f aca="false">IF(A40="","",A40&amp;"-"&amp;B40)</f>
        <v/>
      </c>
    </row>
    <row r="41" customFormat="false" ht="15" hidden="false" customHeight="false" outlineLevel="0" collapsed="false">
      <c r="A41" s="33"/>
      <c r="B41" s="9" t="str">
        <f aca="false">IF(A41="","",COUNTIF($A$4:A41,A41))</f>
        <v/>
      </c>
      <c r="C41" s="33"/>
      <c r="D41" s="33"/>
      <c r="E41" s="33"/>
      <c r="F41" s="33"/>
      <c r="G41" s="34"/>
      <c r="H41" s="33"/>
      <c r="I41" s="33"/>
      <c r="J41" s="35"/>
      <c r="K41" s="33"/>
      <c r="L41" s="9" t="str">
        <f aca="false">IF(A41="","",A41&amp;"-"&amp;B41)</f>
        <v/>
      </c>
    </row>
    <row r="42" customFormat="false" ht="15" hidden="false" customHeight="false" outlineLevel="0" collapsed="false">
      <c r="A42" s="33"/>
      <c r="B42" s="9" t="str">
        <f aca="false">IF(A42="","",COUNTIF($A$4:A42,A42))</f>
        <v/>
      </c>
      <c r="C42" s="33"/>
      <c r="D42" s="33"/>
      <c r="E42" s="33"/>
      <c r="F42" s="33"/>
      <c r="G42" s="34"/>
      <c r="H42" s="33"/>
      <c r="I42" s="33"/>
      <c r="J42" s="35"/>
      <c r="K42" s="33"/>
      <c r="L42" s="9" t="str">
        <f aca="false">IF(A42="","",A42&amp;"-"&amp;B42)</f>
        <v/>
      </c>
    </row>
    <row r="43" customFormat="false" ht="15" hidden="false" customHeight="false" outlineLevel="0" collapsed="false">
      <c r="A43" s="33"/>
      <c r="B43" s="9" t="str">
        <f aca="false">IF(A43="","",COUNTIF($A$4:A43,A43))</f>
        <v/>
      </c>
      <c r="C43" s="33"/>
      <c r="D43" s="33"/>
      <c r="E43" s="33"/>
      <c r="F43" s="33"/>
      <c r="G43" s="34"/>
      <c r="H43" s="33"/>
      <c r="I43" s="33"/>
      <c r="J43" s="35"/>
      <c r="K43" s="33"/>
      <c r="L43" s="9" t="str">
        <f aca="false">IF(A43="","",A43&amp;"-"&amp;B43)</f>
        <v/>
      </c>
    </row>
    <row r="44" customFormat="false" ht="15" hidden="false" customHeight="false" outlineLevel="0" collapsed="false">
      <c r="A44" s="33"/>
      <c r="B44" s="9" t="str">
        <f aca="false">IF(A44="","",COUNTIF($A$4:A44,A44))</f>
        <v/>
      </c>
      <c r="C44" s="33"/>
      <c r="D44" s="33"/>
      <c r="E44" s="33"/>
      <c r="F44" s="33"/>
      <c r="G44" s="34"/>
      <c r="H44" s="33"/>
      <c r="I44" s="33"/>
      <c r="J44" s="35"/>
      <c r="K44" s="33"/>
      <c r="L44" s="9" t="str">
        <f aca="false">IF(A44="","",A44&amp;"-"&amp;B44)</f>
        <v/>
      </c>
    </row>
    <row r="45" customFormat="false" ht="15" hidden="false" customHeight="false" outlineLevel="0" collapsed="false">
      <c r="A45" s="33"/>
      <c r="B45" s="9" t="str">
        <f aca="false">IF(A45="","",COUNTIF($A$4:A45,A45))</f>
        <v/>
      </c>
      <c r="C45" s="33"/>
      <c r="D45" s="33"/>
      <c r="E45" s="33"/>
      <c r="F45" s="33"/>
      <c r="G45" s="34"/>
      <c r="H45" s="33"/>
      <c r="I45" s="33"/>
      <c r="J45" s="35"/>
      <c r="K45" s="33"/>
      <c r="L45" s="9" t="str">
        <f aca="false">IF(A45="","",A45&amp;"-"&amp;B45)</f>
        <v/>
      </c>
    </row>
    <row r="46" customFormat="false" ht="15" hidden="false" customHeight="false" outlineLevel="0" collapsed="false">
      <c r="A46" s="33"/>
      <c r="B46" s="9" t="str">
        <f aca="false">IF(A46="","",COUNTIF($A$4:A46,A46))</f>
        <v/>
      </c>
      <c r="C46" s="33"/>
      <c r="D46" s="33"/>
      <c r="E46" s="33"/>
      <c r="F46" s="33"/>
      <c r="G46" s="34"/>
      <c r="H46" s="33"/>
      <c r="I46" s="33"/>
      <c r="J46" s="35"/>
      <c r="K46" s="33"/>
      <c r="L46" s="9" t="str">
        <f aca="false">IF(A46="","",A46&amp;"-"&amp;B46)</f>
        <v/>
      </c>
    </row>
    <row r="47" customFormat="false" ht="15" hidden="false" customHeight="false" outlineLevel="0" collapsed="false">
      <c r="A47" s="33"/>
      <c r="B47" s="9" t="str">
        <f aca="false">IF(A47="","",COUNTIF($A$4:A47,A47))</f>
        <v/>
      </c>
      <c r="C47" s="33"/>
      <c r="D47" s="33"/>
      <c r="E47" s="33"/>
      <c r="F47" s="33"/>
      <c r="G47" s="34"/>
      <c r="H47" s="33"/>
      <c r="I47" s="33"/>
      <c r="J47" s="35"/>
      <c r="K47" s="33"/>
      <c r="L47" s="9" t="str">
        <f aca="false">IF(A47="","",A47&amp;"-"&amp;B47)</f>
        <v/>
      </c>
    </row>
    <row r="48" customFormat="false" ht="15" hidden="false" customHeight="false" outlineLevel="0" collapsed="false">
      <c r="A48" s="33"/>
      <c r="B48" s="9" t="str">
        <f aca="false">IF(A48="","",COUNTIF($A$4:A48,A48))</f>
        <v/>
      </c>
      <c r="C48" s="33"/>
      <c r="D48" s="33"/>
      <c r="E48" s="33"/>
      <c r="F48" s="33"/>
      <c r="G48" s="34"/>
      <c r="H48" s="33"/>
      <c r="I48" s="33"/>
      <c r="J48" s="35"/>
      <c r="K48" s="33"/>
      <c r="L48" s="9" t="str">
        <f aca="false">IF(A48="","",A48&amp;"-"&amp;B48)</f>
        <v/>
      </c>
    </row>
    <row r="49" customFormat="false" ht="15" hidden="false" customHeight="false" outlineLevel="0" collapsed="false">
      <c r="A49" s="33"/>
      <c r="B49" s="9" t="str">
        <f aca="false">IF(A49="","",COUNTIF($A$4:A49,A49))</f>
        <v/>
      </c>
      <c r="C49" s="33"/>
      <c r="D49" s="33"/>
      <c r="E49" s="33"/>
      <c r="F49" s="33"/>
      <c r="G49" s="34"/>
      <c r="H49" s="33"/>
      <c r="I49" s="33"/>
      <c r="J49" s="35"/>
      <c r="K49" s="33"/>
      <c r="L49" s="9" t="str">
        <f aca="false">IF(A49="","",A49&amp;"-"&amp;B49)</f>
        <v/>
      </c>
    </row>
    <row r="50" customFormat="false" ht="15" hidden="false" customHeight="false" outlineLevel="0" collapsed="false">
      <c r="A50" s="33"/>
      <c r="B50" s="9" t="str">
        <f aca="false">IF(A50="","",COUNTIF($A$4:A50,A50))</f>
        <v/>
      </c>
      <c r="C50" s="33"/>
      <c r="D50" s="33"/>
      <c r="E50" s="33"/>
      <c r="F50" s="33"/>
      <c r="G50" s="34"/>
      <c r="H50" s="33"/>
      <c r="I50" s="33"/>
      <c r="J50" s="35"/>
      <c r="K50" s="33"/>
      <c r="L50" s="9" t="str">
        <f aca="false">IF(A50="","",A50&amp;"-"&amp;B50)</f>
        <v/>
      </c>
    </row>
    <row r="51" customFormat="false" ht="15" hidden="false" customHeight="false" outlineLevel="0" collapsed="false">
      <c r="A51" s="33"/>
      <c r="B51" s="9" t="str">
        <f aca="false">IF(A51="","",COUNTIF($A$4:A51,A51))</f>
        <v/>
      </c>
      <c r="C51" s="33"/>
      <c r="D51" s="33"/>
      <c r="E51" s="33"/>
      <c r="F51" s="33"/>
      <c r="G51" s="34"/>
      <c r="H51" s="33"/>
      <c r="I51" s="33"/>
      <c r="J51" s="35"/>
      <c r="K51" s="33"/>
      <c r="L51" s="9" t="str">
        <f aca="false">IF(A51="","",A51&amp;"-"&amp;B51)</f>
        <v/>
      </c>
    </row>
    <row r="52" customFormat="false" ht="15" hidden="false" customHeight="false" outlineLevel="0" collapsed="false">
      <c r="A52" s="33"/>
      <c r="B52" s="9" t="str">
        <f aca="false">IF(A52="","",COUNTIF($A$4:A52,A52))</f>
        <v/>
      </c>
      <c r="C52" s="33"/>
      <c r="D52" s="33"/>
      <c r="E52" s="33"/>
      <c r="F52" s="33"/>
      <c r="G52" s="34"/>
      <c r="H52" s="33"/>
      <c r="I52" s="33"/>
      <c r="J52" s="35"/>
      <c r="K52" s="33"/>
      <c r="L52" s="9" t="str">
        <f aca="false">IF(A52="","",A52&amp;"-"&amp;B52)</f>
        <v/>
      </c>
    </row>
    <row r="53" customFormat="false" ht="15" hidden="false" customHeight="false" outlineLevel="0" collapsed="false">
      <c r="A53" s="33"/>
      <c r="B53" s="9" t="str">
        <f aca="false">IF(A53="","",COUNTIF($A$4:A53,A53))</f>
        <v/>
      </c>
      <c r="C53" s="33"/>
      <c r="D53" s="33"/>
      <c r="E53" s="33"/>
      <c r="F53" s="33"/>
      <c r="G53" s="34"/>
      <c r="H53" s="33"/>
      <c r="I53" s="33"/>
      <c r="J53" s="35"/>
      <c r="K53" s="33"/>
      <c r="L53" s="9" t="str">
        <f aca="false">IF(A53="","",A53&amp;"-"&amp;B53)</f>
        <v/>
      </c>
    </row>
    <row r="54" customFormat="false" ht="15" hidden="false" customHeight="false" outlineLevel="0" collapsed="false">
      <c r="A54" s="33"/>
      <c r="B54" s="9" t="str">
        <f aca="false">IF(A54="","",COUNTIF($A$4:A54,A54))</f>
        <v/>
      </c>
      <c r="C54" s="33"/>
      <c r="D54" s="33"/>
      <c r="E54" s="33"/>
      <c r="F54" s="33"/>
      <c r="G54" s="34"/>
      <c r="H54" s="33"/>
      <c r="I54" s="33"/>
      <c r="J54" s="35"/>
      <c r="K54" s="33"/>
      <c r="L54" s="9" t="str">
        <f aca="false">IF(A54="","",A54&amp;"-"&amp;B54)</f>
        <v/>
      </c>
    </row>
    <row r="55" customFormat="false" ht="15" hidden="false" customHeight="false" outlineLevel="0" collapsed="false">
      <c r="A55" s="33"/>
      <c r="B55" s="9" t="str">
        <f aca="false">IF(A55="","",COUNTIF($A$4:A55,A55))</f>
        <v/>
      </c>
      <c r="C55" s="33"/>
      <c r="D55" s="33"/>
      <c r="E55" s="33"/>
      <c r="F55" s="33"/>
      <c r="G55" s="34"/>
      <c r="H55" s="33"/>
      <c r="I55" s="33"/>
      <c r="J55" s="35"/>
      <c r="K55" s="33"/>
      <c r="L55" s="9" t="str">
        <f aca="false">IF(A55="","",A55&amp;"-"&amp;B55)</f>
        <v/>
      </c>
    </row>
    <row r="56" customFormat="false" ht="15" hidden="false" customHeight="false" outlineLevel="0" collapsed="false">
      <c r="A56" s="33"/>
      <c r="B56" s="9" t="str">
        <f aca="false">IF(A56="","",COUNTIF($A$4:A56,A56))</f>
        <v/>
      </c>
      <c r="C56" s="33"/>
      <c r="D56" s="33"/>
      <c r="E56" s="33"/>
      <c r="F56" s="33"/>
      <c r="G56" s="34"/>
      <c r="H56" s="33"/>
      <c r="I56" s="33"/>
      <c r="J56" s="35"/>
      <c r="K56" s="33"/>
      <c r="L56" s="9" t="str">
        <f aca="false">IF(A56="","",A56&amp;"-"&amp;B56)</f>
        <v/>
      </c>
    </row>
    <row r="57" customFormat="false" ht="15" hidden="false" customHeight="false" outlineLevel="0" collapsed="false">
      <c r="A57" s="33"/>
      <c r="B57" s="9" t="str">
        <f aca="false">IF(A57="","",COUNTIF($A$4:A57,A57))</f>
        <v/>
      </c>
      <c r="C57" s="33"/>
      <c r="D57" s="33"/>
      <c r="E57" s="33"/>
      <c r="F57" s="33"/>
      <c r="G57" s="34"/>
      <c r="H57" s="33"/>
      <c r="I57" s="33"/>
      <c r="J57" s="35"/>
      <c r="K57" s="33"/>
      <c r="L57" s="9" t="str">
        <f aca="false">IF(A57="","",A57&amp;"-"&amp;B57)</f>
        <v/>
      </c>
    </row>
    <row r="58" customFormat="false" ht="15" hidden="false" customHeight="false" outlineLevel="0" collapsed="false">
      <c r="A58" s="33"/>
      <c r="B58" s="9" t="str">
        <f aca="false">IF(A58="","",COUNTIF($A$4:A58,A58))</f>
        <v/>
      </c>
      <c r="C58" s="33"/>
      <c r="D58" s="33"/>
      <c r="E58" s="33"/>
      <c r="F58" s="33"/>
      <c r="G58" s="34"/>
      <c r="H58" s="33"/>
      <c r="I58" s="33"/>
      <c r="J58" s="35"/>
      <c r="K58" s="33"/>
      <c r="L58" s="9" t="str">
        <f aca="false">IF(A58="","",A58&amp;"-"&amp;B58)</f>
        <v/>
      </c>
    </row>
    <row r="59" customFormat="false" ht="15" hidden="false" customHeight="false" outlineLevel="0" collapsed="false">
      <c r="A59" s="33"/>
      <c r="B59" s="9" t="str">
        <f aca="false">IF(A59="","",COUNTIF($A$4:A59,A59))</f>
        <v/>
      </c>
      <c r="C59" s="33"/>
      <c r="D59" s="33"/>
      <c r="E59" s="33"/>
      <c r="F59" s="33"/>
      <c r="G59" s="34"/>
      <c r="H59" s="33"/>
      <c r="I59" s="33"/>
      <c r="J59" s="35"/>
      <c r="K59" s="33"/>
      <c r="L59" s="9" t="str">
        <f aca="false">IF(A59="","",A59&amp;"-"&amp;B59)</f>
        <v/>
      </c>
    </row>
    <row r="60" customFormat="false" ht="15" hidden="false" customHeight="false" outlineLevel="0" collapsed="false">
      <c r="A60" s="33"/>
      <c r="B60" s="9" t="str">
        <f aca="false">IF(A60="","",COUNTIF($A$4:A60,A60))</f>
        <v/>
      </c>
      <c r="C60" s="33"/>
      <c r="D60" s="33"/>
      <c r="E60" s="33"/>
      <c r="F60" s="33"/>
      <c r="G60" s="34"/>
      <c r="H60" s="33"/>
      <c r="I60" s="33"/>
      <c r="J60" s="35"/>
      <c r="K60" s="33"/>
      <c r="L60" s="9" t="str">
        <f aca="false">IF(A60="","",A60&amp;"-"&amp;B60)</f>
        <v/>
      </c>
    </row>
    <row r="61" customFormat="false" ht="15" hidden="false" customHeight="false" outlineLevel="0" collapsed="false">
      <c r="A61" s="33"/>
      <c r="B61" s="9" t="str">
        <f aca="false">IF(A61="","",COUNTIF($A$4:A61,A61))</f>
        <v/>
      </c>
      <c r="C61" s="33"/>
      <c r="D61" s="33"/>
      <c r="E61" s="33"/>
      <c r="F61" s="33"/>
      <c r="G61" s="34"/>
      <c r="H61" s="33"/>
      <c r="I61" s="33"/>
      <c r="J61" s="35"/>
      <c r="K61" s="33"/>
      <c r="L61" s="9" t="str">
        <f aca="false">IF(A61="","",A61&amp;"-"&amp;B61)</f>
        <v/>
      </c>
    </row>
    <row r="62" customFormat="false" ht="15" hidden="false" customHeight="false" outlineLevel="0" collapsed="false">
      <c r="A62" s="33"/>
      <c r="B62" s="9" t="str">
        <f aca="false">IF(A62="","",COUNTIF($A$4:A62,A62))</f>
        <v/>
      </c>
      <c r="C62" s="33"/>
      <c r="D62" s="33"/>
      <c r="E62" s="33"/>
      <c r="F62" s="33"/>
      <c r="G62" s="34"/>
      <c r="H62" s="33"/>
      <c r="I62" s="33"/>
      <c r="J62" s="35"/>
      <c r="K62" s="33"/>
      <c r="L62" s="9" t="str">
        <f aca="false">IF(A62="","",A62&amp;"-"&amp;B62)</f>
        <v/>
      </c>
    </row>
    <row r="63" customFormat="false" ht="15" hidden="false" customHeight="false" outlineLevel="0" collapsed="false">
      <c r="A63" s="33"/>
      <c r="B63" s="9" t="str">
        <f aca="false">IF(A63="","",COUNTIF($A$4:A63,A63))</f>
        <v/>
      </c>
      <c r="C63" s="33"/>
      <c r="D63" s="33"/>
      <c r="E63" s="33"/>
      <c r="F63" s="33"/>
      <c r="G63" s="34"/>
      <c r="H63" s="33"/>
      <c r="I63" s="33"/>
      <c r="J63" s="35"/>
      <c r="K63" s="33"/>
      <c r="L63" s="9" t="str">
        <f aca="false">IF(A63="","",A63&amp;"-"&amp;B63)</f>
        <v/>
      </c>
    </row>
    <row r="64" customFormat="false" ht="15" hidden="false" customHeight="false" outlineLevel="0" collapsed="false">
      <c r="A64" s="33"/>
      <c r="B64" s="9" t="str">
        <f aca="false">IF(A64="","",COUNTIF($A$4:A64,A64))</f>
        <v/>
      </c>
      <c r="C64" s="33"/>
      <c r="D64" s="33"/>
      <c r="E64" s="33"/>
      <c r="F64" s="33"/>
      <c r="G64" s="34"/>
      <c r="H64" s="33"/>
      <c r="I64" s="33"/>
      <c r="J64" s="35"/>
      <c r="K64" s="33"/>
      <c r="L64" s="9" t="str">
        <f aca="false">IF(A64="","",A64&amp;"-"&amp;B64)</f>
        <v/>
      </c>
    </row>
    <row r="65" customFormat="false" ht="15" hidden="false" customHeight="false" outlineLevel="0" collapsed="false">
      <c r="A65" s="33"/>
      <c r="B65" s="9" t="str">
        <f aca="false">IF(A65="","",COUNTIF($A$4:A65,A65))</f>
        <v/>
      </c>
      <c r="C65" s="33"/>
      <c r="D65" s="33"/>
      <c r="E65" s="33"/>
      <c r="F65" s="33"/>
      <c r="G65" s="34"/>
      <c r="H65" s="33"/>
      <c r="I65" s="33"/>
      <c r="J65" s="35"/>
      <c r="K65" s="33"/>
      <c r="L65" s="9" t="str">
        <f aca="false">IF(A65="","",A65&amp;"-"&amp;B65)</f>
        <v/>
      </c>
    </row>
    <row r="66" customFormat="false" ht="15" hidden="false" customHeight="false" outlineLevel="0" collapsed="false">
      <c r="A66" s="33"/>
      <c r="B66" s="9" t="str">
        <f aca="false">IF(A66="","",COUNTIF($A$4:A66,A66))</f>
        <v/>
      </c>
      <c r="C66" s="33"/>
      <c r="D66" s="33"/>
      <c r="E66" s="33"/>
      <c r="F66" s="33"/>
      <c r="G66" s="34"/>
      <c r="H66" s="33"/>
      <c r="I66" s="33"/>
      <c r="J66" s="35"/>
      <c r="K66" s="33"/>
      <c r="L66" s="9" t="str">
        <f aca="false">IF(A66="","",A66&amp;"-"&amp;B66)</f>
        <v/>
      </c>
    </row>
    <row r="67" customFormat="false" ht="15" hidden="false" customHeight="false" outlineLevel="0" collapsed="false">
      <c r="A67" s="33"/>
      <c r="B67" s="9" t="str">
        <f aca="false">IF(A67="","",COUNTIF($A$4:A67,A67))</f>
        <v/>
      </c>
      <c r="C67" s="33"/>
      <c r="D67" s="33"/>
      <c r="E67" s="33"/>
      <c r="F67" s="33"/>
      <c r="G67" s="34"/>
      <c r="H67" s="33"/>
      <c r="I67" s="33"/>
      <c r="J67" s="35"/>
      <c r="K67" s="33"/>
      <c r="L67" s="9" t="str">
        <f aca="false">IF(A67="","",A67&amp;"-"&amp;B67)</f>
        <v/>
      </c>
    </row>
    <row r="68" customFormat="false" ht="15" hidden="false" customHeight="false" outlineLevel="0" collapsed="false">
      <c r="A68" s="33"/>
      <c r="B68" s="9" t="str">
        <f aca="false">IF(A68="","",COUNTIF($A$4:A68,A68))</f>
        <v/>
      </c>
      <c r="C68" s="33"/>
      <c r="D68" s="33"/>
      <c r="E68" s="33"/>
      <c r="F68" s="33"/>
      <c r="G68" s="34"/>
      <c r="H68" s="33"/>
      <c r="I68" s="33"/>
      <c r="J68" s="35"/>
      <c r="K68" s="33"/>
      <c r="L68" s="9" t="str">
        <f aca="false">IF(A68="","",A68&amp;"-"&amp;B68)</f>
        <v/>
      </c>
    </row>
    <row r="69" customFormat="false" ht="15" hidden="false" customHeight="false" outlineLevel="0" collapsed="false">
      <c r="A69" s="33"/>
      <c r="B69" s="9" t="str">
        <f aca="false">IF(A69="","",COUNTIF($A$4:A69,A69))</f>
        <v/>
      </c>
      <c r="C69" s="33"/>
      <c r="D69" s="33"/>
      <c r="E69" s="33"/>
      <c r="F69" s="33"/>
      <c r="G69" s="34"/>
      <c r="H69" s="33"/>
      <c r="I69" s="33"/>
      <c r="J69" s="35"/>
      <c r="K69" s="33"/>
      <c r="L69" s="9" t="str">
        <f aca="false">IF(A69="","",A69&amp;"-"&amp;B69)</f>
        <v/>
      </c>
    </row>
    <row r="70" customFormat="false" ht="15" hidden="false" customHeight="false" outlineLevel="0" collapsed="false">
      <c r="A70" s="33"/>
      <c r="B70" s="9" t="str">
        <f aca="false">IF(A70="","",COUNTIF($A$4:A70,A70))</f>
        <v/>
      </c>
      <c r="C70" s="33"/>
      <c r="D70" s="33"/>
      <c r="E70" s="33"/>
      <c r="F70" s="33"/>
      <c r="G70" s="34"/>
      <c r="H70" s="33"/>
      <c r="I70" s="33"/>
      <c r="J70" s="35"/>
      <c r="K70" s="33"/>
      <c r="L70" s="9" t="str">
        <f aca="false">IF(A70="","",A70&amp;"-"&amp;B70)</f>
        <v/>
      </c>
    </row>
    <row r="71" customFormat="false" ht="15" hidden="false" customHeight="false" outlineLevel="0" collapsed="false">
      <c r="A71" s="33"/>
      <c r="B71" s="9" t="str">
        <f aca="false">IF(A71="","",COUNTIF($A$4:A71,A71))</f>
        <v/>
      </c>
      <c r="C71" s="33"/>
      <c r="D71" s="33"/>
      <c r="E71" s="33"/>
      <c r="F71" s="33"/>
      <c r="G71" s="34"/>
      <c r="H71" s="33"/>
      <c r="I71" s="33"/>
      <c r="J71" s="35"/>
      <c r="K71" s="33"/>
      <c r="L71" s="9" t="str">
        <f aca="false">IF(A71="","",A71&amp;"-"&amp;B71)</f>
        <v/>
      </c>
    </row>
    <row r="72" customFormat="false" ht="15" hidden="false" customHeight="false" outlineLevel="0" collapsed="false">
      <c r="A72" s="33"/>
      <c r="B72" s="9" t="str">
        <f aca="false">IF(A72="","",COUNTIF($A$4:A72,A72))</f>
        <v/>
      </c>
      <c r="C72" s="33"/>
      <c r="D72" s="33"/>
      <c r="E72" s="33"/>
      <c r="F72" s="33"/>
      <c r="G72" s="34"/>
      <c r="H72" s="33"/>
      <c r="I72" s="33"/>
      <c r="J72" s="35"/>
      <c r="K72" s="33"/>
      <c r="L72" s="9" t="str">
        <f aca="false">IF(A72="","",A72&amp;"-"&amp;B72)</f>
        <v/>
      </c>
    </row>
    <row r="73" customFormat="false" ht="15" hidden="false" customHeight="false" outlineLevel="0" collapsed="false">
      <c r="A73" s="33"/>
      <c r="B73" s="9" t="str">
        <f aca="false">IF(A73="","",COUNTIF($A$4:A73,A73))</f>
        <v/>
      </c>
      <c r="C73" s="33"/>
      <c r="D73" s="33"/>
      <c r="E73" s="33"/>
      <c r="F73" s="33"/>
      <c r="G73" s="34"/>
      <c r="H73" s="33"/>
      <c r="I73" s="33"/>
      <c r="J73" s="35"/>
      <c r="K73" s="33"/>
      <c r="L73" s="9" t="str">
        <f aca="false">IF(A73="","",A73&amp;"-"&amp;B73)</f>
        <v/>
      </c>
    </row>
    <row r="74" customFormat="false" ht="15" hidden="false" customHeight="false" outlineLevel="0" collapsed="false">
      <c r="A74" s="33"/>
      <c r="B74" s="9" t="str">
        <f aca="false">IF(A74="","",COUNTIF($A$4:A74,A74))</f>
        <v/>
      </c>
      <c r="C74" s="33"/>
      <c r="D74" s="33"/>
      <c r="E74" s="33"/>
      <c r="F74" s="33"/>
      <c r="G74" s="34"/>
      <c r="H74" s="33"/>
      <c r="I74" s="33"/>
      <c r="J74" s="35"/>
      <c r="K74" s="33"/>
      <c r="L74" s="9" t="str">
        <f aca="false">IF(A74="","",A74&amp;"-"&amp;B74)</f>
        <v/>
      </c>
    </row>
    <row r="75" customFormat="false" ht="15" hidden="false" customHeight="false" outlineLevel="0" collapsed="false">
      <c r="A75" s="33"/>
      <c r="B75" s="9" t="str">
        <f aca="false">IF(A75="","",COUNTIF($A$4:A75,A75))</f>
        <v/>
      </c>
      <c r="C75" s="33"/>
      <c r="D75" s="33"/>
      <c r="E75" s="33"/>
      <c r="F75" s="33"/>
      <c r="G75" s="34"/>
      <c r="H75" s="33"/>
      <c r="I75" s="33"/>
      <c r="J75" s="35"/>
      <c r="K75" s="33"/>
      <c r="L75" s="9" t="str">
        <f aca="false">IF(A75="","",A75&amp;"-"&amp;B75)</f>
        <v/>
      </c>
    </row>
    <row r="76" customFormat="false" ht="15" hidden="false" customHeight="false" outlineLevel="0" collapsed="false">
      <c r="A76" s="33"/>
      <c r="B76" s="9" t="str">
        <f aca="false">IF(A76="","",COUNTIF($A$4:A76,A76))</f>
        <v/>
      </c>
      <c r="C76" s="33"/>
      <c r="D76" s="33"/>
      <c r="E76" s="33"/>
      <c r="F76" s="33"/>
      <c r="G76" s="34"/>
      <c r="H76" s="33"/>
      <c r="I76" s="33"/>
      <c r="J76" s="35"/>
      <c r="K76" s="33"/>
      <c r="L76" s="9" t="str">
        <f aca="false">IF(A76="","",A76&amp;"-"&amp;B76)</f>
        <v/>
      </c>
    </row>
    <row r="77" customFormat="false" ht="15" hidden="false" customHeight="false" outlineLevel="0" collapsed="false">
      <c r="A77" s="33"/>
      <c r="B77" s="9" t="str">
        <f aca="false">IF(A77="","",COUNTIF($A$4:A77,A77))</f>
        <v/>
      </c>
      <c r="C77" s="33"/>
      <c r="D77" s="33"/>
      <c r="E77" s="33"/>
      <c r="F77" s="33"/>
      <c r="G77" s="34"/>
      <c r="H77" s="33"/>
      <c r="I77" s="33"/>
      <c r="J77" s="35"/>
      <c r="K77" s="33"/>
      <c r="L77" s="9" t="str">
        <f aca="false">IF(A77="","",A77&amp;"-"&amp;B77)</f>
        <v/>
      </c>
    </row>
    <row r="78" customFormat="false" ht="15" hidden="false" customHeight="false" outlineLevel="0" collapsed="false">
      <c r="A78" s="33"/>
      <c r="B78" s="9" t="str">
        <f aca="false">IF(A78="","",COUNTIF($A$4:A78,A78))</f>
        <v/>
      </c>
      <c r="C78" s="33"/>
      <c r="D78" s="33"/>
      <c r="E78" s="33"/>
      <c r="F78" s="33"/>
      <c r="G78" s="34"/>
      <c r="H78" s="33"/>
      <c r="I78" s="33"/>
      <c r="J78" s="35"/>
      <c r="K78" s="33"/>
      <c r="L78" s="9" t="str">
        <f aca="false">IF(A78="","",A78&amp;"-"&amp;B78)</f>
        <v/>
      </c>
    </row>
    <row r="79" customFormat="false" ht="15" hidden="false" customHeight="false" outlineLevel="0" collapsed="false">
      <c r="A79" s="33"/>
      <c r="B79" s="9" t="str">
        <f aca="false">IF(A79="","",COUNTIF($A$4:A79,A79))</f>
        <v/>
      </c>
      <c r="C79" s="33"/>
      <c r="D79" s="33"/>
      <c r="E79" s="33"/>
      <c r="F79" s="33"/>
      <c r="G79" s="34"/>
      <c r="H79" s="33"/>
      <c r="I79" s="33"/>
      <c r="J79" s="35"/>
      <c r="K79" s="33"/>
      <c r="L79" s="9" t="str">
        <f aca="false">IF(A79="","",A79&amp;"-"&amp;B79)</f>
        <v/>
      </c>
    </row>
    <row r="80" customFormat="false" ht="15" hidden="false" customHeight="false" outlineLevel="0" collapsed="false">
      <c r="A80" s="33"/>
      <c r="B80" s="9" t="str">
        <f aca="false">IF(A80="","",COUNTIF($A$4:A80,A80))</f>
        <v/>
      </c>
      <c r="C80" s="33"/>
      <c r="D80" s="33"/>
      <c r="E80" s="33"/>
      <c r="F80" s="33"/>
      <c r="G80" s="34"/>
      <c r="H80" s="33"/>
      <c r="I80" s="33"/>
      <c r="J80" s="35"/>
      <c r="K80" s="33"/>
      <c r="L80" s="9" t="str">
        <f aca="false">IF(A80="","",A80&amp;"-"&amp;B80)</f>
        <v/>
      </c>
    </row>
    <row r="81" customFormat="false" ht="15" hidden="false" customHeight="false" outlineLevel="0" collapsed="false">
      <c r="A81" s="33"/>
      <c r="B81" s="9" t="str">
        <f aca="false">IF(A81="","",COUNTIF($A$4:A81,A81))</f>
        <v/>
      </c>
      <c r="C81" s="33"/>
      <c r="D81" s="33"/>
      <c r="E81" s="33"/>
      <c r="F81" s="33"/>
      <c r="G81" s="34"/>
      <c r="H81" s="33"/>
      <c r="I81" s="33"/>
      <c r="J81" s="35"/>
      <c r="K81" s="33"/>
      <c r="L81" s="9" t="str">
        <f aca="false">IF(A81="","",A81&amp;"-"&amp;B81)</f>
        <v/>
      </c>
    </row>
    <row r="82" customFormat="false" ht="15" hidden="false" customHeight="false" outlineLevel="0" collapsed="false">
      <c r="A82" s="33"/>
      <c r="B82" s="9" t="str">
        <f aca="false">IF(A82="","",COUNTIF($A$4:A82,A82))</f>
        <v/>
      </c>
      <c r="C82" s="33"/>
      <c r="D82" s="33"/>
      <c r="E82" s="33"/>
      <c r="F82" s="33"/>
      <c r="G82" s="34"/>
      <c r="H82" s="33"/>
      <c r="I82" s="33"/>
      <c r="J82" s="35"/>
      <c r="K82" s="33"/>
      <c r="L82" s="9" t="str">
        <f aca="false">IF(A82="","",A82&amp;"-"&amp;B82)</f>
        <v/>
      </c>
    </row>
    <row r="83" customFormat="false" ht="15" hidden="false" customHeight="false" outlineLevel="0" collapsed="false">
      <c r="A83" s="33"/>
      <c r="B83" s="9" t="str">
        <f aca="false">IF(A83="","",COUNTIF($A$4:A83,A83))</f>
        <v/>
      </c>
      <c r="C83" s="33"/>
      <c r="D83" s="33"/>
      <c r="E83" s="33"/>
      <c r="F83" s="33"/>
      <c r="G83" s="34"/>
      <c r="H83" s="33"/>
      <c r="I83" s="33"/>
      <c r="J83" s="35"/>
      <c r="K83" s="33"/>
      <c r="L83" s="9" t="str">
        <f aca="false">IF(A83="","",A83&amp;"-"&amp;B83)</f>
        <v/>
      </c>
    </row>
    <row r="84" customFormat="false" ht="15" hidden="false" customHeight="false" outlineLevel="0" collapsed="false">
      <c r="A84" s="33"/>
      <c r="B84" s="9" t="str">
        <f aca="false">IF(A84="","",COUNTIF($A$4:A84,A84))</f>
        <v/>
      </c>
      <c r="C84" s="33"/>
      <c r="D84" s="33"/>
      <c r="E84" s="33"/>
      <c r="F84" s="33"/>
      <c r="G84" s="34"/>
      <c r="H84" s="33"/>
      <c r="I84" s="33"/>
      <c r="J84" s="35"/>
      <c r="K84" s="33"/>
      <c r="L84" s="9" t="str">
        <f aca="false">IF(A84="","",A84&amp;"-"&amp;B84)</f>
        <v/>
      </c>
    </row>
    <row r="85" customFormat="false" ht="15" hidden="false" customHeight="false" outlineLevel="0" collapsed="false">
      <c r="A85" s="33"/>
      <c r="B85" s="9" t="str">
        <f aca="false">IF(A85="","",COUNTIF($A$4:A85,A85))</f>
        <v/>
      </c>
      <c r="C85" s="33"/>
      <c r="D85" s="33"/>
      <c r="E85" s="33"/>
      <c r="F85" s="33"/>
      <c r="G85" s="34"/>
      <c r="H85" s="33"/>
      <c r="I85" s="33"/>
      <c r="J85" s="35"/>
      <c r="K85" s="33"/>
      <c r="L85" s="9" t="str">
        <f aca="false">IF(A85="","",A85&amp;"-"&amp;B85)</f>
        <v/>
      </c>
    </row>
    <row r="86" customFormat="false" ht="15" hidden="false" customHeight="false" outlineLevel="0" collapsed="false">
      <c r="A86" s="33"/>
      <c r="B86" s="9" t="str">
        <f aca="false">IF(A86="","",COUNTIF($A$4:A86,A86))</f>
        <v/>
      </c>
      <c r="C86" s="33"/>
      <c r="D86" s="33"/>
      <c r="E86" s="33"/>
      <c r="F86" s="33"/>
      <c r="G86" s="34"/>
      <c r="H86" s="33"/>
      <c r="I86" s="33"/>
      <c r="J86" s="35"/>
      <c r="K86" s="33"/>
      <c r="L86" s="9" t="str">
        <f aca="false">IF(A86="","",A86&amp;"-"&amp;B86)</f>
        <v/>
      </c>
    </row>
    <row r="87" customFormat="false" ht="15" hidden="false" customHeight="false" outlineLevel="0" collapsed="false">
      <c r="A87" s="33"/>
      <c r="B87" s="9" t="str">
        <f aca="false">IF(A87="","",COUNTIF($A$4:A87,A87))</f>
        <v/>
      </c>
      <c r="C87" s="33"/>
      <c r="D87" s="33"/>
      <c r="E87" s="33"/>
      <c r="F87" s="33"/>
      <c r="G87" s="34"/>
      <c r="H87" s="33"/>
      <c r="I87" s="33"/>
      <c r="J87" s="35"/>
      <c r="K87" s="33"/>
      <c r="L87" s="9" t="str">
        <f aca="false">IF(A87="","",A87&amp;"-"&amp;B87)</f>
        <v/>
      </c>
    </row>
    <row r="88" customFormat="false" ht="15" hidden="false" customHeight="false" outlineLevel="0" collapsed="false">
      <c r="A88" s="33"/>
      <c r="B88" s="9" t="str">
        <f aca="false">IF(A88="","",COUNTIF($A$4:A88,A88))</f>
        <v/>
      </c>
      <c r="C88" s="33"/>
      <c r="D88" s="33"/>
      <c r="E88" s="33"/>
      <c r="F88" s="33"/>
      <c r="G88" s="34"/>
      <c r="H88" s="33"/>
      <c r="I88" s="33"/>
      <c r="J88" s="35"/>
      <c r="K88" s="33"/>
      <c r="L88" s="9" t="str">
        <f aca="false">IF(A88="","",A88&amp;"-"&amp;B88)</f>
        <v/>
      </c>
    </row>
    <row r="89" customFormat="false" ht="15" hidden="false" customHeight="false" outlineLevel="0" collapsed="false">
      <c r="A89" s="33"/>
      <c r="B89" s="9" t="str">
        <f aca="false">IF(A89="","",COUNTIF($A$4:A89,A89))</f>
        <v/>
      </c>
      <c r="C89" s="33"/>
      <c r="D89" s="33"/>
      <c r="E89" s="33"/>
      <c r="F89" s="33"/>
      <c r="G89" s="34"/>
      <c r="H89" s="33"/>
      <c r="I89" s="33"/>
      <c r="J89" s="35"/>
      <c r="K89" s="33"/>
      <c r="L89" s="9" t="str">
        <f aca="false">IF(A89="","",A89&amp;"-"&amp;B89)</f>
        <v/>
      </c>
    </row>
    <row r="90" customFormat="false" ht="15" hidden="false" customHeight="false" outlineLevel="0" collapsed="false">
      <c r="A90" s="33"/>
      <c r="B90" s="9" t="str">
        <f aca="false">IF(A90="","",COUNTIF($A$4:A90,A90))</f>
        <v/>
      </c>
      <c r="C90" s="33"/>
      <c r="D90" s="33"/>
      <c r="E90" s="33"/>
      <c r="F90" s="33"/>
      <c r="G90" s="34"/>
      <c r="H90" s="33"/>
      <c r="I90" s="33"/>
      <c r="J90" s="35"/>
      <c r="K90" s="33"/>
      <c r="L90" s="9" t="str">
        <f aca="false">IF(A90="","",A90&amp;"-"&amp;B90)</f>
        <v/>
      </c>
    </row>
    <row r="91" customFormat="false" ht="15" hidden="false" customHeight="false" outlineLevel="0" collapsed="false">
      <c r="A91" s="33"/>
      <c r="B91" s="9" t="str">
        <f aca="false">IF(A91="","",COUNTIF($A$4:A91,A91))</f>
        <v/>
      </c>
      <c r="C91" s="33"/>
      <c r="D91" s="33"/>
      <c r="E91" s="33"/>
      <c r="F91" s="33"/>
      <c r="G91" s="34"/>
      <c r="H91" s="33"/>
      <c r="I91" s="33"/>
      <c r="J91" s="35"/>
      <c r="K91" s="33"/>
      <c r="L91" s="9" t="str">
        <f aca="false">IF(A91="","",A91&amp;"-"&amp;B91)</f>
        <v/>
      </c>
    </row>
    <row r="92" customFormat="false" ht="15" hidden="false" customHeight="false" outlineLevel="0" collapsed="false">
      <c r="A92" s="33"/>
      <c r="B92" s="9" t="str">
        <f aca="false">IF(A92="","",COUNTIF($A$4:A92,A92))</f>
        <v/>
      </c>
      <c r="C92" s="33"/>
      <c r="D92" s="33"/>
      <c r="E92" s="33"/>
      <c r="F92" s="33"/>
      <c r="G92" s="34"/>
      <c r="H92" s="33"/>
      <c r="I92" s="33"/>
      <c r="J92" s="35"/>
      <c r="K92" s="33"/>
      <c r="L92" s="9" t="str">
        <f aca="false">IF(A92="","",A92&amp;"-"&amp;B92)</f>
        <v/>
      </c>
    </row>
    <row r="93" customFormat="false" ht="15" hidden="false" customHeight="false" outlineLevel="0" collapsed="false">
      <c r="A93" s="33"/>
      <c r="B93" s="9" t="str">
        <f aca="false">IF(A93="","",COUNTIF($A$4:A93,A93))</f>
        <v/>
      </c>
      <c r="C93" s="33"/>
      <c r="D93" s="33"/>
      <c r="E93" s="33"/>
      <c r="F93" s="33"/>
      <c r="G93" s="34"/>
      <c r="H93" s="33"/>
      <c r="I93" s="33"/>
      <c r="J93" s="35"/>
      <c r="K93" s="33"/>
      <c r="L93" s="9" t="str">
        <f aca="false">IF(A93="","",A93&amp;"-"&amp;B93)</f>
        <v/>
      </c>
    </row>
    <row r="94" customFormat="false" ht="15" hidden="false" customHeight="false" outlineLevel="0" collapsed="false">
      <c r="A94" s="33"/>
      <c r="B94" s="9" t="str">
        <f aca="false">IF(A94="","",COUNTIF($A$4:A94,A94))</f>
        <v/>
      </c>
      <c r="C94" s="33"/>
      <c r="D94" s="33"/>
      <c r="E94" s="33"/>
      <c r="F94" s="33"/>
      <c r="G94" s="34"/>
      <c r="H94" s="33"/>
      <c r="I94" s="33"/>
      <c r="J94" s="35"/>
      <c r="K94" s="33"/>
      <c r="L94" s="9" t="str">
        <f aca="false">IF(A94="","",A94&amp;"-"&amp;B94)</f>
        <v/>
      </c>
    </row>
    <row r="95" customFormat="false" ht="15" hidden="false" customHeight="false" outlineLevel="0" collapsed="false">
      <c r="A95" s="33"/>
      <c r="B95" s="9" t="str">
        <f aca="false">IF(A95="","",COUNTIF($A$4:A95,A95))</f>
        <v/>
      </c>
      <c r="C95" s="33"/>
      <c r="D95" s="33"/>
      <c r="E95" s="33"/>
      <c r="F95" s="33"/>
      <c r="G95" s="34"/>
      <c r="H95" s="33"/>
      <c r="I95" s="33"/>
      <c r="J95" s="35"/>
      <c r="K95" s="33"/>
      <c r="L95" s="9" t="str">
        <f aca="false">IF(A95="","",A95&amp;"-"&amp;B95)</f>
        <v/>
      </c>
    </row>
    <row r="96" customFormat="false" ht="15" hidden="false" customHeight="false" outlineLevel="0" collapsed="false">
      <c r="A96" s="33"/>
      <c r="B96" s="9" t="str">
        <f aca="false">IF(A96="","",COUNTIF($A$4:A96,A96))</f>
        <v/>
      </c>
      <c r="C96" s="33"/>
      <c r="D96" s="33"/>
      <c r="E96" s="33"/>
      <c r="F96" s="33"/>
      <c r="G96" s="34"/>
      <c r="H96" s="33"/>
      <c r="I96" s="33"/>
      <c r="J96" s="35"/>
      <c r="K96" s="33"/>
      <c r="L96" s="9" t="str">
        <f aca="false">IF(A96="","",A96&amp;"-"&amp;B96)</f>
        <v/>
      </c>
    </row>
    <row r="97" customFormat="false" ht="15" hidden="false" customHeight="false" outlineLevel="0" collapsed="false">
      <c r="A97" s="33"/>
      <c r="B97" s="9" t="str">
        <f aca="false">IF(A97="","",COUNTIF($A$4:A97,A97))</f>
        <v/>
      </c>
      <c r="C97" s="33"/>
      <c r="D97" s="33"/>
      <c r="E97" s="33"/>
      <c r="F97" s="33"/>
      <c r="G97" s="34"/>
      <c r="H97" s="33"/>
      <c r="I97" s="33"/>
      <c r="J97" s="35"/>
      <c r="K97" s="33"/>
      <c r="L97" s="9" t="str">
        <f aca="false">IF(A97="","",A97&amp;"-"&amp;B97)</f>
        <v/>
      </c>
    </row>
    <row r="98" customFormat="false" ht="15" hidden="false" customHeight="false" outlineLevel="0" collapsed="false">
      <c r="A98" s="33"/>
      <c r="B98" s="9" t="str">
        <f aca="false">IF(A98="","",COUNTIF($A$4:A98,A98))</f>
        <v/>
      </c>
      <c r="C98" s="33"/>
      <c r="D98" s="33"/>
      <c r="E98" s="33"/>
      <c r="F98" s="33"/>
      <c r="G98" s="34"/>
      <c r="H98" s="33"/>
      <c r="I98" s="33"/>
      <c r="J98" s="35"/>
      <c r="K98" s="33"/>
      <c r="L98" s="9" t="str">
        <f aca="false">IF(A98="","",A98&amp;"-"&amp;B98)</f>
        <v/>
      </c>
    </row>
    <row r="99" customFormat="false" ht="15" hidden="false" customHeight="false" outlineLevel="0" collapsed="false">
      <c r="A99" s="33"/>
      <c r="B99" s="9" t="str">
        <f aca="false">IF(A99="","",COUNTIF($A$4:A99,A99))</f>
        <v/>
      </c>
      <c r="C99" s="33"/>
      <c r="D99" s="33"/>
      <c r="E99" s="33"/>
      <c r="F99" s="33"/>
      <c r="G99" s="34"/>
      <c r="H99" s="33"/>
      <c r="I99" s="33"/>
      <c r="J99" s="35"/>
      <c r="K99" s="33"/>
      <c r="L99" s="9" t="str">
        <f aca="false">IF(A99="","",A99&amp;"-"&amp;B99)</f>
        <v/>
      </c>
    </row>
    <row r="100" customFormat="false" ht="15" hidden="false" customHeight="false" outlineLevel="0" collapsed="false">
      <c r="A100" s="33"/>
      <c r="B100" s="9" t="str">
        <f aca="false">IF(A100="","",COUNTIF($A$4:A100,A100))</f>
        <v/>
      </c>
      <c r="C100" s="33"/>
      <c r="D100" s="33"/>
      <c r="E100" s="33"/>
      <c r="F100" s="33"/>
      <c r="G100" s="34"/>
      <c r="H100" s="33"/>
      <c r="I100" s="33"/>
      <c r="J100" s="35"/>
      <c r="K100" s="33"/>
      <c r="L100" s="9" t="str">
        <f aca="false">IF(A100="","",A100&amp;"-"&amp;B100)</f>
        <v/>
      </c>
    </row>
    <row r="101" customFormat="false" ht="15" hidden="false" customHeight="false" outlineLevel="0" collapsed="false">
      <c r="A101" s="33"/>
      <c r="B101" s="9" t="str">
        <f aca="false">IF(A101="","",COUNTIF($A$4:A101,A101))</f>
        <v/>
      </c>
      <c r="C101" s="33"/>
      <c r="D101" s="33"/>
      <c r="E101" s="33"/>
      <c r="F101" s="33"/>
      <c r="G101" s="34"/>
      <c r="H101" s="33"/>
      <c r="I101" s="33"/>
      <c r="J101" s="35"/>
      <c r="K101" s="33"/>
      <c r="L101" s="9" t="str">
        <f aca="false">IF(A101="","",A101&amp;"-"&amp;B101)</f>
        <v/>
      </c>
    </row>
    <row r="102" customFormat="false" ht="15" hidden="false" customHeight="false" outlineLevel="0" collapsed="false">
      <c r="A102" s="33"/>
      <c r="B102" s="9" t="str">
        <f aca="false">IF(A102="","",COUNTIF($A$4:A102,A102))</f>
        <v/>
      </c>
      <c r="C102" s="33"/>
      <c r="D102" s="33"/>
      <c r="E102" s="33"/>
      <c r="F102" s="33"/>
      <c r="G102" s="34"/>
      <c r="H102" s="33"/>
      <c r="I102" s="33"/>
      <c r="J102" s="35"/>
      <c r="K102" s="33"/>
      <c r="L102" s="9" t="str">
        <f aca="false">IF(A102="","",A102&amp;"-"&amp;B102)</f>
        <v/>
      </c>
    </row>
    <row r="103" customFormat="false" ht="15" hidden="false" customHeight="false" outlineLevel="0" collapsed="false">
      <c r="A103" s="33"/>
      <c r="B103" s="9" t="str">
        <f aca="false">IF(A103="","",COUNTIF($A$4:A103,A103))</f>
        <v/>
      </c>
      <c r="C103" s="33"/>
      <c r="D103" s="33"/>
      <c r="E103" s="33"/>
      <c r="F103" s="33"/>
      <c r="G103" s="34"/>
      <c r="H103" s="33"/>
      <c r="I103" s="33"/>
      <c r="J103" s="35"/>
      <c r="K103" s="33"/>
      <c r="L103" s="9" t="str">
        <f aca="false">IF(A103="","",A103&amp;"-"&amp;B103)</f>
        <v/>
      </c>
    </row>
    <row r="104" customFormat="false" ht="15" hidden="false" customHeight="false" outlineLevel="0" collapsed="false">
      <c r="A104" s="33"/>
      <c r="B104" s="9" t="str">
        <f aca="false">IF(A104="","",COUNTIF($A$4:A104,A104))</f>
        <v/>
      </c>
      <c r="C104" s="33"/>
      <c r="D104" s="33"/>
      <c r="E104" s="33"/>
      <c r="F104" s="33"/>
      <c r="G104" s="34"/>
      <c r="H104" s="33"/>
      <c r="I104" s="33"/>
      <c r="J104" s="35"/>
      <c r="K104" s="33"/>
      <c r="L104" s="9" t="str">
        <f aca="false">IF(A104="","",A104&amp;"-"&amp;B104)</f>
        <v/>
      </c>
    </row>
    <row r="105" customFormat="false" ht="15" hidden="false" customHeight="false" outlineLevel="0" collapsed="false">
      <c r="A105" s="33"/>
      <c r="B105" s="9" t="str">
        <f aca="false">IF(A105="","",COUNTIF($A$4:A105,A105))</f>
        <v/>
      </c>
      <c r="C105" s="33"/>
      <c r="D105" s="33"/>
      <c r="E105" s="33"/>
      <c r="F105" s="33"/>
      <c r="G105" s="34"/>
      <c r="H105" s="33"/>
      <c r="I105" s="33"/>
      <c r="J105" s="35"/>
      <c r="K105" s="33"/>
      <c r="L105" s="9" t="str">
        <f aca="false">IF(A105="","",A105&amp;"-"&amp;B105)</f>
        <v/>
      </c>
    </row>
    <row r="106" customFormat="false" ht="15" hidden="false" customHeight="false" outlineLevel="0" collapsed="false">
      <c r="A106" s="33"/>
      <c r="B106" s="9" t="str">
        <f aca="false">IF(A106="","",COUNTIF($A$4:A106,A106))</f>
        <v/>
      </c>
      <c r="C106" s="33"/>
      <c r="D106" s="33"/>
      <c r="E106" s="33"/>
      <c r="F106" s="33"/>
      <c r="G106" s="34"/>
      <c r="H106" s="33"/>
      <c r="I106" s="33"/>
      <c r="J106" s="35"/>
      <c r="K106" s="33"/>
      <c r="L106" s="9" t="str">
        <f aca="false">IF(A106="","",A106&amp;"-"&amp;B106)</f>
        <v/>
      </c>
    </row>
    <row r="107" customFormat="false" ht="15" hidden="false" customHeight="false" outlineLevel="0" collapsed="false">
      <c r="A107" s="33"/>
      <c r="B107" s="9" t="str">
        <f aca="false">IF(A107="","",COUNTIF($A$4:A107,A107))</f>
        <v/>
      </c>
      <c r="C107" s="33"/>
      <c r="D107" s="33"/>
      <c r="E107" s="33"/>
      <c r="F107" s="33"/>
      <c r="G107" s="34"/>
      <c r="H107" s="33"/>
      <c r="I107" s="33"/>
      <c r="J107" s="35"/>
      <c r="K107" s="33"/>
      <c r="L107" s="9" t="str">
        <f aca="false">IF(A107="","",A107&amp;"-"&amp;B107)</f>
        <v/>
      </c>
    </row>
    <row r="108" customFormat="false" ht="15" hidden="false" customHeight="false" outlineLevel="0" collapsed="false">
      <c r="A108" s="33"/>
      <c r="B108" s="9" t="str">
        <f aca="false">IF(A108="","",COUNTIF($A$4:A108,A108))</f>
        <v/>
      </c>
      <c r="C108" s="33"/>
      <c r="D108" s="33"/>
      <c r="E108" s="33"/>
      <c r="F108" s="33"/>
      <c r="G108" s="34"/>
      <c r="H108" s="33"/>
      <c r="I108" s="33"/>
      <c r="J108" s="35"/>
      <c r="K108" s="33"/>
      <c r="L108" s="9" t="str">
        <f aca="false">IF(A108="","",A108&amp;"-"&amp;B108)</f>
        <v/>
      </c>
    </row>
    <row r="109" customFormat="false" ht="15" hidden="false" customHeight="false" outlineLevel="0" collapsed="false">
      <c r="A109" s="33"/>
      <c r="B109" s="9" t="str">
        <f aca="false">IF(A109="","",COUNTIF($A$4:A109,A109))</f>
        <v/>
      </c>
      <c r="C109" s="33"/>
      <c r="D109" s="33"/>
      <c r="E109" s="33"/>
      <c r="F109" s="33"/>
      <c r="G109" s="34"/>
      <c r="H109" s="33"/>
      <c r="I109" s="33"/>
      <c r="J109" s="35"/>
      <c r="K109" s="33"/>
      <c r="L109" s="9" t="str">
        <f aca="false">IF(A109="","",A109&amp;"-"&amp;B109)</f>
        <v/>
      </c>
    </row>
    <row r="110" customFormat="false" ht="15" hidden="false" customHeight="false" outlineLevel="0" collapsed="false">
      <c r="A110" s="33"/>
      <c r="B110" s="9" t="str">
        <f aca="false">IF(A110="","",COUNTIF($A$4:A110,A110))</f>
        <v/>
      </c>
      <c r="C110" s="33"/>
      <c r="D110" s="33"/>
      <c r="E110" s="33"/>
      <c r="F110" s="33"/>
      <c r="G110" s="34"/>
      <c r="H110" s="33"/>
      <c r="I110" s="33"/>
      <c r="J110" s="35"/>
      <c r="K110" s="33"/>
      <c r="L110" s="9" t="str">
        <f aca="false">IF(A110="","",A110&amp;"-"&amp;B110)</f>
        <v/>
      </c>
    </row>
    <row r="111" customFormat="false" ht="15" hidden="false" customHeight="false" outlineLevel="0" collapsed="false">
      <c r="A111" s="33"/>
      <c r="B111" s="9" t="str">
        <f aca="false">IF(A111="","",COUNTIF($A$4:A111,A111))</f>
        <v/>
      </c>
      <c r="C111" s="33"/>
      <c r="D111" s="33"/>
      <c r="E111" s="33"/>
      <c r="F111" s="33"/>
      <c r="G111" s="34"/>
      <c r="H111" s="33"/>
      <c r="I111" s="33"/>
      <c r="J111" s="35"/>
      <c r="K111" s="33"/>
      <c r="L111" s="9" t="str">
        <f aca="false">IF(A111="","",A111&amp;"-"&amp;B111)</f>
        <v/>
      </c>
    </row>
    <row r="112" customFormat="false" ht="15" hidden="false" customHeight="false" outlineLevel="0" collapsed="false">
      <c r="A112" s="33"/>
      <c r="B112" s="9" t="str">
        <f aca="false">IF(A112="","",COUNTIF($A$4:A112,A112))</f>
        <v/>
      </c>
      <c r="C112" s="33"/>
      <c r="D112" s="33"/>
      <c r="E112" s="33"/>
      <c r="F112" s="33"/>
      <c r="G112" s="34"/>
      <c r="H112" s="33"/>
      <c r="I112" s="33"/>
      <c r="J112" s="35"/>
      <c r="K112" s="33"/>
      <c r="L112" s="9" t="str">
        <f aca="false">IF(A112="","",A112&amp;"-"&amp;B112)</f>
        <v/>
      </c>
    </row>
    <row r="113" customFormat="false" ht="15" hidden="false" customHeight="false" outlineLevel="0" collapsed="false">
      <c r="A113" s="33"/>
      <c r="B113" s="9" t="str">
        <f aca="false">IF(A113="","",COUNTIF($A$4:A113,A113))</f>
        <v/>
      </c>
      <c r="C113" s="33"/>
      <c r="D113" s="33"/>
      <c r="E113" s="33"/>
      <c r="F113" s="33"/>
      <c r="G113" s="34"/>
      <c r="H113" s="33"/>
      <c r="I113" s="33"/>
      <c r="J113" s="35"/>
      <c r="K113" s="33"/>
      <c r="L113" s="9" t="str">
        <f aca="false">IF(A113="","",A113&amp;"-"&amp;B113)</f>
        <v/>
      </c>
    </row>
    <row r="114" customFormat="false" ht="15" hidden="false" customHeight="false" outlineLevel="0" collapsed="false">
      <c r="A114" s="33"/>
      <c r="B114" s="9" t="str">
        <f aca="false">IF(A114="","",COUNTIF($A$4:A114,A114))</f>
        <v/>
      </c>
      <c r="C114" s="33"/>
      <c r="D114" s="33"/>
      <c r="E114" s="33"/>
      <c r="F114" s="33"/>
      <c r="G114" s="34"/>
      <c r="H114" s="33"/>
      <c r="I114" s="33"/>
      <c r="J114" s="35"/>
      <c r="K114" s="33"/>
      <c r="L114" s="9" t="str">
        <f aca="false">IF(A114="","",A114&amp;"-"&amp;B114)</f>
        <v/>
      </c>
    </row>
    <row r="115" customFormat="false" ht="15" hidden="false" customHeight="false" outlineLevel="0" collapsed="false">
      <c r="A115" s="33"/>
      <c r="B115" s="9" t="str">
        <f aca="false">IF(A115="","",COUNTIF($A$4:A115,A115))</f>
        <v/>
      </c>
      <c r="C115" s="33"/>
      <c r="D115" s="33"/>
      <c r="E115" s="33"/>
      <c r="F115" s="33"/>
      <c r="G115" s="34"/>
      <c r="H115" s="33"/>
      <c r="I115" s="33"/>
      <c r="J115" s="35"/>
      <c r="K115" s="33"/>
      <c r="L115" s="9" t="str">
        <f aca="false">IF(A115="","",A115&amp;"-"&amp;B115)</f>
        <v/>
      </c>
    </row>
    <row r="116" customFormat="false" ht="15" hidden="false" customHeight="false" outlineLevel="0" collapsed="false">
      <c r="A116" s="33"/>
      <c r="B116" s="9" t="str">
        <f aca="false">IF(A116="","",COUNTIF($A$4:A116,A116))</f>
        <v/>
      </c>
      <c r="C116" s="33"/>
      <c r="D116" s="33"/>
      <c r="E116" s="33"/>
      <c r="F116" s="33"/>
      <c r="G116" s="34"/>
      <c r="H116" s="33"/>
      <c r="I116" s="33"/>
      <c r="J116" s="35"/>
      <c r="K116" s="33"/>
      <c r="L116" s="9" t="str">
        <f aca="false">IF(A116="","",A116&amp;"-"&amp;B116)</f>
        <v/>
      </c>
    </row>
    <row r="117" customFormat="false" ht="15" hidden="false" customHeight="false" outlineLevel="0" collapsed="false">
      <c r="A117" s="33"/>
      <c r="B117" s="9" t="str">
        <f aca="false">IF(A117="","",COUNTIF($A$4:A117,A117))</f>
        <v/>
      </c>
      <c r="C117" s="33"/>
      <c r="D117" s="33"/>
      <c r="E117" s="33"/>
      <c r="F117" s="33"/>
      <c r="G117" s="34"/>
      <c r="H117" s="33"/>
      <c r="I117" s="33"/>
      <c r="J117" s="35"/>
      <c r="K117" s="33"/>
      <c r="L117" s="9" t="str">
        <f aca="false">IF(A117="","",A117&amp;"-"&amp;B117)</f>
        <v/>
      </c>
    </row>
    <row r="118" customFormat="false" ht="15" hidden="false" customHeight="false" outlineLevel="0" collapsed="false">
      <c r="A118" s="33"/>
      <c r="B118" s="9" t="str">
        <f aca="false">IF(A118="","",COUNTIF($A$4:A118,A118))</f>
        <v/>
      </c>
      <c r="C118" s="33"/>
      <c r="D118" s="33"/>
      <c r="E118" s="33"/>
      <c r="F118" s="33"/>
      <c r="G118" s="34"/>
      <c r="H118" s="33"/>
      <c r="I118" s="33"/>
      <c r="J118" s="35"/>
      <c r="K118" s="33"/>
      <c r="L118" s="9" t="str">
        <f aca="false">IF(A118="","",A118&amp;"-"&amp;B118)</f>
        <v/>
      </c>
    </row>
    <row r="119" customFormat="false" ht="15" hidden="false" customHeight="false" outlineLevel="0" collapsed="false">
      <c r="A119" s="33"/>
      <c r="B119" s="9" t="str">
        <f aca="false">IF(A119="","",COUNTIF($A$4:A119,A119))</f>
        <v/>
      </c>
      <c r="C119" s="33"/>
      <c r="D119" s="33"/>
      <c r="E119" s="33"/>
      <c r="F119" s="33"/>
      <c r="G119" s="34"/>
      <c r="H119" s="33"/>
      <c r="I119" s="33"/>
      <c r="J119" s="35"/>
      <c r="K119" s="33"/>
      <c r="L119" s="9" t="str">
        <f aca="false">IF(A119="","",A119&amp;"-"&amp;B119)</f>
        <v/>
      </c>
    </row>
    <row r="120" customFormat="false" ht="15" hidden="false" customHeight="false" outlineLevel="0" collapsed="false">
      <c r="A120" s="33"/>
      <c r="B120" s="9" t="str">
        <f aca="false">IF(A120="","",COUNTIF($A$4:A120,A120))</f>
        <v/>
      </c>
      <c r="C120" s="33"/>
      <c r="D120" s="33"/>
      <c r="E120" s="33"/>
      <c r="F120" s="33"/>
      <c r="G120" s="34"/>
      <c r="H120" s="33"/>
      <c r="I120" s="33"/>
      <c r="J120" s="35"/>
      <c r="K120" s="33"/>
      <c r="L120" s="9" t="str">
        <f aca="false">IF(A120="","",A120&amp;"-"&amp;B120)</f>
        <v/>
      </c>
    </row>
    <row r="121" customFormat="false" ht="15" hidden="false" customHeight="false" outlineLevel="0" collapsed="false">
      <c r="A121" s="33"/>
      <c r="B121" s="9" t="str">
        <f aca="false">IF(A121="","",COUNTIF($A$4:A121,A121))</f>
        <v/>
      </c>
      <c r="C121" s="33"/>
      <c r="D121" s="33"/>
      <c r="E121" s="33"/>
      <c r="F121" s="33"/>
      <c r="G121" s="34"/>
      <c r="H121" s="33"/>
      <c r="I121" s="33"/>
      <c r="J121" s="35"/>
      <c r="K121" s="33"/>
      <c r="L121" s="9" t="str">
        <f aca="false">IF(A121="","",A121&amp;"-"&amp;B121)</f>
        <v/>
      </c>
    </row>
    <row r="122" customFormat="false" ht="15" hidden="false" customHeight="false" outlineLevel="0" collapsed="false">
      <c r="A122" s="33"/>
      <c r="B122" s="9" t="str">
        <f aca="false">IF(A122="","",COUNTIF($A$4:A122,A122))</f>
        <v/>
      </c>
      <c r="C122" s="33"/>
      <c r="D122" s="33"/>
      <c r="E122" s="33"/>
      <c r="F122" s="33"/>
      <c r="G122" s="34"/>
      <c r="H122" s="33"/>
      <c r="I122" s="33"/>
      <c r="J122" s="35"/>
      <c r="K122" s="33"/>
      <c r="L122" s="9" t="str">
        <f aca="false">IF(A122="","",A122&amp;"-"&amp;B122)</f>
        <v/>
      </c>
    </row>
    <row r="123" customFormat="false" ht="15" hidden="false" customHeight="false" outlineLevel="0" collapsed="false">
      <c r="A123" s="33"/>
      <c r="B123" s="9" t="str">
        <f aca="false">IF(A123="","",COUNTIF($A$4:A123,A123))</f>
        <v/>
      </c>
      <c r="C123" s="33"/>
      <c r="D123" s="33"/>
      <c r="E123" s="33"/>
      <c r="F123" s="33"/>
      <c r="G123" s="34"/>
      <c r="H123" s="33"/>
      <c r="I123" s="33"/>
      <c r="J123" s="35"/>
      <c r="K123" s="33"/>
      <c r="L123" s="9" t="str">
        <f aca="false">IF(A123="","",A123&amp;"-"&amp;B123)</f>
        <v/>
      </c>
    </row>
    <row r="124" customFormat="false" ht="15" hidden="false" customHeight="false" outlineLevel="0" collapsed="false">
      <c r="A124" s="33"/>
      <c r="B124" s="9" t="str">
        <f aca="false">IF(A124="","",COUNTIF($A$4:A124,A124))</f>
        <v/>
      </c>
      <c r="C124" s="33"/>
      <c r="D124" s="33"/>
      <c r="E124" s="33"/>
      <c r="F124" s="33"/>
      <c r="G124" s="34"/>
      <c r="H124" s="33"/>
      <c r="I124" s="33"/>
      <c r="J124" s="35"/>
      <c r="K124" s="33"/>
      <c r="L124" s="9" t="str">
        <f aca="false">IF(A124="","",A124&amp;"-"&amp;B124)</f>
        <v/>
      </c>
    </row>
    <row r="125" customFormat="false" ht="15" hidden="false" customHeight="false" outlineLevel="0" collapsed="false">
      <c r="A125" s="33"/>
      <c r="B125" s="9" t="str">
        <f aca="false">IF(A125="","",COUNTIF($A$4:A125,A125))</f>
        <v/>
      </c>
      <c r="C125" s="33"/>
      <c r="D125" s="33"/>
      <c r="E125" s="33"/>
      <c r="F125" s="33"/>
      <c r="G125" s="34"/>
      <c r="H125" s="33"/>
      <c r="I125" s="33"/>
      <c r="J125" s="35"/>
      <c r="K125" s="33"/>
      <c r="L125" s="9" t="str">
        <f aca="false">IF(A125="","",A125&amp;"-"&amp;B125)</f>
        <v/>
      </c>
    </row>
    <row r="126" customFormat="false" ht="15" hidden="false" customHeight="false" outlineLevel="0" collapsed="false">
      <c r="A126" s="33"/>
      <c r="B126" s="9" t="str">
        <f aca="false">IF(A126="","",COUNTIF($A$4:A126,A126))</f>
        <v/>
      </c>
      <c r="C126" s="33"/>
      <c r="D126" s="33"/>
      <c r="E126" s="33"/>
      <c r="F126" s="33"/>
      <c r="G126" s="34"/>
      <c r="H126" s="33"/>
      <c r="I126" s="33"/>
      <c r="J126" s="35"/>
      <c r="K126" s="33"/>
      <c r="L126" s="9" t="str">
        <f aca="false">IF(A126="","",A126&amp;"-"&amp;B126)</f>
        <v/>
      </c>
    </row>
    <row r="127" customFormat="false" ht="15" hidden="false" customHeight="false" outlineLevel="0" collapsed="false">
      <c r="A127" s="33"/>
      <c r="B127" s="9" t="str">
        <f aca="false">IF(A127="","",COUNTIF($A$4:A127,A127))</f>
        <v/>
      </c>
      <c r="C127" s="33"/>
      <c r="D127" s="33"/>
      <c r="E127" s="33"/>
      <c r="F127" s="33"/>
      <c r="G127" s="34"/>
      <c r="H127" s="33"/>
      <c r="I127" s="33"/>
      <c r="J127" s="35"/>
      <c r="K127" s="33"/>
      <c r="L127" s="9" t="str">
        <f aca="false">IF(A127="","",A127&amp;"-"&amp;B127)</f>
        <v/>
      </c>
    </row>
    <row r="128" customFormat="false" ht="15" hidden="false" customHeight="false" outlineLevel="0" collapsed="false">
      <c r="A128" s="33"/>
      <c r="B128" s="9" t="str">
        <f aca="false">IF(A128="","",COUNTIF($A$4:A128,A128))</f>
        <v/>
      </c>
      <c r="C128" s="33"/>
      <c r="D128" s="33"/>
      <c r="E128" s="33"/>
      <c r="F128" s="33"/>
      <c r="G128" s="34"/>
      <c r="H128" s="33"/>
      <c r="I128" s="33"/>
      <c r="J128" s="35"/>
      <c r="K128" s="33"/>
      <c r="L128" s="9" t="str">
        <f aca="false">IF(A128="","",A128&amp;"-"&amp;B128)</f>
        <v/>
      </c>
    </row>
    <row r="129" customFormat="false" ht="15" hidden="false" customHeight="false" outlineLevel="0" collapsed="false">
      <c r="A129" s="33"/>
      <c r="B129" s="9" t="str">
        <f aca="false">IF(A129="","",COUNTIF($A$4:A129,A129))</f>
        <v/>
      </c>
      <c r="C129" s="33"/>
      <c r="D129" s="33"/>
      <c r="E129" s="33"/>
      <c r="F129" s="33"/>
      <c r="G129" s="34"/>
      <c r="H129" s="33"/>
      <c r="I129" s="33"/>
      <c r="J129" s="35"/>
      <c r="K129" s="33"/>
      <c r="L129" s="9" t="str">
        <f aca="false">IF(A129="","",A129&amp;"-"&amp;B129)</f>
        <v/>
      </c>
    </row>
    <row r="130" customFormat="false" ht="15" hidden="false" customHeight="false" outlineLevel="0" collapsed="false">
      <c r="A130" s="33"/>
      <c r="B130" s="9" t="str">
        <f aca="false">IF(A130="","",COUNTIF($A$4:A130,A130))</f>
        <v/>
      </c>
      <c r="C130" s="33"/>
      <c r="D130" s="33"/>
      <c r="E130" s="33"/>
      <c r="F130" s="33"/>
      <c r="G130" s="34"/>
      <c r="H130" s="33"/>
      <c r="I130" s="33"/>
      <c r="J130" s="35"/>
      <c r="K130" s="33"/>
      <c r="L130" s="9" t="str">
        <f aca="false">IF(A130="","",A130&amp;"-"&amp;B130)</f>
        <v/>
      </c>
    </row>
    <row r="131" customFormat="false" ht="15" hidden="false" customHeight="false" outlineLevel="0" collapsed="false">
      <c r="A131" s="33"/>
      <c r="B131" s="9" t="str">
        <f aca="false">IF(A131="","",COUNTIF($A$4:A131,A131))</f>
        <v/>
      </c>
      <c r="C131" s="33"/>
      <c r="D131" s="33"/>
      <c r="E131" s="33"/>
      <c r="F131" s="33"/>
      <c r="G131" s="34"/>
      <c r="H131" s="33"/>
      <c r="I131" s="33"/>
      <c r="J131" s="35"/>
      <c r="K131" s="33"/>
      <c r="L131" s="9" t="str">
        <f aca="false">IF(A131="","",A131&amp;"-"&amp;B131)</f>
        <v/>
      </c>
    </row>
    <row r="132" customFormat="false" ht="15" hidden="false" customHeight="false" outlineLevel="0" collapsed="false">
      <c r="A132" s="33"/>
      <c r="B132" s="9" t="str">
        <f aca="false">IF(A132="","",COUNTIF($A$4:A132,A132))</f>
        <v/>
      </c>
      <c r="C132" s="33"/>
      <c r="D132" s="33"/>
      <c r="E132" s="33"/>
      <c r="F132" s="33"/>
      <c r="G132" s="34"/>
      <c r="H132" s="33"/>
      <c r="I132" s="33"/>
      <c r="J132" s="35"/>
      <c r="K132" s="33"/>
      <c r="L132" s="9" t="str">
        <f aca="false">IF(A132="","",A132&amp;"-"&amp;B132)</f>
        <v/>
      </c>
    </row>
    <row r="133" customFormat="false" ht="15" hidden="false" customHeight="false" outlineLevel="0" collapsed="false">
      <c r="A133" s="33"/>
      <c r="B133" s="9" t="str">
        <f aca="false">IF(A133="","",COUNTIF($A$4:A133,A133))</f>
        <v/>
      </c>
      <c r="C133" s="33"/>
      <c r="D133" s="33"/>
      <c r="E133" s="33"/>
      <c r="F133" s="33"/>
      <c r="G133" s="34"/>
      <c r="H133" s="33"/>
      <c r="I133" s="33"/>
      <c r="J133" s="35"/>
      <c r="K133" s="33"/>
      <c r="L133" s="9" t="str">
        <f aca="false">IF(A133="","",A133&amp;"-"&amp;B133)</f>
        <v/>
      </c>
    </row>
    <row r="134" customFormat="false" ht="15" hidden="false" customHeight="false" outlineLevel="0" collapsed="false">
      <c r="A134" s="33"/>
      <c r="B134" s="9" t="str">
        <f aca="false">IF(A134="","",COUNTIF($A$4:A134,A134))</f>
        <v/>
      </c>
      <c r="C134" s="33"/>
      <c r="D134" s="33"/>
      <c r="E134" s="33"/>
      <c r="F134" s="33"/>
      <c r="G134" s="34"/>
      <c r="H134" s="33"/>
      <c r="I134" s="33"/>
      <c r="J134" s="35"/>
      <c r="K134" s="33"/>
      <c r="L134" s="9" t="str">
        <f aca="false">IF(A134="","",A134&amp;"-"&amp;B134)</f>
        <v/>
      </c>
    </row>
    <row r="135" customFormat="false" ht="15" hidden="false" customHeight="false" outlineLevel="0" collapsed="false">
      <c r="A135" s="33"/>
      <c r="B135" s="9" t="str">
        <f aca="false">IF(A135="","",COUNTIF($A$4:A135,A135))</f>
        <v/>
      </c>
      <c r="C135" s="33"/>
      <c r="D135" s="33"/>
      <c r="E135" s="33"/>
      <c r="F135" s="33"/>
      <c r="G135" s="34"/>
      <c r="H135" s="33"/>
      <c r="I135" s="33"/>
      <c r="J135" s="35"/>
      <c r="K135" s="33"/>
      <c r="L135" s="9" t="str">
        <f aca="false">IF(A135="","",A135&amp;"-"&amp;B135)</f>
        <v/>
      </c>
    </row>
    <row r="136" customFormat="false" ht="15" hidden="false" customHeight="false" outlineLevel="0" collapsed="false">
      <c r="A136" s="33"/>
      <c r="B136" s="9" t="str">
        <f aca="false">IF(A136="","",COUNTIF($A$4:A136,A136))</f>
        <v/>
      </c>
      <c r="C136" s="33"/>
      <c r="D136" s="33"/>
      <c r="E136" s="33"/>
      <c r="F136" s="33"/>
      <c r="G136" s="34"/>
      <c r="H136" s="33"/>
      <c r="I136" s="33"/>
      <c r="J136" s="35"/>
      <c r="K136" s="33"/>
      <c r="L136" s="9" t="str">
        <f aca="false">IF(A136="","",A136&amp;"-"&amp;B136)</f>
        <v/>
      </c>
    </row>
    <row r="137" customFormat="false" ht="15" hidden="false" customHeight="false" outlineLevel="0" collapsed="false">
      <c r="A137" s="33"/>
      <c r="B137" s="9" t="str">
        <f aca="false">IF(A137="","",COUNTIF($A$4:A137,A137))</f>
        <v/>
      </c>
      <c r="C137" s="33"/>
      <c r="D137" s="33"/>
      <c r="E137" s="33"/>
      <c r="F137" s="33"/>
      <c r="G137" s="34"/>
      <c r="H137" s="33"/>
      <c r="I137" s="33"/>
      <c r="J137" s="35"/>
      <c r="K137" s="33"/>
      <c r="L137" s="9" t="str">
        <f aca="false">IF(A137="","",A137&amp;"-"&amp;B137)</f>
        <v/>
      </c>
    </row>
    <row r="138" customFormat="false" ht="15" hidden="false" customHeight="false" outlineLevel="0" collapsed="false">
      <c r="A138" s="33"/>
      <c r="B138" s="9" t="str">
        <f aca="false">IF(A138="","",COUNTIF($A$4:A138,A138))</f>
        <v/>
      </c>
      <c r="C138" s="33"/>
      <c r="D138" s="33"/>
      <c r="E138" s="33"/>
      <c r="F138" s="33"/>
      <c r="G138" s="34"/>
      <c r="H138" s="33"/>
      <c r="I138" s="33"/>
      <c r="J138" s="35"/>
      <c r="K138" s="33"/>
      <c r="L138" s="9" t="str">
        <f aca="false">IF(A138="","",A138&amp;"-"&amp;B138)</f>
        <v/>
      </c>
    </row>
    <row r="139" customFormat="false" ht="15" hidden="false" customHeight="false" outlineLevel="0" collapsed="false">
      <c r="A139" s="33"/>
      <c r="B139" s="9" t="str">
        <f aca="false">IF(A139="","",COUNTIF($A$4:A139,A139))</f>
        <v/>
      </c>
      <c r="C139" s="33"/>
      <c r="D139" s="33"/>
      <c r="E139" s="33"/>
      <c r="F139" s="33"/>
      <c r="G139" s="34"/>
      <c r="H139" s="33"/>
      <c r="I139" s="33"/>
      <c r="J139" s="35"/>
      <c r="K139" s="33"/>
      <c r="L139" s="9" t="str">
        <f aca="false">IF(A139="","",A139&amp;"-"&amp;B139)</f>
        <v/>
      </c>
    </row>
    <row r="140" customFormat="false" ht="15" hidden="false" customHeight="false" outlineLevel="0" collapsed="false">
      <c r="A140" s="33"/>
      <c r="B140" s="9" t="str">
        <f aca="false">IF(A140="","",COUNTIF($A$4:A140,A140))</f>
        <v/>
      </c>
      <c r="C140" s="33"/>
      <c r="D140" s="33"/>
      <c r="E140" s="33"/>
      <c r="F140" s="33"/>
      <c r="G140" s="34"/>
      <c r="H140" s="33"/>
      <c r="I140" s="33"/>
      <c r="J140" s="35"/>
      <c r="K140" s="33"/>
      <c r="L140" s="9" t="str">
        <f aca="false">IF(A140="","",A140&amp;"-"&amp;B140)</f>
        <v/>
      </c>
    </row>
    <row r="141" customFormat="false" ht="15" hidden="false" customHeight="false" outlineLevel="0" collapsed="false">
      <c r="A141" s="33"/>
      <c r="B141" s="9" t="str">
        <f aca="false">IF(A141="","",COUNTIF($A$4:A141,A141))</f>
        <v/>
      </c>
      <c r="C141" s="33"/>
      <c r="D141" s="33"/>
      <c r="E141" s="33"/>
      <c r="F141" s="33"/>
      <c r="G141" s="34"/>
      <c r="H141" s="33"/>
      <c r="I141" s="33"/>
      <c r="J141" s="35"/>
      <c r="K141" s="33"/>
      <c r="L141" s="9" t="str">
        <f aca="false">IF(A141="","",A141&amp;"-"&amp;B141)</f>
        <v/>
      </c>
    </row>
    <row r="142" customFormat="false" ht="15" hidden="false" customHeight="false" outlineLevel="0" collapsed="false">
      <c r="A142" s="33"/>
      <c r="B142" s="9" t="str">
        <f aca="false">IF(A142="","",COUNTIF($A$4:A142,A142))</f>
        <v/>
      </c>
      <c r="C142" s="33"/>
      <c r="D142" s="33"/>
      <c r="E142" s="33"/>
      <c r="F142" s="33"/>
      <c r="G142" s="34"/>
      <c r="H142" s="33"/>
      <c r="I142" s="33"/>
      <c r="J142" s="35"/>
      <c r="K142" s="33"/>
      <c r="L142" s="9" t="str">
        <f aca="false">IF(A142="","",A142&amp;"-"&amp;B142)</f>
        <v/>
      </c>
    </row>
    <row r="143" customFormat="false" ht="15" hidden="false" customHeight="false" outlineLevel="0" collapsed="false">
      <c r="A143" s="33"/>
      <c r="B143" s="9" t="str">
        <f aca="false">IF(A143="","",COUNTIF($A$4:A143,A143))</f>
        <v/>
      </c>
      <c r="C143" s="33"/>
      <c r="D143" s="33"/>
      <c r="E143" s="33"/>
      <c r="F143" s="33"/>
      <c r="G143" s="34"/>
      <c r="H143" s="33"/>
      <c r="I143" s="33"/>
      <c r="J143" s="35"/>
      <c r="K143" s="33"/>
      <c r="L143" s="9" t="str">
        <f aca="false">IF(A143="","",A143&amp;"-"&amp;B143)</f>
        <v/>
      </c>
    </row>
    <row r="144" customFormat="false" ht="15" hidden="false" customHeight="false" outlineLevel="0" collapsed="false">
      <c r="A144" s="33"/>
      <c r="B144" s="9" t="str">
        <f aca="false">IF(A144="","",COUNTIF($A$4:A144,A144))</f>
        <v/>
      </c>
      <c r="C144" s="33"/>
      <c r="D144" s="33"/>
      <c r="E144" s="33"/>
      <c r="F144" s="33"/>
      <c r="G144" s="34"/>
      <c r="H144" s="33"/>
      <c r="I144" s="33"/>
      <c r="J144" s="35"/>
      <c r="K144" s="33"/>
      <c r="L144" s="9" t="str">
        <f aca="false">IF(A144="","",A144&amp;"-"&amp;B144)</f>
        <v/>
      </c>
    </row>
    <row r="145" customFormat="false" ht="15" hidden="false" customHeight="false" outlineLevel="0" collapsed="false">
      <c r="A145" s="33"/>
      <c r="B145" s="9" t="str">
        <f aca="false">IF(A145="","",COUNTIF($A$4:A145,A145))</f>
        <v/>
      </c>
      <c r="C145" s="33"/>
      <c r="D145" s="33"/>
      <c r="E145" s="33"/>
      <c r="F145" s="33"/>
      <c r="G145" s="34"/>
      <c r="H145" s="33"/>
      <c r="I145" s="33"/>
      <c r="J145" s="35"/>
      <c r="K145" s="33"/>
      <c r="L145" s="9" t="str">
        <f aca="false">IF(A145="","",A145&amp;"-"&amp;B145)</f>
        <v/>
      </c>
    </row>
    <row r="146" customFormat="false" ht="15" hidden="false" customHeight="false" outlineLevel="0" collapsed="false">
      <c r="A146" s="33"/>
      <c r="B146" s="9" t="str">
        <f aca="false">IF(A146="","",COUNTIF($A$4:A146,A146))</f>
        <v/>
      </c>
      <c r="C146" s="33"/>
      <c r="D146" s="33"/>
      <c r="E146" s="33"/>
      <c r="F146" s="33"/>
      <c r="G146" s="34"/>
      <c r="H146" s="33"/>
      <c r="I146" s="33"/>
      <c r="J146" s="35"/>
      <c r="K146" s="33"/>
      <c r="L146" s="9" t="str">
        <f aca="false">IF(A146="","",A146&amp;"-"&amp;B146)</f>
        <v/>
      </c>
    </row>
    <row r="147" customFormat="false" ht="15" hidden="false" customHeight="false" outlineLevel="0" collapsed="false">
      <c r="A147" s="33"/>
      <c r="B147" s="9" t="str">
        <f aca="false">IF(A147="","",COUNTIF($A$4:A147,A147))</f>
        <v/>
      </c>
      <c r="C147" s="33"/>
      <c r="D147" s="33"/>
      <c r="E147" s="33"/>
      <c r="F147" s="33"/>
      <c r="G147" s="34"/>
      <c r="H147" s="33"/>
      <c r="I147" s="33"/>
      <c r="J147" s="35"/>
      <c r="K147" s="33"/>
      <c r="L147" s="9" t="str">
        <f aca="false">IF(A147="","",A147&amp;"-"&amp;B147)</f>
        <v/>
      </c>
    </row>
    <row r="148" customFormat="false" ht="15" hidden="false" customHeight="false" outlineLevel="0" collapsed="false">
      <c r="A148" s="33"/>
      <c r="B148" s="9" t="str">
        <f aca="false">IF(A148="","",COUNTIF($A$4:A148,A148))</f>
        <v/>
      </c>
      <c r="C148" s="33"/>
      <c r="D148" s="33"/>
      <c r="E148" s="33"/>
      <c r="F148" s="33"/>
      <c r="G148" s="34"/>
      <c r="H148" s="33"/>
      <c r="I148" s="33"/>
      <c r="J148" s="35"/>
      <c r="K148" s="33"/>
      <c r="L148" s="9" t="str">
        <f aca="false">IF(A148="","",A148&amp;"-"&amp;B148)</f>
        <v/>
      </c>
    </row>
    <row r="149" customFormat="false" ht="15" hidden="false" customHeight="false" outlineLevel="0" collapsed="false">
      <c r="A149" s="33"/>
      <c r="B149" s="9" t="str">
        <f aca="false">IF(A149="","",COUNTIF($A$4:A149,A149))</f>
        <v/>
      </c>
      <c r="C149" s="33"/>
      <c r="D149" s="33"/>
      <c r="E149" s="33"/>
      <c r="F149" s="33"/>
      <c r="G149" s="34"/>
      <c r="H149" s="33"/>
      <c r="I149" s="33"/>
      <c r="J149" s="35"/>
      <c r="K149" s="33"/>
      <c r="L149" s="9" t="str">
        <f aca="false">IF(A149="","",A149&amp;"-"&amp;B149)</f>
        <v/>
      </c>
    </row>
    <row r="150" customFormat="false" ht="15" hidden="false" customHeight="false" outlineLevel="0" collapsed="false">
      <c r="A150" s="33"/>
      <c r="B150" s="9" t="str">
        <f aca="false">IF(A150="","",COUNTIF($A$4:A150,A150))</f>
        <v/>
      </c>
      <c r="C150" s="33"/>
      <c r="D150" s="33"/>
      <c r="E150" s="33"/>
      <c r="F150" s="33"/>
      <c r="G150" s="34"/>
      <c r="H150" s="33"/>
      <c r="I150" s="33"/>
      <c r="J150" s="35"/>
      <c r="K150" s="33"/>
      <c r="L150" s="9" t="str">
        <f aca="false">IF(A150="","",A150&amp;"-"&amp;B150)</f>
        <v/>
      </c>
    </row>
    <row r="151" customFormat="false" ht="15" hidden="false" customHeight="false" outlineLevel="0" collapsed="false">
      <c r="A151" s="33"/>
      <c r="B151" s="9" t="str">
        <f aca="false">IF(A151="","",COUNTIF($A$4:A151,A151))</f>
        <v/>
      </c>
      <c r="C151" s="33"/>
      <c r="D151" s="33"/>
      <c r="E151" s="33"/>
      <c r="F151" s="33"/>
      <c r="G151" s="34"/>
      <c r="H151" s="33"/>
      <c r="I151" s="33"/>
      <c r="J151" s="35"/>
      <c r="K151" s="33"/>
      <c r="L151" s="9" t="str">
        <f aca="false">IF(A151="","",A151&amp;"-"&amp;B151)</f>
        <v/>
      </c>
    </row>
    <row r="152" customFormat="false" ht="15" hidden="false" customHeight="false" outlineLevel="0" collapsed="false">
      <c r="A152" s="33"/>
      <c r="B152" s="9" t="str">
        <f aca="false">IF(A152="","",COUNTIF($A$4:A152,A152))</f>
        <v/>
      </c>
      <c r="C152" s="33"/>
      <c r="D152" s="33"/>
      <c r="E152" s="33"/>
      <c r="F152" s="33"/>
      <c r="G152" s="34"/>
      <c r="H152" s="33"/>
      <c r="I152" s="33"/>
      <c r="J152" s="35"/>
      <c r="K152" s="33"/>
      <c r="L152" s="9" t="str">
        <f aca="false">IF(A152="","",A152&amp;"-"&amp;B152)</f>
        <v/>
      </c>
    </row>
    <row r="153" customFormat="false" ht="15" hidden="false" customHeight="false" outlineLevel="0" collapsed="false">
      <c r="A153" s="33"/>
      <c r="B153" s="9" t="str">
        <f aca="false">IF(A153="","",COUNTIF($A$4:A153,A153))</f>
        <v/>
      </c>
      <c r="C153" s="33"/>
      <c r="D153" s="33"/>
      <c r="E153" s="33"/>
      <c r="F153" s="33"/>
      <c r="G153" s="34"/>
      <c r="H153" s="33"/>
      <c r="I153" s="33"/>
      <c r="J153" s="35"/>
      <c r="K153" s="33"/>
      <c r="L153" s="9" t="str">
        <f aca="false">IF(A153="","",A153&amp;"-"&amp;B153)</f>
        <v/>
      </c>
    </row>
    <row r="154" customFormat="false" ht="15" hidden="false" customHeight="false" outlineLevel="0" collapsed="false">
      <c r="A154" s="33"/>
      <c r="B154" s="9" t="str">
        <f aca="false">IF(A154="","",COUNTIF($A$4:A154,A154))</f>
        <v/>
      </c>
      <c r="C154" s="33"/>
      <c r="D154" s="33"/>
      <c r="E154" s="33"/>
      <c r="F154" s="33"/>
      <c r="G154" s="34"/>
      <c r="H154" s="33"/>
      <c r="I154" s="33"/>
      <c r="J154" s="35"/>
      <c r="K154" s="33"/>
      <c r="L154" s="9" t="str">
        <f aca="false">IF(A154="","",A154&amp;"-"&amp;B154)</f>
        <v/>
      </c>
    </row>
    <row r="155" customFormat="false" ht="15" hidden="false" customHeight="false" outlineLevel="0" collapsed="false">
      <c r="A155" s="33"/>
      <c r="B155" s="9" t="str">
        <f aca="false">IF(A155="","",COUNTIF($A$4:A155,A155))</f>
        <v/>
      </c>
      <c r="C155" s="33"/>
      <c r="D155" s="33"/>
      <c r="E155" s="33"/>
      <c r="F155" s="33"/>
      <c r="G155" s="34"/>
      <c r="H155" s="33"/>
      <c r="I155" s="33"/>
      <c r="J155" s="35"/>
      <c r="K155" s="33"/>
      <c r="L155" s="9" t="str">
        <f aca="false">IF(A155="","",A155&amp;"-"&amp;B155)</f>
        <v/>
      </c>
    </row>
    <row r="156" customFormat="false" ht="15" hidden="false" customHeight="false" outlineLevel="0" collapsed="false">
      <c r="A156" s="33"/>
      <c r="B156" s="9" t="str">
        <f aca="false">IF(A156="","",COUNTIF($A$4:A156,A156))</f>
        <v/>
      </c>
      <c r="C156" s="33"/>
      <c r="D156" s="33"/>
      <c r="E156" s="33"/>
      <c r="F156" s="33"/>
      <c r="G156" s="34"/>
      <c r="H156" s="33"/>
      <c r="I156" s="33"/>
      <c r="J156" s="35"/>
      <c r="K156" s="33"/>
      <c r="L156" s="9" t="str">
        <f aca="false">IF(A156="","",A156&amp;"-"&amp;B156)</f>
        <v/>
      </c>
    </row>
    <row r="157" customFormat="false" ht="15" hidden="false" customHeight="false" outlineLevel="0" collapsed="false">
      <c r="A157" s="33"/>
      <c r="B157" s="9" t="str">
        <f aca="false">IF(A157="","",COUNTIF($A$4:A157,A157))</f>
        <v/>
      </c>
      <c r="C157" s="33"/>
      <c r="D157" s="33"/>
      <c r="E157" s="33"/>
      <c r="F157" s="33"/>
      <c r="G157" s="34"/>
      <c r="H157" s="33"/>
      <c r="I157" s="33"/>
      <c r="J157" s="35"/>
      <c r="K157" s="33"/>
      <c r="L157" s="9" t="str">
        <f aca="false">IF(A157="","",A157&amp;"-"&amp;B157)</f>
        <v/>
      </c>
    </row>
    <row r="158" customFormat="false" ht="15" hidden="false" customHeight="false" outlineLevel="0" collapsed="false">
      <c r="A158" s="33"/>
      <c r="B158" s="9" t="str">
        <f aca="false">IF(A158="","",COUNTIF($A$4:A158,A158))</f>
        <v/>
      </c>
      <c r="C158" s="33"/>
      <c r="D158" s="33"/>
      <c r="E158" s="33"/>
      <c r="F158" s="33"/>
      <c r="G158" s="34"/>
      <c r="H158" s="33"/>
      <c r="I158" s="33"/>
      <c r="J158" s="35"/>
      <c r="K158" s="33"/>
      <c r="L158" s="9" t="str">
        <f aca="false">IF(A158="","",A158&amp;"-"&amp;B158)</f>
        <v/>
      </c>
    </row>
    <row r="159" customFormat="false" ht="15" hidden="false" customHeight="false" outlineLevel="0" collapsed="false">
      <c r="A159" s="33"/>
      <c r="B159" s="9" t="str">
        <f aca="false">IF(A159="","",COUNTIF($A$4:A159,A159))</f>
        <v/>
      </c>
      <c r="C159" s="33"/>
      <c r="D159" s="33"/>
      <c r="E159" s="33"/>
      <c r="F159" s="33"/>
      <c r="G159" s="34"/>
      <c r="H159" s="33"/>
      <c r="I159" s="33"/>
      <c r="J159" s="35"/>
      <c r="K159" s="33"/>
      <c r="L159" s="9" t="str">
        <f aca="false">IF(A159="","",A159&amp;"-"&amp;B159)</f>
        <v/>
      </c>
    </row>
    <row r="160" customFormat="false" ht="15" hidden="false" customHeight="false" outlineLevel="0" collapsed="false">
      <c r="A160" s="33"/>
      <c r="B160" s="9" t="str">
        <f aca="false">IF(A160="","",COUNTIF($A$4:A160,A160))</f>
        <v/>
      </c>
      <c r="C160" s="33"/>
      <c r="D160" s="33"/>
      <c r="E160" s="33"/>
      <c r="F160" s="33"/>
      <c r="G160" s="34"/>
      <c r="H160" s="33"/>
      <c r="I160" s="33"/>
      <c r="J160" s="35"/>
      <c r="K160" s="33"/>
      <c r="L160" s="9" t="str">
        <f aca="false">IF(A160="","",A160&amp;"-"&amp;B160)</f>
        <v/>
      </c>
    </row>
    <row r="161" customFormat="false" ht="15" hidden="false" customHeight="false" outlineLevel="0" collapsed="false">
      <c r="A161" s="33"/>
      <c r="B161" s="9" t="str">
        <f aca="false">IF(A161="","",COUNTIF($A$4:A161,A161))</f>
        <v/>
      </c>
      <c r="C161" s="33"/>
      <c r="D161" s="33"/>
      <c r="E161" s="33"/>
      <c r="F161" s="33"/>
      <c r="G161" s="34"/>
      <c r="H161" s="33"/>
      <c r="I161" s="33"/>
      <c r="J161" s="35"/>
      <c r="K161" s="33"/>
      <c r="L161" s="9" t="str">
        <f aca="false">IF(A161="","",A161&amp;"-"&amp;B161)</f>
        <v/>
      </c>
    </row>
    <row r="162" customFormat="false" ht="15" hidden="false" customHeight="false" outlineLevel="0" collapsed="false">
      <c r="A162" s="33"/>
      <c r="B162" s="9" t="str">
        <f aca="false">IF(A162="","",COUNTIF($A$4:A162,A162))</f>
        <v/>
      </c>
      <c r="C162" s="33"/>
      <c r="D162" s="33"/>
      <c r="E162" s="33"/>
      <c r="F162" s="33"/>
      <c r="G162" s="34"/>
      <c r="H162" s="33"/>
      <c r="I162" s="33"/>
      <c r="J162" s="35"/>
      <c r="K162" s="33"/>
      <c r="L162" s="9" t="str">
        <f aca="false">IF(A162="","",A162&amp;"-"&amp;B162)</f>
        <v/>
      </c>
    </row>
    <row r="163" customFormat="false" ht="15" hidden="false" customHeight="false" outlineLevel="0" collapsed="false">
      <c r="A163" s="33"/>
      <c r="B163" s="9" t="str">
        <f aca="false">IF(A163="","",COUNTIF($A$4:A163,A163))</f>
        <v/>
      </c>
      <c r="C163" s="33"/>
      <c r="D163" s="33"/>
      <c r="E163" s="33"/>
      <c r="F163" s="33"/>
      <c r="G163" s="34"/>
      <c r="H163" s="33"/>
      <c r="I163" s="33"/>
      <c r="J163" s="35"/>
      <c r="K163" s="33"/>
      <c r="L163" s="9" t="str">
        <f aca="false">IF(A163="","",A163&amp;"-"&amp;B163)</f>
        <v/>
      </c>
    </row>
    <row r="164" customFormat="false" ht="15" hidden="false" customHeight="false" outlineLevel="0" collapsed="false">
      <c r="A164" s="33"/>
      <c r="B164" s="9" t="str">
        <f aca="false">IF(A164="","",COUNTIF($A$4:A164,A164))</f>
        <v/>
      </c>
      <c r="C164" s="33"/>
      <c r="D164" s="33"/>
      <c r="E164" s="33"/>
      <c r="F164" s="33"/>
      <c r="G164" s="34"/>
      <c r="H164" s="33"/>
      <c r="I164" s="33"/>
      <c r="J164" s="35"/>
      <c r="K164" s="33"/>
      <c r="L164" s="9" t="str">
        <f aca="false">IF(A164="","",A164&amp;"-"&amp;B164)</f>
        <v/>
      </c>
    </row>
    <row r="165" customFormat="false" ht="15" hidden="false" customHeight="false" outlineLevel="0" collapsed="false">
      <c r="A165" s="33"/>
      <c r="B165" s="9" t="str">
        <f aca="false">IF(A165="","",COUNTIF($A$4:A165,A165))</f>
        <v/>
      </c>
      <c r="C165" s="33"/>
      <c r="D165" s="33"/>
      <c r="E165" s="33"/>
      <c r="F165" s="33"/>
      <c r="G165" s="34"/>
      <c r="H165" s="33"/>
      <c r="I165" s="33"/>
      <c r="J165" s="35"/>
      <c r="K165" s="33"/>
      <c r="L165" s="9" t="str">
        <f aca="false">IF(A165="","",A165&amp;"-"&amp;B165)</f>
        <v/>
      </c>
    </row>
    <row r="166" customFormat="false" ht="15" hidden="false" customHeight="false" outlineLevel="0" collapsed="false">
      <c r="A166" s="33"/>
      <c r="B166" s="9" t="str">
        <f aca="false">IF(A166="","",COUNTIF($A$4:A166,A166))</f>
        <v/>
      </c>
      <c r="C166" s="33"/>
      <c r="D166" s="33"/>
      <c r="E166" s="33"/>
      <c r="F166" s="33"/>
      <c r="G166" s="34"/>
      <c r="H166" s="33"/>
      <c r="I166" s="33"/>
      <c r="J166" s="35"/>
      <c r="K166" s="33"/>
      <c r="L166" s="9" t="str">
        <f aca="false">IF(A166="","",A166&amp;"-"&amp;B166)</f>
        <v/>
      </c>
    </row>
    <row r="167" customFormat="false" ht="15" hidden="false" customHeight="false" outlineLevel="0" collapsed="false">
      <c r="A167" s="33"/>
      <c r="B167" s="9" t="str">
        <f aca="false">IF(A167="","",COUNTIF($A$4:A167,A167))</f>
        <v/>
      </c>
      <c r="C167" s="33"/>
      <c r="D167" s="33"/>
      <c r="E167" s="33"/>
      <c r="F167" s="33"/>
      <c r="G167" s="34"/>
      <c r="H167" s="33"/>
      <c r="I167" s="33"/>
      <c r="J167" s="35"/>
      <c r="K167" s="33"/>
      <c r="L167" s="9" t="str">
        <f aca="false">IF(A167="","",A167&amp;"-"&amp;B167)</f>
        <v/>
      </c>
    </row>
    <row r="168" customFormat="false" ht="15" hidden="false" customHeight="false" outlineLevel="0" collapsed="false">
      <c r="A168" s="33"/>
      <c r="B168" s="9" t="str">
        <f aca="false">IF(A168="","",COUNTIF($A$4:A168,A168))</f>
        <v/>
      </c>
      <c r="C168" s="33"/>
      <c r="D168" s="33"/>
      <c r="E168" s="33"/>
      <c r="F168" s="33"/>
      <c r="G168" s="34"/>
      <c r="H168" s="33"/>
      <c r="I168" s="33"/>
      <c r="J168" s="35"/>
      <c r="K168" s="33"/>
      <c r="L168" s="9" t="str">
        <f aca="false">IF(A168="","",A168&amp;"-"&amp;B168)</f>
        <v/>
      </c>
    </row>
    <row r="169" customFormat="false" ht="15" hidden="false" customHeight="false" outlineLevel="0" collapsed="false">
      <c r="A169" s="33"/>
      <c r="B169" s="9" t="str">
        <f aca="false">IF(A169="","",COUNTIF($A$4:A169,A169))</f>
        <v/>
      </c>
      <c r="C169" s="33"/>
      <c r="D169" s="33"/>
      <c r="E169" s="33"/>
      <c r="F169" s="33"/>
      <c r="G169" s="34"/>
      <c r="H169" s="33"/>
      <c r="I169" s="33"/>
      <c r="J169" s="35"/>
      <c r="K169" s="33"/>
      <c r="L169" s="9" t="str">
        <f aca="false">IF(A169="","",A169&amp;"-"&amp;B169)</f>
        <v/>
      </c>
    </row>
    <row r="170" customFormat="false" ht="15" hidden="false" customHeight="false" outlineLevel="0" collapsed="false">
      <c r="A170" s="33"/>
      <c r="B170" s="9" t="str">
        <f aca="false">IF(A170="","",COUNTIF($A$4:A170,A170))</f>
        <v/>
      </c>
      <c r="C170" s="33"/>
      <c r="D170" s="33"/>
      <c r="E170" s="33"/>
      <c r="F170" s="33"/>
      <c r="G170" s="34"/>
      <c r="H170" s="33"/>
      <c r="I170" s="33"/>
      <c r="J170" s="35"/>
      <c r="K170" s="33"/>
      <c r="L170" s="9" t="str">
        <f aca="false">IF(A170="","",A170&amp;"-"&amp;B170)</f>
        <v/>
      </c>
    </row>
    <row r="171" customFormat="false" ht="15" hidden="false" customHeight="false" outlineLevel="0" collapsed="false">
      <c r="A171" s="33"/>
      <c r="B171" s="9" t="str">
        <f aca="false">IF(A171="","",COUNTIF($A$4:A171,A171))</f>
        <v/>
      </c>
      <c r="C171" s="33"/>
      <c r="D171" s="33"/>
      <c r="E171" s="33"/>
      <c r="F171" s="33"/>
      <c r="G171" s="34"/>
      <c r="H171" s="33"/>
      <c r="I171" s="33"/>
      <c r="J171" s="35"/>
      <c r="K171" s="33"/>
      <c r="L171" s="9" t="str">
        <f aca="false">IF(A171="","",A171&amp;"-"&amp;B171)</f>
        <v/>
      </c>
    </row>
    <row r="172" customFormat="false" ht="15" hidden="false" customHeight="false" outlineLevel="0" collapsed="false">
      <c r="A172" s="33"/>
      <c r="B172" s="9" t="str">
        <f aca="false">IF(A172="","",COUNTIF($A$4:A172,A172))</f>
        <v/>
      </c>
      <c r="C172" s="33"/>
      <c r="D172" s="33"/>
      <c r="E172" s="33"/>
      <c r="F172" s="33"/>
      <c r="G172" s="34"/>
      <c r="H172" s="33"/>
      <c r="I172" s="33"/>
      <c r="J172" s="35"/>
      <c r="K172" s="33"/>
      <c r="L172" s="9" t="str">
        <f aca="false">IF(A172="","",A172&amp;"-"&amp;B172)</f>
        <v/>
      </c>
    </row>
    <row r="173" customFormat="false" ht="15" hidden="false" customHeight="false" outlineLevel="0" collapsed="false">
      <c r="A173" s="33"/>
      <c r="B173" s="9" t="str">
        <f aca="false">IF(A173="","",COUNTIF($A$4:A173,A173))</f>
        <v/>
      </c>
      <c r="C173" s="33"/>
      <c r="D173" s="33"/>
      <c r="E173" s="33"/>
      <c r="F173" s="33"/>
      <c r="G173" s="34"/>
      <c r="H173" s="33"/>
      <c r="I173" s="33"/>
      <c r="J173" s="35"/>
      <c r="K173" s="33"/>
      <c r="L173" s="9" t="str">
        <f aca="false">IF(A173="","",A173&amp;"-"&amp;B173)</f>
        <v/>
      </c>
    </row>
    <row r="174" customFormat="false" ht="15" hidden="false" customHeight="false" outlineLevel="0" collapsed="false">
      <c r="A174" s="33"/>
      <c r="B174" s="9" t="str">
        <f aca="false">IF(A174="","",COUNTIF($A$4:A174,A174))</f>
        <v/>
      </c>
      <c r="C174" s="33"/>
      <c r="D174" s="33"/>
      <c r="E174" s="33"/>
      <c r="F174" s="33"/>
      <c r="G174" s="34"/>
      <c r="H174" s="33"/>
      <c r="I174" s="33"/>
      <c r="J174" s="35"/>
      <c r="K174" s="33"/>
      <c r="L174" s="9" t="str">
        <f aca="false">IF(A174="","",A174&amp;"-"&amp;B174)</f>
        <v/>
      </c>
    </row>
    <row r="175" customFormat="false" ht="15" hidden="false" customHeight="false" outlineLevel="0" collapsed="false">
      <c r="A175" s="33"/>
      <c r="B175" s="9" t="str">
        <f aca="false">IF(A175="","",COUNTIF($A$4:A175,A175))</f>
        <v/>
      </c>
      <c r="C175" s="33"/>
      <c r="D175" s="33"/>
      <c r="E175" s="33"/>
      <c r="F175" s="33"/>
      <c r="G175" s="34"/>
      <c r="H175" s="33"/>
      <c r="I175" s="33"/>
      <c r="J175" s="35"/>
      <c r="K175" s="33"/>
      <c r="L175" s="9" t="str">
        <f aca="false">IF(A175="","",A175&amp;"-"&amp;B175)</f>
        <v/>
      </c>
    </row>
    <row r="176" customFormat="false" ht="15" hidden="false" customHeight="false" outlineLevel="0" collapsed="false">
      <c r="A176" s="33"/>
      <c r="B176" s="9" t="str">
        <f aca="false">IF(A176="","",COUNTIF($A$4:A176,A176))</f>
        <v/>
      </c>
      <c r="C176" s="33"/>
      <c r="D176" s="33"/>
      <c r="E176" s="33"/>
      <c r="F176" s="33"/>
      <c r="G176" s="34"/>
      <c r="H176" s="33"/>
      <c r="I176" s="33"/>
      <c r="J176" s="35"/>
      <c r="K176" s="33"/>
      <c r="L176" s="9" t="str">
        <f aca="false">IF(A176="","",A176&amp;"-"&amp;B176)</f>
        <v/>
      </c>
    </row>
    <row r="177" customFormat="false" ht="15" hidden="false" customHeight="false" outlineLevel="0" collapsed="false">
      <c r="A177" s="33"/>
      <c r="B177" s="9" t="str">
        <f aca="false">IF(A177="","",COUNTIF($A$4:A177,A177))</f>
        <v/>
      </c>
      <c r="C177" s="33"/>
      <c r="D177" s="33"/>
      <c r="E177" s="33"/>
      <c r="F177" s="33"/>
      <c r="G177" s="34"/>
      <c r="H177" s="33"/>
      <c r="I177" s="33"/>
      <c r="J177" s="35"/>
      <c r="K177" s="33"/>
      <c r="L177" s="9" t="str">
        <f aca="false">IF(A177="","",A177&amp;"-"&amp;B177)</f>
        <v/>
      </c>
    </row>
    <row r="178" customFormat="false" ht="15" hidden="false" customHeight="false" outlineLevel="0" collapsed="false">
      <c r="A178" s="33"/>
      <c r="B178" s="9" t="str">
        <f aca="false">IF(A178="","",COUNTIF($A$4:A178,A178))</f>
        <v/>
      </c>
      <c r="C178" s="33"/>
      <c r="D178" s="33"/>
      <c r="E178" s="33"/>
      <c r="F178" s="33"/>
      <c r="G178" s="34"/>
      <c r="H178" s="33"/>
      <c r="I178" s="33"/>
      <c r="J178" s="35"/>
      <c r="K178" s="33"/>
      <c r="L178" s="9" t="str">
        <f aca="false">IF(A178="","",A178&amp;"-"&amp;B178)</f>
        <v/>
      </c>
    </row>
    <row r="179" customFormat="false" ht="15" hidden="false" customHeight="false" outlineLevel="0" collapsed="false">
      <c r="A179" s="33"/>
      <c r="B179" s="9" t="str">
        <f aca="false">IF(A179="","",COUNTIF($A$4:A179,A179))</f>
        <v/>
      </c>
      <c r="C179" s="33"/>
      <c r="D179" s="33"/>
      <c r="E179" s="33"/>
      <c r="F179" s="33"/>
      <c r="G179" s="34"/>
      <c r="H179" s="33"/>
      <c r="I179" s="33"/>
      <c r="J179" s="35"/>
      <c r="K179" s="33"/>
      <c r="L179" s="9" t="str">
        <f aca="false">IF(A179="","",A179&amp;"-"&amp;B179)</f>
        <v/>
      </c>
    </row>
    <row r="180" customFormat="false" ht="15" hidden="false" customHeight="false" outlineLevel="0" collapsed="false">
      <c r="A180" s="33"/>
      <c r="B180" s="9" t="str">
        <f aca="false">IF(A180="","",COUNTIF($A$4:A180,A180))</f>
        <v/>
      </c>
      <c r="C180" s="33"/>
      <c r="D180" s="33"/>
      <c r="E180" s="33"/>
      <c r="F180" s="33"/>
      <c r="G180" s="34"/>
      <c r="H180" s="33"/>
      <c r="I180" s="33"/>
      <c r="J180" s="35"/>
      <c r="K180" s="33"/>
      <c r="L180" s="9" t="str">
        <f aca="false">IF(A180="","",A180&amp;"-"&amp;B180)</f>
        <v/>
      </c>
    </row>
    <row r="181" customFormat="false" ht="15" hidden="false" customHeight="false" outlineLevel="0" collapsed="false">
      <c r="A181" s="33"/>
      <c r="B181" s="9" t="str">
        <f aca="false">IF(A181="","",COUNTIF($A$4:A181,A181))</f>
        <v/>
      </c>
      <c r="C181" s="33"/>
      <c r="D181" s="33"/>
      <c r="E181" s="33"/>
      <c r="F181" s="33"/>
      <c r="G181" s="34"/>
      <c r="H181" s="33"/>
      <c r="I181" s="33"/>
      <c r="J181" s="35"/>
      <c r="K181" s="33"/>
      <c r="L181" s="9" t="str">
        <f aca="false">IF(A181="","",A181&amp;"-"&amp;B181)</f>
        <v/>
      </c>
    </row>
    <row r="182" customFormat="false" ht="15" hidden="false" customHeight="false" outlineLevel="0" collapsed="false">
      <c r="A182" s="33"/>
      <c r="B182" s="9" t="str">
        <f aca="false">IF(A182="","",COUNTIF($A$4:A182,A182))</f>
        <v/>
      </c>
      <c r="C182" s="33"/>
      <c r="D182" s="33"/>
      <c r="E182" s="33"/>
      <c r="F182" s="33"/>
      <c r="G182" s="34"/>
      <c r="H182" s="33"/>
      <c r="I182" s="33"/>
      <c r="J182" s="35"/>
      <c r="K182" s="33"/>
      <c r="L182" s="9" t="str">
        <f aca="false">IF(A182="","",A182&amp;"-"&amp;B182)</f>
        <v/>
      </c>
    </row>
    <row r="183" customFormat="false" ht="15" hidden="false" customHeight="false" outlineLevel="0" collapsed="false">
      <c r="A183" s="33"/>
      <c r="B183" s="9" t="str">
        <f aca="false">IF(A183="","",COUNTIF($A$4:A183,A183))</f>
        <v/>
      </c>
      <c r="C183" s="33"/>
      <c r="D183" s="33"/>
      <c r="E183" s="33"/>
      <c r="F183" s="33"/>
      <c r="G183" s="34"/>
      <c r="H183" s="33"/>
      <c r="I183" s="33"/>
      <c r="J183" s="35"/>
      <c r="K183" s="33"/>
      <c r="L183" s="9" t="str">
        <f aca="false">IF(A183="","",A183&amp;"-"&amp;B183)</f>
        <v/>
      </c>
    </row>
    <row r="184" customFormat="false" ht="15" hidden="false" customHeight="false" outlineLevel="0" collapsed="false">
      <c r="A184" s="33"/>
      <c r="B184" s="9" t="str">
        <f aca="false">IF(A184="","",COUNTIF($A$4:A184,A184))</f>
        <v/>
      </c>
      <c r="C184" s="33"/>
      <c r="D184" s="33"/>
      <c r="E184" s="33"/>
      <c r="F184" s="33"/>
      <c r="G184" s="34"/>
      <c r="H184" s="33"/>
      <c r="I184" s="33"/>
      <c r="J184" s="35"/>
      <c r="K184" s="33"/>
      <c r="L184" s="9" t="str">
        <f aca="false">IF(A184="","",A184&amp;"-"&amp;B184)</f>
        <v/>
      </c>
    </row>
    <row r="185" customFormat="false" ht="15" hidden="false" customHeight="false" outlineLevel="0" collapsed="false">
      <c r="A185" s="33"/>
      <c r="B185" s="9" t="str">
        <f aca="false">IF(A185="","",COUNTIF($A$4:A185,A185))</f>
        <v/>
      </c>
      <c r="C185" s="33"/>
      <c r="D185" s="33"/>
      <c r="E185" s="33"/>
      <c r="F185" s="33"/>
      <c r="G185" s="34"/>
      <c r="H185" s="33"/>
      <c r="I185" s="33"/>
      <c r="J185" s="35"/>
      <c r="K185" s="33"/>
      <c r="L185" s="9" t="str">
        <f aca="false">IF(A185="","",A185&amp;"-"&amp;B185)</f>
        <v/>
      </c>
    </row>
    <row r="186" customFormat="false" ht="15" hidden="false" customHeight="false" outlineLevel="0" collapsed="false">
      <c r="A186" s="33"/>
      <c r="B186" s="9" t="str">
        <f aca="false">IF(A186="","",COUNTIF($A$4:A186,A186))</f>
        <v/>
      </c>
      <c r="C186" s="33"/>
      <c r="D186" s="33"/>
      <c r="E186" s="33"/>
      <c r="F186" s="33"/>
      <c r="G186" s="34"/>
      <c r="H186" s="33"/>
      <c r="I186" s="33"/>
      <c r="J186" s="35"/>
      <c r="K186" s="33"/>
      <c r="L186" s="9" t="str">
        <f aca="false">IF(A186="","",A186&amp;"-"&amp;B186)</f>
        <v/>
      </c>
    </row>
    <row r="187" customFormat="false" ht="15" hidden="false" customHeight="false" outlineLevel="0" collapsed="false">
      <c r="A187" s="33"/>
      <c r="B187" s="9" t="str">
        <f aca="false">IF(A187="","",COUNTIF($A$4:A187,A187))</f>
        <v/>
      </c>
      <c r="C187" s="33"/>
      <c r="D187" s="33"/>
      <c r="E187" s="33"/>
      <c r="F187" s="33"/>
      <c r="G187" s="34"/>
      <c r="H187" s="33"/>
      <c r="I187" s="33"/>
      <c r="J187" s="35"/>
      <c r="K187" s="33"/>
      <c r="L187" s="9" t="str">
        <f aca="false">IF(A187="","",A187&amp;"-"&amp;B187)</f>
        <v/>
      </c>
    </row>
    <row r="188" customFormat="false" ht="15" hidden="false" customHeight="false" outlineLevel="0" collapsed="false">
      <c r="A188" s="33"/>
      <c r="B188" s="9" t="str">
        <f aca="false">IF(A188="","",COUNTIF($A$4:A188,A188))</f>
        <v/>
      </c>
      <c r="C188" s="33"/>
      <c r="D188" s="33"/>
      <c r="E188" s="33"/>
      <c r="F188" s="33"/>
      <c r="G188" s="34"/>
      <c r="H188" s="33"/>
      <c r="I188" s="33"/>
      <c r="J188" s="35"/>
      <c r="K188" s="33"/>
      <c r="L188" s="9" t="str">
        <f aca="false">IF(A188="","",A188&amp;"-"&amp;B188)</f>
        <v/>
      </c>
    </row>
    <row r="189" customFormat="false" ht="15" hidden="false" customHeight="false" outlineLevel="0" collapsed="false">
      <c r="A189" s="33"/>
      <c r="B189" s="9" t="str">
        <f aca="false">IF(A189="","",COUNTIF($A$4:A189,A189))</f>
        <v/>
      </c>
      <c r="C189" s="33"/>
      <c r="D189" s="33"/>
      <c r="E189" s="33"/>
      <c r="F189" s="33"/>
      <c r="G189" s="34"/>
      <c r="H189" s="33"/>
      <c r="I189" s="33"/>
      <c r="J189" s="35"/>
      <c r="K189" s="33"/>
      <c r="L189" s="9" t="str">
        <f aca="false">IF(A189="","",A189&amp;"-"&amp;B189)</f>
        <v/>
      </c>
    </row>
    <row r="190" customFormat="false" ht="15" hidden="false" customHeight="false" outlineLevel="0" collapsed="false">
      <c r="A190" s="33"/>
      <c r="B190" s="9" t="str">
        <f aca="false">IF(A190="","",COUNTIF($A$4:A190,A190))</f>
        <v/>
      </c>
      <c r="C190" s="33"/>
      <c r="D190" s="33"/>
      <c r="E190" s="33"/>
      <c r="F190" s="33"/>
      <c r="G190" s="34"/>
      <c r="H190" s="33"/>
      <c r="I190" s="33"/>
      <c r="J190" s="35"/>
      <c r="K190" s="33"/>
      <c r="L190" s="9" t="str">
        <f aca="false">IF(A190="","",A190&amp;"-"&amp;B190)</f>
        <v/>
      </c>
    </row>
    <row r="191" customFormat="false" ht="15" hidden="false" customHeight="false" outlineLevel="0" collapsed="false">
      <c r="A191" s="33"/>
      <c r="B191" s="9" t="str">
        <f aca="false">IF(A191="","",COUNTIF($A$4:A191,A191))</f>
        <v/>
      </c>
      <c r="C191" s="33"/>
      <c r="D191" s="33"/>
      <c r="E191" s="33"/>
      <c r="F191" s="33"/>
      <c r="G191" s="34"/>
      <c r="H191" s="33"/>
      <c r="I191" s="33"/>
      <c r="J191" s="35"/>
      <c r="K191" s="33"/>
      <c r="L191" s="9" t="str">
        <f aca="false">IF(A191="","",A191&amp;"-"&amp;B191)</f>
        <v/>
      </c>
    </row>
    <row r="192" customFormat="false" ht="15" hidden="false" customHeight="false" outlineLevel="0" collapsed="false">
      <c r="A192" s="33"/>
      <c r="B192" s="9" t="str">
        <f aca="false">IF(A192="","",COUNTIF($A$4:A192,A192))</f>
        <v/>
      </c>
      <c r="C192" s="33"/>
      <c r="D192" s="33"/>
      <c r="E192" s="33"/>
      <c r="F192" s="33"/>
      <c r="G192" s="34"/>
      <c r="H192" s="33"/>
      <c r="I192" s="33"/>
      <c r="J192" s="35"/>
      <c r="K192" s="33"/>
      <c r="L192" s="9" t="str">
        <f aca="false">IF(A192="","",A192&amp;"-"&amp;B192)</f>
        <v/>
      </c>
    </row>
    <row r="193" customFormat="false" ht="15" hidden="false" customHeight="false" outlineLevel="0" collapsed="false">
      <c r="A193" s="33"/>
      <c r="B193" s="9" t="str">
        <f aca="false">IF(A193="","",COUNTIF($A$4:A193,A193))</f>
        <v/>
      </c>
      <c r="C193" s="33"/>
      <c r="D193" s="33"/>
      <c r="E193" s="33"/>
      <c r="F193" s="33"/>
      <c r="G193" s="34"/>
      <c r="H193" s="33"/>
      <c r="I193" s="33"/>
      <c r="J193" s="35"/>
      <c r="K193" s="33"/>
      <c r="L193" s="9" t="str">
        <f aca="false">IF(A193="","",A193&amp;"-"&amp;B193)</f>
        <v/>
      </c>
    </row>
    <row r="194" customFormat="false" ht="15" hidden="false" customHeight="false" outlineLevel="0" collapsed="false">
      <c r="A194" s="33"/>
      <c r="B194" s="9" t="str">
        <f aca="false">IF(A194="","",COUNTIF($A$4:A194,A194))</f>
        <v/>
      </c>
      <c r="C194" s="33"/>
      <c r="D194" s="33"/>
      <c r="E194" s="33"/>
      <c r="F194" s="33"/>
      <c r="G194" s="34"/>
      <c r="H194" s="33"/>
      <c r="I194" s="33"/>
      <c r="J194" s="35"/>
      <c r="K194" s="33"/>
      <c r="L194" s="9" t="str">
        <f aca="false">IF(A194="","",A194&amp;"-"&amp;B194)</f>
        <v/>
      </c>
    </row>
    <row r="195" customFormat="false" ht="15" hidden="false" customHeight="false" outlineLevel="0" collapsed="false">
      <c r="A195" s="33"/>
      <c r="B195" s="9" t="str">
        <f aca="false">IF(A195="","",COUNTIF($A$4:A195,A195))</f>
        <v/>
      </c>
      <c r="C195" s="33"/>
      <c r="D195" s="33"/>
      <c r="E195" s="33"/>
      <c r="F195" s="33"/>
      <c r="G195" s="34"/>
      <c r="H195" s="33"/>
      <c r="I195" s="33"/>
      <c r="J195" s="35"/>
      <c r="K195" s="33"/>
      <c r="L195" s="9" t="str">
        <f aca="false">IF(A195="","",A195&amp;"-"&amp;B195)</f>
        <v/>
      </c>
    </row>
    <row r="196" customFormat="false" ht="15" hidden="false" customHeight="false" outlineLevel="0" collapsed="false">
      <c r="A196" s="33"/>
      <c r="B196" s="9" t="str">
        <f aca="false">IF(A196="","",COUNTIF($A$4:A196,A196))</f>
        <v/>
      </c>
      <c r="C196" s="33"/>
      <c r="D196" s="33"/>
      <c r="E196" s="33"/>
      <c r="F196" s="33"/>
      <c r="G196" s="34"/>
      <c r="H196" s="33"/>
      <c r="I196" s="33"/>
      <c r="J196" s="35"/>
      <c r="K196" s="33"/>
      <c r="L196" s="9" t="str">
        <f aca="false">IF(A196="","",A196&amp;"-"&amp;B196)</f>
        <v/>
      </c>
    </row>
    <row r="197" customFormat="false" ht="15" hidden="false" customHeight="false" outlineLevel="0" collapsed="false">
      <c r="A197" s="33"/>
      <c r="B197" s="9" t="str">
        <f aca="false">IF(A197="","",COUNTIF($A$4:A197,A197))</f>
        <v/>
      </c>
      <c r="C197" s="33"/>
      <c r="D197" s="33"/>
      <c r="E197" s="33"/>
      <c r="F197" s="33"/>
      <c r="G197" s="34"/>
      <c r="H197" s="33"/>
      <c r="I197" s="33"/>
      <c r="J197" s="35"/>
      <c r="K197" s="33"/>
      <c r="L197" s="9" t="str">
        <f aca="false">IF(A197="","",A197&amp;"-"&amp;B197)</f>
        <v/>
      </c>
    </row>
    <row r="198" customFormat="false" ht="15" hidden="false" customHeight="false" outlineLevel="0" collapsed="false">
      <c r="A198" s="33"/>
      <c r="B198" s="9" t="str">
        <f aca="false">IF(A198="","",COUNTIF($A$4:A198,A198))</f>
        <v/>
      </c>
      <c r="C198" s="33"/>
      <c r="D198" s="33"/>
      <c r="E198" s="33"/>
      <c r="F198" s="33"/>
      <c r="G198" s="34"/>
      <c r="H198" s="33"/>
      <c r="I198" s="33"/>
      <c r="J198" s="35"/>
      <c r="K198" s="33"/>
      <c r="L198" s="9" t="str">
        <f aca="false">IF(A198="","",A198&amp;"-"&amp;B198)</f>
        <v/>
      </c>
    </row>
    <row r="199" customFormat="false" ht="15" hidden="false" customHeight="false" outlineLevel="0" collapsed="false">
      <c r="A199" s="33"/>
      <c r="B199" s="9" t="str">
        <f aca="false">IF(A199="","",COUNTIF($A$4:A199,A199))</f>
        <v/>
      </c>
      <c r="C199" s="33"/>
      <c r="D199" s="33"/>
      <c r="E199" s="33"/>
      <c r="F199" s="33"/>
      <c r="G199" s="34"/>
      <c r="H199" s="33"/>
      <c r="I199" s="33"/>
      <c r="J199" s="35"/>
      <c r="K199" s="33"/>
      <c r="L199" s="9" t="str">
        <f aca="false">IF(A199="","",A199&amp;"-"&amp;B199)</f>
        <v/>
      </c>
    </row>
    <row r="200" customFormat="false" ht="15" hidden="false" customHeight="false" outlineLevel="0" collapsed="false">
      <c r="A200" s="33"/>
      <c r="B200" s="9" t="str">
        <f aca="false">IF(A200="","",COUNTIF($A$4:A200,A200))</f>
        <v/>
      </c>
      <c r="C200" s="33"/>
      <c r="D200" s="33"/>
      <c r="E200" s="33"/>
      <c r="F200" s="33"/>
      <c r="G200" s="34"/>
      <c r="H200" s="33"/>
      <c r="I200" s="33"/>
      <c r="J200" s="35"/>
      <c r="K200" s="33"/>
      <c r="L200" s="9" t="str">
        <f aca="false">IF(A200="","",A200&amp;"-"&amp;B200)</f>
        <v/>
      </c>
    </row>
    <row r="201" customFormat="false" ht="15" hidden="false" customHeight="false" outlineLevel="0" collapsed="false">
      <c r="A201" s="33"/>
      <c r="B201" s="9" t="str">
        <f aca="false">IF(A201="","",COUNTIF($A$4:A201,A201))</f>
        <v/>
      </c>
      <c r="C201" s="33"/>
      <c r="D201" s="33"/>
      <c r="E201" s="33"/>
      <c r="F201" s="33"/>
      <c r="G201" s="34"/>
      <c r="H201" s="33"/>
      <c r="I201" s="33"/>
      <c r="J201" s="35"/>
      <c r="K201" s="33"/>
      <c r="L201" s="9" t="str">
        <f aca="false">IF(A201="","",A201&amp;"-"&amp;B201)</f>
        <v/>
      </c>
    </row>
    <row r="202" customFormat="false" ht="15" hidden="false" customHeight="false" outlineLevel="0" collapsed="false">
      <c r="A202" s="33"/>
      <c r="B202" s="9" t="str">
        <f aca="false">IF(A202="","",COUNTIF($A$4:A202,A202))</f>
        <v/>
      </c>
      <c r="C202" s="33"/>
      <c r="D202" s="33"/>
      <c r="E202" s="33"/>
      <c r="F202" s="33"/>
      <c r="G202" s="34"/>
      <c r="H202" s="33"/>
      <c r="I202" s="33"/>
      <c r="J202" s="35"/>
      <c r="K202" s="33"/>
      <c r="L202" s="9" t="str">
        <f aca="false">IF(A202="","",A202&amp;"-"&amp;B202)</f>
        <v/>
      </c>
    </row>
    <row r="203" customFormat="false" ht="15" hidden="false" customHeight="false" outlineLevel="0" collapsed="false">
      <c r="A203" s="33"/>
      <c r="B203" s="9" t="str">
        <f aca="false">IF(A203="","",COUNTIF($A$4:A203,A203))</f>
        <v/>
      </c>
      <c r="C203" s="33"/>
      <c r="D203" s="33"/>
      <c r="E203" s="33"/>
      <c r="F203" s="33"/>
      <c r="G203" s="34"/>
      <c r="H203" s="33"/>
      <c r="I203" s="33"/>
      <c r="J203" s="35"/>
      <c r="K203" s="33"/>
      <c r="L203" s="9" t="str">
        <f aca="false">IF(A203="","",A203&amp;"-"&amp;B203)</f>
        <v/>
      </c>
    </row>
    <row r="204" customFormat="false" ht="15" hidden="false" customHeight="false" outlineLevel="0" collapsed="false">
      <c r="A204" s="33"/>
      <c r="B204" s="9" t="str">
        <f aca="false">IF(A204="","",COUNTIF($A$4:A204,A204))</f>
        <v/>
      </c>
      <c r="C204" s="33"/>
      <c r="D204" s="33"/>
      <c r="E204" s="33"/>
      <c r="F204" s="33"/>
      <c r="G204" s="34"/>
      <c r="H204" s="33"/>
      <c r="I204" s="33"/>
      <c r="J204" s="35"/>
      <c r="K204" s="33"/>
      <c r="L204" s="9" t="str">
        <f aca="false">IF(A204="","",A204&amp;"-"&amp;B204)</f>
        <v/>
      </c>
    </row>
    <row r="205" customFormat="false" ht="15" hidden="false" customHeight="false" outlineLevel="0" collapsed="false">
      <c r="A205" s="33"/>
      <c r="B205" s="9" t="str">
        <f aca="false">IF(A205="","",COUNTIF($A$4:A205,A205))</f>
        <v/>
      </c>
      <c r="C205" s="33"/>
      <c r="D205" s="33"/>
      <c r="E205" s="33"/>
      <c r="F205" s="33"/>
      <c r="G205" s="34"/>
      <c r="H205" s="33"/>
      <c r="I205" s="33"/>
      <c r="J205" s="35"/>
      <c r="K205" s="33"/>
      <c r="L205" s="9" t="str">
        <f aca="false">IF(A205="","",A205&amp;"-"&amp;B205)</f>
        <v/>
      </c>
    </row>
    <row r="206" customFormat="false" ht="15" hidden="false" customHeight="false" outlineLevel="0" collapsed="false">
      <c r="A206" s="33"/>
      <c r="B206" s="9" t="str">
        <f aca="false">IF(A206="","",COUNTIF($A$4:A206,A206))</f>
        <v/>
      </c>
      <c r="C206" s="33"/>
      <c r="D206" s="33"/>
      <c r="E206" s="33"/>
      <c r="F206" s="33"/>
      <c r="G206" s="34"/>
      <c r="H206" s="33"/>
      <c r="I206" s="33"/>
      <c r="J206" s="35"/>
      <c r="K206" s="33"/>
      <c r="L206" s="9" t="str">
        <f aca="false">IF(A206="","",A206&amp;"-"&amp;B206)</f>
        <v/>
      </c>
    </row>
    <row r="207" customFormat="false" ht="15" hidden="false" customHeight="false" outlineLevel="0" collapsed="false">
      <c r="A207" s="33"/>
      <c r="B207" s="9" t="str">
        <f aca="false">IF(A207="","",COUNTIF($A$4:A207,A207))</f>
        <v/>
      </c>
      <c r="C207" s="33"/>
      <c r="D207" s="33"/>
      <c r="E207" s="33"/>
      <c r="F207" s="33"/>
      <c r="G207" s="34"/>
      <c r="H207" s="33"/>
      <c r="I207" s="33"/>
      <c r="J207" s="35"/>
      <c r="K207" s="33"/>
      <c r="L207" s="9" t="str">
        <f aca="false">IF(A207="","",A207&amp;"-"&amp;B207)</f>
        <v/>
      </c>
    </row>
    <row r="208" customFormat="false" ht="15" hidden="false" customHeight="false" outlineLevel="0" collapsed="false">
      <c r="A208" s="33"/>
      <c r="B208" s="9" t="str">
        <f aca="false">IF(A208="","",COUNTIF($A$4:A208,A208))</f>
        <v/>
      </c>
      <c r="C208" s="33"/>
      <c r="D208" s="33"/>
      <c r="E208" s="33"/>
      <c r="F208" s="33"/>
      <c r="G208" s="34"/>
      <c r="H208" s="33"/>
      <c r="I208" s="33"/>
      <c r="J208" s="35"/>
      <c r="K208" s="33"/>
      <c r="L208" s="9" t="str">
        <f aca="false">IF(A208="","",A208&amp;"-"&amp;B208)</f>
        <v/>
      </c>
    </row>
    <row r="209" customFormat="false" ht="15" hidden="false" customHeight="false" outlineLevel="0" collapsed="false">
      <c r="A209" s="33"/>
      <c r="B209" s="9" t="str">
        <f aca="false">IF(A209="","",COUNTIF($A$4:A209,A209))</f>
        <v/>
      </c>
      <c r="C209" s="33"/>
      <c r="D209" s="33"/>
      <c r="E209" s="33"/>
      <c r="F209" s="33"/>
      <c r="G209" s="34"/>
      <c r="H209" s="33"/>
      <c r="I209" s="33"/>
      <c r="J209" s="35"/>
      <c r="K209" s="33"/>
      <c r="L209" s="9" t="str">
        <f aca="false">IF(A209="","",A209&amp;"-"&amp;B209)</f>
        <v/>
      </c>
    </row>
    <row r="210" customFormat="false" ht="15" hidden="false" customHeight="false" outlineLevel="0" collapsed="false">
      <c r="A210" s="33"/>
      <c r="B210" s="9" t="str">
        <f aca="false">IF(A210="","",COUNTIF($A$4:A210,A210))</f>
        <v/>
      </c>
      <c r="C210" s="33"/>
      <c r="D210" s="33"/>
      <c r="E210" s="33"/>
      <c r="F210" s="33"/>
      <c r="G210" s="34"/>
      <c r="H210" s="33"/>
      <c r="I210" s="33"/>
      <c r="J210" s="35"/>
      <c r="K210" s="33"/>
      <c r="L210" s="9" t="str">
        <f aca="false">IF(A210="","",A210&amp;"-"&amp;B210)</f>
        <v/>
      </c>
    </row>
    <row r="211" customFormat="false" ht="15" hidden="false" customHeight="false" outlineLevel="0" collapsed="false">
      <c r="A211" s="33"/>
      <c r="B211" s="9" t="str">
        <f aca="false">IF(A211="","",COUNTIF($A$4:A211,A211))</f>
        <v/>
      </c>
      <c r="C211" s="33"/>
      <c r="D211" s="33"/>
      <c r="E211" s="33"/>
      <c r="F211" s="33"/>
      <c r="G211" s="34"/>
      <c r="H211" s="33"/>
      <c r="I211" s="33"/>
      <c r="J211" s="35"/>
      <c r="K211" s="33"/>
      <c r="L211" s="9" t="str">
        <f aca="false">IF(A211="","",A211&amp;"-"&amp;B211)</f>
        <v/>
      </c>
    </row>
    <row r="212" customFormat="false" ht="15" hidden="false" customHeight="false" outlineLevel="0" collapsed="false">
      <c r="A212" s="33"/>
      <c r="B212" s="9" t="str">
        <f aca="false">IF(A212="","",COUNTIF($A$4:A212,A212))</f>
        <v/>
      </c>
      <c r="C212" s="33"/>
      <c r="D212" s="33"/>
      <c r="E212" s="33"/>
      <c r="F212" s="33"/>
      <c r="G212" s="34"/>
      <c r="H212" s="33"/>
      <c r="I212" s="33"/>
      <c r="J212" s="35"/>
      <c r="K212" s="33"/>
      <c r="L212" s="9" t="str">
        <f aca="false">IF(A212="","",A212&amp;"-"&amp;B212)</f>
        <v/>
      </c>
    </row>
    <row r="213" customFormat="false" ht="15" hidden="false" customHeight="false" outlineLevel="0" collapsed="false">
      <c r="A213" s="33"/>
      <c r="B213" s="9" t="str">
        <f aca="false">IF(A213="","",COUNTIF($A$4:A213,A213))</f>
        <v/>
      </c>
      <c r="C213" s="33"/>
      <c r="D213" s="33"/>
      <c r="E213" s="33"/>
      <c r="F213" s="33"/>
      <c r="G213" s="34"/>
      <c r="H213" s="33"/>
      <c r="I213" s="33"/>
      <c r="J213" s="35"/>
      <c r="K213" s="33"/>
      <c r="L213" s="9" t="str">
        <f aca="false">IF(A213="","",A213&amp;"-"&amp;B213)</f>
        <v/>
      </c>
    </row>
    <row r="214" customFormat="false" ht="15" hidden="false" customHeight="false" outlineLevel="0" collapsed="false">
      <c r="A214" s="33"/>
      <c r="B214" s="9" t="str">
        <f aca="false">IF(A214="","",COUNTIF($A$4:A214,A214))</f>
        <v/>
      </c>
      <c r="C214" s="33"/>
      <c r="D214" s="33"/>
      <c r="E214" s="33"/>
      <c r="F214" s="33"/>
      <c r="G214" s="34"/>
      <c r="H214" s="33"/>
      <c r="I214" s="33"/>
      <c r="J214" s="35"/>
      <c r="K214" s="33"/>
      <c r="L214" s="9" t="str">
        <f aca="false">IF(A214="","",A214&amp;"-"&amp;B214)</f>
        <v/>
      </c>
    </row>
    <row r="215" customFormat="false" ht="15" hidden="false" customHeight="false" outlineLevel="0" collapsed="false">
      <c r="A215" s="33"/>
      <c r="B215" s="9" t="str">
        <f aca="false">IF(A215="","",COUNTIF($A$4:A215,A215))</f>
        <v/>
      </c>
      <c r="C215" s="33"/>
      <c r="D215" s="33"/>
      <c r="E215" s="33"/>
      <c r="F215" s="33"/>
      <c r="G215" s="34"/>
      <c r="H215" s="33"/>
      <c r="I215" s="33"/>
      <c r="J215" s="35"/>
      <c r="K215" s="33"/>
      <c r="L215" s="9" t="str">
        <f aca="false">IF(A215="","",A215&amp;"-"&amp;B215)</f>
        <v/>
      </c>
    </row>
    <row r="216" customFormat="false" ht="15" hidden="false" customHeight="false" outlineLevel="0" collapsed="false">
      <c r="A216" s="33"/>
      <c r="B216" s="9" t="str">
        <f aca="false">IF(A216="","",COUNTIF($A$4:A216,A216))</f>
        <v/>
      </c>
      <c r="C216" s="33"/>
      <c r="D216" s="33"/>
      <c r="E216" s="33"/>
      <c r="F216" s="33"/>
      <c r="G216" s="34"/>
      <c r="H216" s="33"/>
      <c r="I216" s="33"/>
      <c r="J216" s="35"/>
      <c r="K216" s="33"/>
      <c r="L216" s="9" t="str">
        <f aca="false">IF(A216="","",A216&amp;"-"&amp;B216)</f>
        <v/>
      </c>
    </row>
    <row r="217" customFormat="false" ht="15" hidden="false" customHeight="false" outlineLevel="0" collapsed="false">
      <c r="A217" s="33"/>
      <c r="B217" s="9" t="str">
        <f aca="false">IF(A217="","",COUNTIF($A$4:A217,A217))</f>
        <v/>
      </c>
      <c r="C217" s="33"/>
      <c r="D217" s="33"/>
      <c r="E217" s="33"/>
      <c r="F217" s="33"/>
      <c r="G217" s="34"/>
      <c r="H217" s="33"/>
      <c r="I217" s="33"/>
      <c r="J217" s="35"/>
      <c r="K217" s="33"/>
      <c r="L217" s="9" t="str">
        <f aca="false">IF(A217="","",A217&amp;"-"&amp;B217)</f>
        <v/>
      </c>
    </row>
    <row r="218" customFormat="false" ht="15" hidden="false" customHeight="false" outlineLevel="0" collapsed="false">
      <c r="A218" s="33"/>
      <c r="B218" s="9" t="str">
        <f aca="false">IF(A218="","",COUNTIF($A$4:A218,A218))</f>
        <v/>
      </c>
      <c r="C218" s="33"/>
      <c r="D218" s="33"/>
      <c r="E218" s="33"/>
      <c r="F218" s="33"/>
      <c r="G218" s="34"/>
      <c r="H218" s="33"/>
      <c r="I218" s="33"/>
      <c r="J218" s="35"/>
      <c r="K218" s="33"/>
      <c r="L218" s="9" t="str">
        <f aca="false">IF(A218="","",A218&amp;"-"&amp;B218)</f>
        <v/>
      </c>
    </row>
    <row r="219" customFormat="false" ht="15" hidden="false" customHeight="false" outlineLevel="0" collapsed="false">
      <c r="A219" s="33"/>
      <c r="B219" s="9" t="str">
        <f aca="false">IF(A219="","",COUNTIF($A$4:A219,A219))</f>
        <v/>
      </c>
      <c r="C219" s="33"/>
      <c r="D219" s="33"/>
      <c r="E219" s="33"/>
      <c r="F219" s="33"/>
      <c r="G219" s="34"/>
      <c r="H219" s="33"/>
      <c r="I219" s="33"/>
      <c r="J219" s="35"/>
      <c r="K219" s="33"/>
      <c r="L219" s="9" t="str">
        <f aca="false">IF(A219="","",A219&amp;"-"&amp;B219)</f>
        <v/>
      </c>
    </row>
    <row r="220" customFormat="false" ht="15" hidden="false" customHeight="false" outlineLevel="0" collapsed="false">
      <c r="A220" s="33"/>
      <c r="B220" s="9" t="str">
        <f aca="false">IF(A220="","",COUNTIF($A$4:A220,A220))</f>
        <v/>
      </c>
      <c r="C220" s="33"/>
      <c r="D220" s="33"/>
      <c r="E220" s="33"/>
      <c r="F220" s="33"/>
      <c r="G220" s="34"/>
      <c r="H220" s="33"/>
      <c r="I220" s="33"/>
      <c r="J220" s="35"/>
      <c r="K220" s="33"/>
      <c r="L220" s="9" t="str">
        <f aca="false">IF(A220="","",A220&amp;"-"&amp;B220)</f>
        <v/>
      </c>
    </row>
    <row r="221" customFormat="false" ht="15" hidden="false" customHeight="false" outlineLevel="0" collapsed="false">
      <c r="A221" s="33"/>
      <c r="B221" s="9" t="str">
        <f aca="false">IF(A221="","",COUNTIF($A$4:A221,A221))</f>
        <v/>
      </c>
      <c r="C221" s="33"/>
      <c r="D221" s="33"/>
      <c r="E221" s="33"/>
      <c r="F221" s="33"/>
      <c r="G221" s="34"/>
      <c r="H221" s="33"/>
      <c r="I221" s="33"/>
      <c r="J221" s="35"/>
      <c r="K221" s="33"/>
      <c r="L221" s="9" t="str">
        <f aca="false">IF(A221="","",A221&amp;"-"&amp;B221)</f>
        <v/>
      </c>
    </row>
    <row r="222" customFormat="false" ht="15" hidden="false" customHeight="false" outlineLevel="0" collapsed="false">
      <c r="A222" s="33"/>
      <c r="B222" s="9" t="str">
        <f aca="false">IF(A222="","",COUNTIF($A$4:A222,A222))</f>
        <v/>
      </c>
      <c r="C222" s="33"/>
      <c r="D222" s="33"/>
      <c r="E222" s="33"/>
      <c r="F222" s="33"/>
      <c r="G222" s="34"/>
      <c r="H222" s="33"/>
      <c r="I222" s="33"/>
      <c r="J222" s="35"/>
      <c r="K222" s="33"/>
      <c r="L222" s="9" t="str">
        <f aca="false">IF(A222="","",A222&amp;"-"&amp;B222)</f>
        <v/>
      </c>
    </row>
    <row r="223" customFormat="false" ht="15" hidden="false" customHeight="false" outlineLevel="0" collapsed="false">
      <c r="A223" s="33"/>
      <c r="B223" s="9" t="str">
        <f aca="false">IF(A223="","",COUNTIF($A$4:A223,A223))</f>
        <v/>
      </c>
      <c r="C223" s="33"/>
      <c r="D223" s="33"/>
      <c r="E223" s="33"/>
      <c r="F223" s="33"/>
      <c r="G223" s="34"/>
      <c r="H223" s="33"/>
      <c r="I223" s="33"/>
      <c r="J223" s="35"/>
      <c r="K223" s="33"/>
      <c r="L223" s="9" t="str">
        <f aca="false">IF(A223="","",A223&amp;"-"&amp;B223)</f>
        <v/>
      </c>
    </row>
    <row r="224" customFormat="false" ht="15" hidden="false" customHeight="false" outlineLevel="0" collapsed="false">
      <c r="A224" s="33"/>
      <c r="B224" s="9" t="str">
        <f aca="false">IF(A224="","",COUNTIF($A$4:A224,A224))</f>
        <v/>
      </c>
      <c r="C224" s="33"/>
      <c r="D224" s="33"/>
      <c r="E224" s="33"/>
      <c r="F224" s="33"/>
      <c r="G224" s="34"/>
      <c r="H224" s="33"/>
      <c r="I224" s="33"/>
      <c r="J224" s="35"/>
      <c r="K224" s="33"/>
      <c r="L224" s="9" t="str">
        <f aca="false">IF(A224="","",A224&amp;"-"&amp;B224)</f>
        <v/>
      </c>
    </row>
    <row r="225" customFormat="false" ht="15" hidden="false" customHeight="false" outlineLevel="0" collapsed="false">
      <c r="A225" s="33"/>
      <c r="B225" s="9" t="str">
        <f aca="false">IF(A225="","",COUNTIF($A$4:A225,A225))</f>
        <v/>
      </c>
      <c r="C225" s="33"/>
      <c r="D225" s="33"/>
      <c r="E225" s="33"/>
      <c r="F225" s="33"/>
      <c r="G225" s="34"/>
      <c r="H225" s="33"/>
      <c r="I225" s="33"/>
      <c r="J225" s="35"/>
      <c r="K225" s="33"/>
      <c r="L225" s="9" t="str">
        <f aca="false">IF(A225="","",A225&amp;"-"&amp;B225)</f>
        <v/>
      </c>
    </row>
    <row r="226" customFormat="false" ht="15" hidden="false" customHeight="false" outlineLevel="0" collapsed="false">
      <c r="A226" s="33"/>
      <c r="B226" s="9" t="str">
        <f aca="false">IF(A226="","",COUNTIF($A$4:A226,A226))</f>
        <v/>
      </c>
      <c r="C226" s="33"/>
      <c r="D226" s="33"/>
      <c r="E226" s="33"/>
      <c r="F226" s="33"/>
      <c r="G226" s="34"/>
      <c r="H226" s="33"/>
      <c r="I226" s="33"/>
      <c r="J226" s="35"/>
      <c r="K226" s="33"/>
      <c r="L226" s="9" t="str">
        <f aca="false">IF(A226="","",A226&amp;"-"&amp;B226)</f>
        <v/>
      </c>
    </row>
    <row r="227" customFormat="false" ht="15" hidden="false" customHeight="false" outlineLevel="0" collapsed="false">
      <c r="A227" s="33"/>
      <c r="B227" s="9" t="str">
        <f aca="false">IF(A227="","",COUNTIF($A$4:A227,A227))</f>
        <v/>
      </c>
      <c r="C227" s="33"/>
      <c r="D227" s="33"/>
      <c r="E227" s="33"/>
      <c r="F227" s="33"/>
      <c r="G227" s="34"/>
      <c r="H227" s="33"/>
      <c r="I227" s="33"/>
      <c r="J227" s="35"/>
      <c r="K227" s="33"/>
      <c r="L227" s="9" t="str">
        <f aca="false">IF(A227="","",A227&amp;"-"&amp;B227)</f>
        <v/>
      </c>
    </row>
    <row r="228" customFormat="false" ht="15" hidden="false" customHeight="false" outlineLevel="0" collapsed="false">
      <c r="A228" s="33"/>
      <c r="B228" s="9" t="str">
        <f aca="false">IF(A228="","",COUNTIF($A$4:A228,A228))</f>
        <v/>
      </c>
      <c r="C228" s="33"/>
      <c r="D228" s="33"/>
      <c r="E228" s="33"/>
      <c r="F228" s="33"/>
      <c r="G228" s="34"/>
      <c r="H228" s="33"/>
      <c r="I228" s="33"/>
      <c r="J228" s="35"/>
      <c r="K228" s="33"/>
      <c r="L228" s="9" t="str">
        <f aca="false">IF(A228="","",A228&amp;"-"&amp;B228)</f>
        <v/>
      </c>
    </row>
    <row r="229" customFormat="false" ht="15" hidden="false" customHeight="false" outlineLevel="0" collapsed="false">
      <c r="A229" s="33"/>
      <c r="B229" s="9" t="str">
        <f aca="false">IF(A229="","",COUNTIF($A$4:A229,A229))</f>
        <v/>
      </c>
      <c r="C229" s="33"/>
      <c r="D229" s="33"/>
      <c r="E229" s="33"/>
      <c r="F229" s="33"/>
      <c r="G229" s="34"/>
      <c r="H229" s="33"/>
      <c r="I229" s="33"/>
      <c r="J229" s="35"/>
      <c r="K229" s="33"/>
      <c r="L229" s="9" t="str">
        <f aca="false">IF(A229="","",A229&amp;"-"&amp;B229)</f>
        <v/>
      </c>
    </row>
    <row r="230" customFormat="false" ht="15" hidden="false" customHeight="false" outlineLevel="0" collapsed="false">
      <c r="A230" s="33"/>
      <c r="B230" s="9" t="str">
        <f aca="false">IF(A230="","",COUNTIF($A$4:A230,A230))</f>
        <v/>
      </c>
      <c r="C230" s="33"/>
      <c r="D230" s="33"/>
      <c r="E230" s="33"/>
      <c r="F230" s="33"/>
      <c r="G230" s="34"/>
      <c r="H230" s="33"/>
      <c r="I230" s="33"/>
      <c r="J230" s="35"/>
      <c r="K230" s="33"/>
      <c r="L230" s="9" t="str">
        <f aca="false">IF(A230="","",A230&amp;"-"&amp;B230)</f>
        <v/>
      </c>
    </row>
    <row r="231" customFormat="false" ht="15" hidden="false" customHeight="false" outlineLevel="0" collapsed="false">
      <c r="A231" s="33"/>
      <c r="B231" s="9" t="str">
        <f aca="false">IF(A231="","",COUNTIF($A$4:A231,A231))</f>
        <v/>
      </c>
      <c r="C231" s="33"/>
      <c r="D231" s="33"/>
      <c r="E231" s="33"/>
      <c r="F231" s="33"/>
      <c r="G231" s="34"/>
      <c r="H231" s="33"/>
      <c r="I231" s="33"/>
      <c r="J231" s="35"/>
      <c r="K231" s="33"/>
      <c r="L231" s="9" t="str">
        <f aca="false">IF(A231="","",A231&amp;"-"&amp;B231)</f>
        <v/>
      </c>
    </row>
    <row r="232" customFormat="false" ht="15" hidden="false" customHeight="false" outlineLevel="0" collapsed="false">
      <c r="A232" s="33"/>
      <c r="B232" s="9" t="str">
        <f aca="false">IF(A232="","",COUNTIF($A$4:A232,A232))</f>
        <v/>
      </c>
      <c r="C232" s="33"/>
      <c r="D232" s="33"/>
      <c r="E232" s="33"/>
      <c r="F232" s="33"/>
      <c r="G232" s="34"/>
      <c r="H232" s="33"/>
      <c r="I232" s="33"/>
      <c r="J232" s="35"/>
      <c r="K232" s="33"/>
      <c r="L232" s="9" t="str">
        <f aca="false">IF(A232="","",A232&amp;"-"&amp;B232)</f>
        <v/>
      </c>
    </row>
    <row r="233" customFormat="false" ht="15" hidden="false" customHeight="false" outlineLevel="0" collapsed="false">
      <c r="A233" s="33"/>
      <c r="B233" s="9" t="str">
        <f aca="false">IF(A233="","",COUNTIF($A$4:A233,A233))</f>
        <v/>
      </c>
      <c r="C233" s="33"/>
      <c r="D233" s="33"/>
      <c r="E233" s="33"/>
      <c r="F233" s="33"/>
      <c r="G233" s="34"/>
      <c r="H233" s="33"/>
      <c r="I233" s="33"/>
      <c r="J233" s="35"/>
      <c r="K233" s="33"/>
      <c r="L233" s="9" t="str">
        <f aca="false">IF(A233="","",A233&amp;"-"&amp;B233)</f>
        <v/>
      </c>
    </row>
    <row r="234" customFormat="false" ht="15" hidden="false" customHeight="false" outlineLevel="0" collapsed="false">
      <c r="A234" s="33"/>
      <c r="B234" s="9" t="str">
        <f aca="false">IF(A234="","",COUNTIF($A$4:A234,A234))</f>
        <v/>
      </c>
      <c r="C234" s="33"/>
      <c r="D234" s="33"/>
      <c r="E234" s="33"/>
      <c r="F234" s="33"/>
      <c r="G234" s="34"/>
      <c r="H234" s="33"/>
      <c r="I234" s="33"/>
      <c r="J234" s="35"/>
      <c r="K234" s="33"/>
      <c r="L234" s="9" t="str">
        <f aca="false">IF(A234="","",A234&amp;"-"&amp;B234)</f>
        <v/>
      </c>
    </row>
    <row r="235" customFormat="false" ht="15" hidden="false" customHeight="false" outlineLevel="0" collapsed="false">
      <c r="A235" s="33"/>
      <c r="B235" s="9" t="str">
        <f aca="false">IF(A235="","",COUNTIF($A$4:A235,A235))</f>
        <v/>
      </c>
      <c r="C235" s="33"/>
      <c r="D235" s="33"/>
      <c r="E235" s="33"/>
      <c r="F235" s="33"/>
      <c r="G235" s="34"/>
      <c r="H235" s="33"/>
      <c r="I235" s="33"/>
      <c r="J235" s="35"/>
      <c r="K235" s="33"/>
      <c r="L235" s="9" t="str">
        <f aca="false">IF(A235="","",A235&amp;"-"&amp;B235)</f>
        <v/>
      </c>
    </row>
    <row r="236" customFormat="false" ht="15" hidden="false" customHeight="false" outlineLevel="0" collapsed="false">
      <c r="A236" s="33"/>
      <c r="B236" s="9" t="str">
        <f aca="false">IF(A236="","",COUNTIF($A$4:A236,A236))</f>
        <v/>
      </c>
      <c r="C236" s="33"/>
      <c r="D236" s="33"/>
      <c r="E236" s="33"/>
      <c r="F236" s="33"/>
      <c r="G236" s="34"/>
      <c r="H236" s="33"/>
      <c r="I236" s="33"/>
      <c r="J236" s="35"/>
      <c r="K236" s="33"/>
      <c r="L236" s="9" t="str">
        <f aca="false">IF(A236="","",A236&amp;"-"&amp;B236)</f>
        <v/>
      </c>
    </row>
    <row r="237" customFormat="false" ht="15" hidden="false" customHeight="false" outlineLevel="0" collapsed="false">
      <c r="A237" s="33"/>
      <c r="B237" s="9" t="str">
        <f aca="false">IF(A237="","",COUNTIF($A$4:A237,A237))</f>
        <v/>
      </c>
      <c r="C237" s="33"/>
      <c r="D237" s="33"/>
      <c r="E237" s="33"/>
      <c r="F237" s="33"/>
      <c r="G237" s="34"/>
      <c r="H237" s="33"/>
      <c r="I237" s="33"/>
      <c r="J237" s="35"/>
      <c r="K237" s="33"/>
      <c r="L237" s="9" t="str">
        <f aca="false">IF(A237="","",A237&amp;"-"&amp;B237)</f>
        <v/>
      </c>
    </row>
    <row r="238" customFormat="false" ht="15" hidden="false" customHeight="false" outlineLevel="0" collapsed="false">
      <c r="A238" s="33"/>
      <c r="B238" s="9" t="str">
        <f aca="false">IF(A238="","",COUNTIF($A$4:A238,A238))</f>
        <v/>
      </c>
      <c r="C238" s="33"/>
      <c r="D238" s="33"/>
      <c r="E238" s="33"/>
      <c r="F238" s="33"/>
      <c r="G238" s="34"/>
      <c r="H238" s="33"/>
      <c r="I238" s="33"/>
      <c r="J238" s="35"/>
      <c r="K238" s="33"/>
      <c r="L238" s="9" t="str">
        <f aca="false">IF(A238="","",A238&amp;"-"&amp;B238)</f>
        <v/>
      </c>
    </row>
    <row r="239" customFormat="false" ht="15" hidden="false" customHeight="false" outlineLevel="0" collapsed="false">
      <c r="A239" s="33"/>
      <c r="B239" s="9" t="str">
        <f aca="false">IF(A239="","",COUNTIF($A$4:A239,A239))</f>
        <v/>
      </c>
      <c r="C239" s="33"/>
      <c r="D239" s="33"/>
      <c r="E239" s="33"/>
      <c r="F239" s="33"/>
      <c r="G239" s="34"/>
      <c r="H239" s="33"/>
      <c r="I239" s="33"/>
      <c r="J239" s="35"/>
      <c r="K239" s="33"/>
      <c r="L239" s="9" t="str">
        <f aca="false">IF(A239="","",A239&amp;"-"&amp;B239)</f>
        <v/>
      </c>
    </row>
    <row r="240" customFormat="false" ht="15" hidden="false" customHeight="false" outlineLevel="0" collapsed="false">
      <c r="A240" s="33"/>
      <c r="B240" s="9" t="str">
        <f aca="false">IF(A240="","",COUNTIF($A$4:A240,A240))</f>
        <v/>
      </c>
      <c r="C240" s="33"/>
      <c r="D240" s="33"/>
      <c r="E240" s="33"/>
      <c r="F240" s="33"/>
      <c r="G240" s="34"/>
      <c r="H240" s="33"/>
      <c r="I240" s="33"/>
      <c r="J240" s="35"/>
      <c r="K240" s="33"/>
      <c r="L240" s="9" t="str">
        <f aca="false">IF(A240="","",A240&amp;"-"&amp;B240)</f>
        <v/>
      </c>
    </row>
    <row r="241" customFormat="false" ht="15" hidden="false" customHeight="false" outlineLevel="0" collapsed="false">
      <c r="A241" s="33"/>
      <c r="B241" s="9" t="str">
        <f aca="false">IF(A241="","",COUNTIF($A$4:A241,A241))</f>
        <v/>
      </c>
      <c r="C241" s="33"/>
      <c r="D241" s="33"/>
      <c r="E241" s="33"/>
      <c r="F241" s="33"/>
      <c r="G241" s="34"/>
      <c r="H241" s="33"/>
      <c r="I241" s="33"/>
      <c r="J241" s="35"/>
      <c r="K241" s="33"/>
      <c r="L241" s="9" t="str">
        <f aca="false">IF(A241="","",A241&amp;"-"&amp;B241)</f>
        <v/>
      </c>
    </row>
    <row r="242" customFormat="false" ht="15" hidden="false" customHeight="false" outlineLevel="0" collapsed="false">
      <c r="A242" s="33"/>
      <c r="B242" s="9" t="str">
        <f aca="false">IF(A242="","",COUNTIF($A$4:A242,A242))</f>
        <v/>
      </c>
      <c r="C242" s="33"/>
      <c r="D242" s="33"/>
      <c r="E242" s="33"/>
      <c r="F242" s="33"/>
      <c r="G242" s="34"/>
      <c r="H242" s="33"/>
      <c r="I242" s="33"/>
      <c r="J242" s="35"/>
      <c r="K242" s="33"/>
      <c r="L242" s="9" t="str">
        <f aca="false">IF(A242="","",A242&amp;"-"&amp;B242)</f>
        <v/>
      </c>
    </row>
    <row r="243" customFormat="false" ht="15" hidden="false" customHeight="false" outlineLevel="0" collapsed="false">
      <c r="A243" s="33"/>
      <c r="B243" s="9" t="str">
        <f aca="false">IF(A243="","",COUNTIF($A$4:A243,A243))</f>
        <v/>
      </c>
      <c r="C243" s="33"/>
      <c r="D243" s="33"/>
      <c r="E243" s="33"/>
      <c r="F243" s="33"/>
      <c r="G243" s="34"/>
      <c r="H243" s="33"/>
      <c r="I243" s="33"/>
      <c r="J243" s="35"/>
      <c r="K243" s="33"/>
      <c r="L243" s="9" t="str">
        <f aca="false">IF(A243="","",A243&amp;"-"&amp;B243)</f>
        <v/>
      </c>
    </row>
    <row r="244" customFormat="false" ht="15" hidden="false" customHeight="false" outlineLevel="0" collapsed="false">
      <c r="A244" s="33"/>
      <c r="B244" s="9" t="str">
        <f aca="false">IF(A244="","",COUNTIF($A$4:A244,A244))</f>
        <v/>
      </c>
      <c r="C244" s="33"/>
      <c r="D244" s="33"/>
      <c r="E244" s="33"/>
      <c r="F244" s="33"/>
      <c r="G244" s="34"/>
      <c r="H244" s="33"/>
      <c r="I244" s="33"/>
      <c r="J244" s="35"/>
      <c r="K244" s="33"/>
      <c r="L244" s="9" t="str">
        <f aca="false">IF(A244="","",A244&amp;"-"&amp;B244)</f>
        <v/>
      </c>
    </row>
    <row r="245" customFormat="false" ht="15" hidden="false" customHeight="false" outlineLevel="0" collapsed="false">
      <c r="A245" s="33"/>
      <c r="B245" s="9" t="str">
        <f aca="false">IF(A245="","",COUNTIF($A$4:A245,A245))</f>
        <v/>
      </c>
      <c r="C245" s="33"/>
      <c r="D245" s="33"/>
      <c r="E245" s="33"/>
      <c r="F245" s="33"/>
      <c r="G245" s="34"/>
      <c r="H245" s="33"/>
      <c r="I245" s="33"/>
      <c r="J245" s="35"/>
      <c r="K245" s="33"/>
      <c r="L245" s="9" t="str">
        <f aca="false">IF(A245="","",A245&amp;"-"&amp;B245)</f>
        <v/>
      </c>
    </row>
    <row r="246" customFormat="false" ht="15" hidden="false" customHeight="false" outlineLevel="0" collapsed="false">
      <c r="A246" s="33"/>
      <c r="B246" s="9" t="str">
        <f aca="false">IF(A246="","",COUNTIF($A$4:A246,A246))</f>
        <v/>
      </c>
      <c r="C246" s="33"/>
      <c r="D246" s="33"/>
      <c r="E246" s="33"/>
      <c r="F246" s="33"/>
      <c r="G246" s="34"/>
      <c r="H246" s="33"/>
      <c r="I246" s="33"/>
      <c r="J246" s="35"/>
      <c r="K246" s="33"/>
      <c r="L246" s="9" t="str">
        <f aca="false">IF(A246="","",A246&amp;"-"&amp;B246)</f>
        <v/>
      </c>
    </row>
    <row r="247" customFormat="false" ht="15" hidden="false" customHeight="false" outlineLevel="0" collapsed="false">
      <c r="A247" s="33"/>
      <c r="B247" s="9" t="str">
        <f aca="false">IF(A247="","",COUNTIF($A$4:A247,A247))</f>
        <v/>
      </c>
      <c r="C247" s="33"/>
      <c r="D247" s="33"/>
      <c r="E247" s="33"/>
      <c r="F247" s="33"/>
      <c r="G247" s="34"/>
      <c r="H247" s="33"/>
      <c r="I247" s="33"/>
      <c r="J247" s="35"/>
      <c r="K247" s="33"/>
      <c r="L247" s="9" t="str">
        <f aca="false">IF(A247="","",A247&amp;"-"&amp;B247)</f>
        <v/>
      </c>
    </row>
    <row r="248" customFormat="false" ht="15" hidden="false" customHeight="false" outlineLevel="0" collapsed="false">
      <c r="A248" s="33"/>
      <c r="B248" s="9" t="str">
        <f aca="false">IF(A248="","",COUNTIF($A$4:A248,A248))</f>
        <v/>
      </c>
      <c r="C248" s="33"/>
      <c r="D248" s="33"/>
      <c r="E248" s="33"/>
      <c r="F248" s="33"/>
      <c r="G248" s="34"/>
      <c r="H248" s="33"/>
      <c r="I248" s="33"/>
      <c r="J248" s="35"/>
      <c r="K248" s="33"/>
      <c r="L248" s="9" t="str">
        <f aca="false">IF(A248="","",A248&amp;"-"&amp;B248)</f>
        <v/>
      </c>
    </row>
    <row r="249" customFormat="false" ht="15" hidden="false" customHeight="false" outlineLevel="0" collapsed="false">
      <c r="A249" s="33"/>
      <c r="B249" s="9" t="str">
        <f aca="false">IF(A249="","",COUNTIF($A$4:A249,A249))</f>
        <v/>
      </c>
      <c r="C249" s="33"/>
      <c r="D249" s="33"/>
      <c r="E249" s="33"/>
      <c r="F249" s="33"/>
      <c r="G249" s="34"/>
      <c r="H249" s="33"/>
      <c r="I249" s="33"/>
      <c r="J249" s="35"/>
      <c r="K249" s="33"/>
      <c r="L249" s="9" t="str">
        <f aca="false">IF(A249="","",A249&amp;"-"&amp;B249)</f>
        <v/>
      </c>
    </row>
    <row r="250" customFormat="false" ht="15" hidden="false" customHeight="false" outlineLevel="0" collapsed="false">
      <c r="A250" s="33"/>
      <c r="B250" s="9" t="str">
        <f aca="false">IF(A250="","",COUNTIF($A$4:A250,A250))</f>
        <v/>
      </c>
      <c r="C250" s="33"/>
      <c r="D250" s="33"/>
      <c r="E250" s="33"/>
      <c r="F250" s="33"/>
      <c r="G250" s="34"/>
      <c r="H250" s="33"/>
      <c r="I250" s="33"/>
      <c r="J250" s="35"/>
      <c r="K250" s="33"/>
      <c r="L250" s="9" t="str">
        <f aca="false">IF(A250="","",A250&amp;"-"&amp;B250)</f>
        <v/>
      </c>
    </row>
    <row r="251" customFormat="false" ht="15" hidden="false" customHeight="false" outlineLevel="0" collapsed="false">
      <c r="A251" s="33"/>
      <c r="B251" s="9" t="str">
        <f aca="false">IF(A251="","",COUNTIF($A$4:A251,A251))</f>
        <v/>
      </c>
      <c r="C251" s="33"/>
      <c r="D251" s="33"/>
      <c r="E251" s="33"/>
      <c r="F251" s="33"/>
      <c r="G251" s="34"/>
      <c r="H251" s="33"/>
      <c r="I251" s="33"/>
      <c r="J251" s="35"/>
      <c r="K251" s="33"/>
      <c r="L251" s="9" t="str">
        <f aca="false">IF(A251="","",A251&amp;"-"&amp;B251)</f>
        <v/>
      </c>
    </row>
    <row r="252" customFormat="false" ht="15" hidden="false" customHeight="false" outlineLevel="0" collapsed="false">
      <c r="A252" s="33"/>
      <c r="B252" s="9" t="str">
        <f aca="false">IF(A252="","",COUNTIF($A$4:A252,A252))</f>
        <v/>
      </c>
      <c r="C252" s="33"/>
      <c r="D252" s="33"/>
      <c r="E252" s="33"/>
      <c r="F252" s="33"/>
      <c r="G252" s="34"/>
      <c r="H252" s="33"/>
      <c r="I252" s="33"/>
      <c r="J252" s="35"/>
      <c r="K252" s="33"/>
      <c r="L252" s="9" t="str">
        <f aca="false">IF(A252="","",A252&amp;"-"&amp;B252)</f>
        <v/>
      </c>
    </row>
    <row r="253" customFormat="false" ht="15" hidden="false" customHeight="false" outlineLevel="0" collapsed="false">
      <c r="A253" s="33"/>
      <c r="B253" s="9" t="str">
        <f aca="false">IF(A253="","",COUNTIF($A$4:A253,A253))</f>
        <v/>
      </c>
      <c r="C253" s="33"/>
      <c r="D253" s="33"/>
      <c r="E253" s="33"/>
      <c r="F253" s="33"/>
      <c r="G253" s="34"/>
      <c r="H253" s="33"/>
      <c r="I253" s="33"/>
      <c r="J253" s="35"/>
      <c r="K253" s="33"/>
      <c r="L253" s="9" t="str">
        <f aca="false">IF(A253="","",A253&amp;"-"&amp;B253)</f>
        <v/>
      </c>
    </row>
    <row r="254" customFormat="false" ht="15" hidden="false" customHeight="false" outlineLevel="0" collapsed="false">
      <c r="A254" s="33"/>
      <c r="B254" s="9" t="str">
        <f aca="false">IF(A254="","",COUNTIF($A$4:A254,A254))</f>
        <v/>
      </c>
      <c r="C254" s="33"/>
      <c r="D254" s="33"/>
      <c r="E254" s="33"/>
      <c r="F254" s="33"/>
      <c r="G254" s="34"/>
      <c r="H254" s="33"/>
      <c r="I254" s="33"/>
      <c r="J254" s="35"/>
      <c r="K254" s="33"/>
      <c r="L254" s="9" t="str">
        <f aca="false">IF(A254="","",A254&amp;"-"&amp;B254)</f>
        <v/>
      </c>
    </row>
    <row r="255" customFormat="false" ht="15" hidden="false" customHeight="false" outlineLevel="0" collapsed="false">
      <c r="A255" s="33"/>
      <c r="B255" s="9" t="str">
        <f aca="false">IF(A255="","",COUNTIF($A$4:A255,A255))</f>
        <v/>
      </c>
      <c r="C255" s="33"/>
      <c r="D255" s="33"/>
      <c r="E255" s="33"/>
      <c r="F255" s="33"/>
      <c r="G255" s="34"/>
      <c r="H255" s="33"/>
      <c r="I255" s="33"/>
      <c r="J255" s="35"/>
      <c r="K255" s="33"/>
      <c r="L255" s="9" t="str">
        <f aca="false">IF(A255="","",A255&amp;"-"&amp;B255)</f>
        <v/>
      </c>
    </row>
    <row r="256" customFormat="false" ht="15" hidden="false" customHeight="false" outlineLevel="0" collapsed="false">
      <c r="A256" s="33"/>
      <c r="B256" s="9" t="str">
        <f aca="false">IF(A256="","",COUNTIF($A$4:A256,A256))</f>
        <v/>
      </c>
      <c r="C256" s="33"/>
      <c r="D256" s="33"/>
      <c r="E256" s="33"/>
      <c r="F256" s="33"/>
      <c r="G256" s="34"/>
      <c r="H256" s="33"/>
      <c r="I256" s="33"/>
      <c r="J256" s="35"/>
      <c r="K256" s="33"/>
      <c r="L256" s="9" t="str">
        <f aca="false">IF(A256="","",A256&amp;"-"&amp;B256)</f>
        <v/>
      </c>
    </row>
    <row r="257" customFormat="false" ht="15" hidden="false" customHeight="false" outlineLevel="0" collapsed="false">
      <c r="A257" s="33"/>
      <c r="B257" s="9" t="str">
        <f aca="false">IF(A257="","",COUNTIF($A$4:A257,A257))</f>
        <v/>
      </c>
      <c r="C257" s="33"/>
      <c r="D257" s="33"/>
      <c r="E257" s="33"/>
      <c r="F257" s="33"/>
      <c r="G257" s="34"/>
      <c r="H257" s="33"/>
      <c r="I257" s="33"/>
      <c r="J257" s="35"/>
      <c r="K257" s="33"/>
      <c r="L257" s="9" t="str">
        <f aca="false">IF(A257="","",A257&amp;"-"&amp;B257)</f>
        <v/>
      </c>
    </row>
    <row r="258" customFormat="false" ht="15" hidden="false" customHeight="false" outlineLevel="0" collapsed="false">
      <c r="A258" s="33"/>
      <c r="B258" s="9" t="str">
        <f aca="false">IF(A258="","",COUNTIF($A$4:A258,A258))</f>
        <v/>
      </c>
      <c r="C258" s="33"/>
      <c r="D258" s="33"/>
      <c r="E258" s="33"/>
      <c r="F258" s="33"/>
      <c r="G258" s="34"/>
      <c r="H258" s="33"/>
      <c r="I258" s="33"/>
      <c r="J258" s="35"/>
      <c r="K258" s="33"/>
      <c r="L258" s="9" t="str">
        <f aca="false">IF(A258="","",A258&amp;"-"&amp;B258)</f>
        <v/>
      </c>
    </row>
    <row r="259" customFormat="false" ht="15" hidden="false" customHeight="false" outlineLevel="0" collapsed="false">
      <c r="A259" s="33"/>
      <c r="B259" s="9" t="str">
        <f aca="false">IF(A259="","",COUNTIF($A$4:A259,A259))</f>
        <v/>
      </c>
      <c r="C259" s="33"/>
      <c r="D259" s="33"/>
      <c r="E259" s="33"/>
      <c r="F259" s="33"/>
      <c r="G259" s="34"/>
      <c r="H259" s="33"/>
      <c r="I259" s="33"/>
      <c r="J259" s="35"/>
      <c r="K259" s="33"/>
      <c r="L259" s="9" t="str">
        <f aca="false">IF(A259="","",A259&amp;"-"&amp;B259)</f>
        <v/>
      </c>
    </row>
    <row r="260" customFormat="false" ht="15" hidden="false" customHeight="false" outlineLevel="0" collapsed="false">
      <c r="A260" s="33"/>
      <c r="B260" s="9" t="str">
        <f aca="false">IF(A260="","",COUNTIF($A$4:A260,A260))</f>
        <v/>
      </c>
      <c r="C260" s="33"/>
      <c r="D260" s="33"/>
      <c r="E260" s="33"/>
      <c r="F260" s="33"/>
      <c r="G260" s="34"/>
      <c r="H260" s="33"/>
      <c r="I260" s="33"/>
      <c r="J260" s="35"/>
      <c r="K260" s="33"/>
      <c r="L260" s="9" t="str">
        <f aca="false">IF(A260="","",A260&amp;"-"&amp;B260)</f>
        <v/>
      </c>
    </row>
    <row r="261" customFormat="false" ht="15" hidden="false" customHeight="false" outlineLevel="0" collapsed="false">
      <c r="A261" s="33"/>
      <c r="B261" s="9" t="str">
        <f aca="false">IF(A261="","",COUNTIF($A$4:A261,A261))</f>
        <v/>
      </c>
      <c r="C261" s="33"/>
      <c r="D261" s="33"/>
      <c r="E261" s="33"/>
      <c r="F261" s="33"/>
      <c r="G261" s="34"/>
      <c r="H261" s="33"/>
      <c r="I261" s="33"/>
      <c r="J261" s="35"/>
      <c r="K261" s="33"/>
      <c r="L261" s="9" t="str">
        <f aca="false">IF(A261="","",A261&amp;"-"&amp;B261)</f>
        <v/>
      </c>
    </row>
    <row r="262" customFormat="false" ht="15" hidden="false" customHeight="false" outlineLevel="0" collapsed="false">
      <c r="A262" s="33"/>
      <c r="B262" s="9" t="str">
        <f aca="false">IF(A262="","",COUNTIF($A$4:A262,A262))</f>
        <v/>
      </c>
      <c r="C262" s="33"/>
      <c r="D262" s="33"/>
      <c r="E262" s="33"/>
      <c r="F262" s="33"/>
      <c r="G262" s="34"/>
      <c r="H262" s="33"/>
      <c r="I262" s="33"/>
      <c r="J262" s="35"/>
      <c r="K262" s="33"/>
      <c r="L262" s="9" t="str">
        <f aca="false">IF(A262="","",A262&amp;"-"&amp;B262)</f>
        <v/>
      </c>
    </row>
    <row r="263" customFormat="false" ht="15" hidden="false" customHeight="false" outlineLevel="0" collapsed="false">
      <c r="A263" s="33"/>
      <c r="B263" s="9" t="str">
        <f aca="false">IF(A263="","",COUNTIF($A$4:A263,A263))</f>
        <v/>
      </c>
      <c r="C263" s="33"/>
      <c r="D263" s="33"/>
      <c r="E263" s="33"/>
      <c r="F263" s="33"/>
      <c r="G263" s="34"/>
      <c r="H263" s="33"/>
      <c r="I263" s="33"/>
      <c r="J263" s="35"/>
      <c r="K263" s="33"/>
      <c r="L263" s="9" t="str">
        <f aca="false">IF(A263="","",A263&amp;"-"&amp;B263)</f>
        <v/>
      </c>
    </row>
    <row r="264" customFormat="false" ht="15" hidden="false" customHeight="false" outlineLevel="0" collapsed="false">
      <c r="A264" s="33"/>
      <c r="B264" s="9" t="str">
        <f aca="false">IF(A264="","",COUNTIF($A$4:A264,A264))</f>
        <v/>
      </c>
      <c r="C264" s="33"/>
      <c r="D264" s="33"/>
      <c r="E264" s="33"/>
      <c r="F264" s="33"/>
      <c r="G264" s="34"/>
      <c r="H264" s="33"/>
      <c r="I264" s="33"/>
      <c r="J264" s="35"/>
      <c r="K264" s="33"/>
      <c r="L264" s="9" t="str">
        <f aca="false">IF(A264="","",A264&amp;"-"&amp;B264)</f>
        <v/>
      </c>
    </row>
    <row r="265" customFormat="false" ht="15" hidden="false" customHeight="false" outlineLevel="0" collapsed="false">
      <c r="A265" s="33"/>
      <c r="B265" s="9" t="str">
        <f aca="false">IF(A265="","",COUNTIF($A$4:A265,A265))</f>
        <v/>
      </c>
      <c r="C265" s="33"/>
      <c r="D265" s="33"/>
      <c r="E265" s="33"/>
      <c r="F265" s="33"/>
      <c r="G265" s="34"/>
      <c r="H265" s="33"/>
      <c r="I265" s="33"/>
      <c r="J265" s="35"/>
      <c r="K265" s="33"/>
      <c r="L265" s="9" t="str">
        <f aca="false">IF(A265="","",A265&amp;"-"&amp;B265)</f>
        <v/>
      </c>
    </row>
    <row r="266" customFormat="false" ht="15" hidden="false" customHeight="false" outlineLevel="0" collapsed="false">
      <c r="A266" s="33"/>
      <c r="B266" s="9" t="str">
        <f aca="false">IF(A266="","",COUNTIF($A$4:A266,A266))</f>
        <v/>
      </c>
      <c r="C266" s="33"/>
      <c r="D266" s="33"/>
      <c r="E266" s="33"/>
      <c r="F266" s="33"/>
      <c r="G266" s="34"/>
      <c r="H266" s="33"/>
      <c r="I266" s="33"/>
      <c r="J266" s="35"/>
      <c r="K266" s="33"/>
      <c r="L266" s="9" t="str">
        <f aca="false">IF(A266="","",A266&amp;"-"&amp;B266)</f>
        <v/>
      </c>
    </row>
    <row r="267" customFormat="false" ht="15" hidden="false" customHeight="false" outlineLevel="0" collapsed="false">
      <c r="A267" s="33"/>
      <c r="B267" s="9" t="str">
        <f aca="false">IF(A267="","",COUNTIF($A$4:A267,A267))</f>
        <v/>
      </c>
      <c r="C267" s="33"/>
      <c r="D267" s="33"/>
      <c r="E267" s="33"/>
      <c r="F267" s="33"/>
      <c r="G267" s="34"/>
      <c r="H267" s="33"/>
      <c r="I267" s="33"/>
      <c r="J267" s="35"/>
      <c r="K267" s="33"/>
      <c r="L267" s="9" t="str">
        <f aca="false">IF(A267="","",A267&amp;"-"&amp;B267)</f>
        <v/>
      </c>
    </row>
    <row r="268" customFormat="false" ht="15" hidden="false" customHeight="false" outlineLevel="0" collapsed="false">
      <c r="A268" s="33"/>
      <c r="B268" s="9" t="str">
        <f aca="false">IF(A268="","",COUNTIF($A$4:A268,A268))</f>
        <v/>
      </c>
      <c r="C268" s="33"/>
      <c r="D268" s="33"/>
      <c r="E268" s="33"/>
      <c r="F268" s="33"/>
      <c r="G268" s="34"/>
      <c r="H268" s="33"/>
      <c r="I268" s="33"/>
      <c r="J268" s="35"/>
      <c r="K268" s="33"/>
      <c r="L268" s="9" t="str">
        <f aca="false">IF(A268="","",A268&amp;"-"&amp;B268)</f>
        <v/>
      </c>
    </row>
    <row r="269" customFormat="false" ht="15" hidden="false" customHeight="false" outlineLevel="0" collapsed="false">
      <c r="A269" s="33"/>
      <c r="B269" s="9" t="str">
        <f aca="false">IF(A269="","",COUNTIF($A$4:A269,A269))</f>
        <v/>
      </c>
      <c r="C269" s="33"/>
      <c r="D269" s="33"/>
      <c r="E269" s="33"/>
      <c r="F269" s="33"/>
      <c r="G269" s="34"/>
      <c r="H269" s="33"/>
      <c r="I269" s="33"/>
      <c r="J269" s="35"/>
      <c r="K269" s="33"/>
      <c r="L269" s="9" t="str">
        <f aca="false">IF(A269="","",A269&amp;"-"&amp;B269)</f>
        <v/>
      </c>
    </row>
    <row r="270" customFormat="false" ht="15" hidden="false" customHeight="false" outlineLevel="0" collapsed="false">
      <c r="A270" s="33"/>
      <c r="B270" s="9" t="str">
        <f aca="false">IF(A270="","",COUNTIF($A$4:A270,A270))</f>
        <v/>
      </c>
      <c r="C270" s="33"/>
      <c r="D270" s="33"/>
      <c r="E270" s="33"/>
      <c r="F270" s="33"/>
      <c r="G270" s="34"/>
      <c r="H270" s="33"/>
      <c r="I270" s="33"/>
      <c r="J270" s="35"/>
      <c r="K270" s="33"/>
      <c r="L270" s="9" t="str">
        <f aca="false">IF(A270="","",A270&amp;"-"&amp;B270)</f>
        <v/>
      </c>
    </row>
    <row r="271" customFormat="false" ht="15" hidden="false" customHeight="false" outlineLevel="0" collapsed="false">
      <c r="A271" s="33"/>
      <c r="B271" s="9" t="str">
        <f aca="false">IF(A271="","",COUNTIF($A$4:A271,A271))</f>
        <v/>
      </c>
      <c r="C271" s="33"/>
      <c r="D271" s="33"/>
      <c r="E271" s="33"/>
      <c r="F271" s="33"/>
      <c r="G271" s="34"/>
      <c r="H271" s="33"/>
      <c r="I271" s="33"/>
      <c r="J271" s="35"/>
      <c r="K271" s="33"/>
      <c r="L271" s="9" t="str">
        <f aca="false">IF(A271="","",A271&amp;"-"&amp;B271)</f>
        <v/>
      </c>
    </row>
    <row r="272" customFormat="false" ht="15" hidden="false" customHeight="false" outlineLevel="0" collapsed="false">
      <c r="A272" s="33"/>
      <c r="B272" s="9" t="str">
        <f aca="false">IF(A272="","",COUNTIF($A$4:A272,A272))</f>
        <v/>
      </c>
      <c r="C272" s="33"/>
      <c r="D272" s="33"/>
      <c r="E272" s="33"/>
      <c r="F272" s="33"/>
      <c r="G272" s="34"/>
      <c r="H272" s="33"/>
      <c r="I272" s="33"/>
      <c r="J272" s="35"/>
      <c r="K272" s="33"/>
      <c r="L272" s="9" t="str">
        <f aca="false">IF(A272="","",A272&amp;"-"&amp;B272)</f>
        <v/>
      </c>
    </row>
    <row r="273" customFormat="false" ht="15" hidden="false" customHeight="false" outlineLevel="0" collapsed="false">
      <c r="A273" s="33"/>
      <c r="B273" s="9" t="str">
        <f aca="false">IF(A273="","",COUNTIF($A$4:A273,A273))</f>
        <v/>
      </c>
      <c r="C273" s="33"/>
      <c r="D273" s="33"/>
      <c r="E273" s="33"/>
      <c r="F273" s="33"/>
      <c r="G273" s="34"/>
      <c r="H273" s="33"/>
      <c r="I273" s="33"/>
      <c r="J273" s="35"/>
      <c r="K273" s="33"/>
      <c r="L273" s="9" t="str">
        <f aca="false">IF(A273="","",A273&amp;"-"&amp;B273)</f>
        <v/>
      </c>
    </row>
    <row r="274" customFormat="false" ht="15" hidden="false" customHeight="false" outlineLevel="0" collapsed="false">
      <c r="A274" s="33"/>
      <c r="B274" s="9" t="str">
        <f aca="false">IF(A274="","",COUNTIF($A$4:A274,A274))</f>
        <v/>
      </c>
      <c r="C274" s="33"/>
      <c r="D274" s="33"/>
      <c r="E274" s="33"/>
      <c r="F274" s="33"/>
      <c r="G274" s="34"/>
      <c r="H274" s="33"/>
      <c r="I274" s="33"/>
      <c r="J274" s="35"/>
      <c r="K274" s="33"/>
      <c r="L274" s="9" t="str">
        <f aca="false">IF(A274="","",A274&amp;"-"&amp;B274)</f>
        <v/>
      </c>
    </row>
    <row r="275" customFormat="false" ht="15" hidden="false" customHeight="false" outlineLevel="0" collapsed="false">
      <c r="A275" s="33"/>
      <c r="B275" s="9" t="str">
        <f aca="false">IF(A275="","",COUNTIF($A$4:A275,A275))</f>
        <v/>
      </c>
      <c r="C275" s="33"/>
      <c r="D275" s="33"/>
      <c r="E275" s="33"/>
      <c r="F275" s="33"/>
      <c r="G275" s="34"/>
      <c r="H275" s="33"/>
      <c r="I275" s="33"/>
      <c r="J275" s="35"/>
      <c r="K275" s="33"/>
      <c r="L275" s="9" t="str">
        <f aca="false">IF(A275="","",A275&amp;"-"&amp;B275)</f>
        <v/>
      </c>
    </row>
    <row r="276" customFormat="false" ht="15" hidden="false" customHeight="false" outlineLevel="0" collapsed="false">
      <c r="A276" s="33"/>
      <c r="B276" s="9" t="str">
        <f aca="false">IF(A276="","",COUNTIF($A$4:A276,A276))</f>
        <v/>
      </c>
      <c r="C276" s="33"/>
      <c r="D276" s="33"/>
      <c r="E276" s="33"/>
      <c r="F276" s="33"/>
      <c r="G276" s="34"/>
      <c r="H276" s="33"/>
      <c r="I276" s="33"/>
      <c r="J276" s="35"/>
      <c r="K276" s="33"/>
      <c r="L276" s="9" t="str">
        <f aca="false">IF(A276="","",A276&amp;"-"&amp;B276)</f>
        <v/>
      </c>
    </row>
    <row r="277" customFormat="false" ht="15" hidden="false" customHeight="false" outlineLevel="0" collapsed="false">
      <c r="A277" s="33"/>
      <c r="B277" s="9" t="str">
        <f aca="false">IF(A277="","",COUNTIF($A$4:A277,A277))</f>
        <v/>
      </c>
      <c r="C277" s="33"/>
      <c r="D277" s="33"/>
      <c r="E277" s="33"/>
      <c r="F277" s="33"/>
      <c r="G277" s="34"/>
      <c r="H277" s="33"/>
      <c r="I277" s="33"/>
      <c r="J277" s="35"/>
      <c r="K277" s="33"/>
      <c r="L277" s="9" t="str">
        <f aca="false">IF(A277="","",A277&amp;"-"&amp;B277)</f>
        <v/>
      </c>
    </row>
    <row r="278" customFormat="false" ht="15" hidden="false" customHeight="false" outlineLevel="0" collapsed="false">
      <c r="A278" s="33"/>
      <c r="B278" s="9" t="str">
        <f aca="false">IF(A278="","",COUNTIF($A$4:A278,A278))</f>
        <v/>
      </c>
      <c r="C278" s="33"/>
      <c r="D278" s="33"/>
      <c r="E278" s="33"/>
      <c r="F278" s="33"/>
      <c r="G278" s="34"/>
      <c r="H278" s="33"/>
      <c r="I278" s="33"/>
      <c r="J278" s="35"/>
      <c r="K278" s="33"/>
      <c r="L278" s="9" t="str">
        <f aca="false">IF(A278="","",A278&amp;"-"&amp;B278)</f>
        <v/>
      </c>
    </row>
    <row r="279" customFormat="false" ht="15" hidden="false" customHeight="false" outlineLevel="0" collapsed="false">
      <c r="A279" s="33"/>
      <c r="B279" s="9" t="str">
        <f aca="false">IF(A279="","",COUNTIF($A$4:A279,A279))</f>
        <v/>
      </c>
      <c r="C279" s="33"/>
      <c r="D279" s="33"/>
      <c r="E279" s="33"/>
      <c r="F279" s="33"/>
      <c r="G279" s="34"/>
      <c r="H279" s="33"/>
      <c r="I279" s="33"/>
      <c r="J279" s="35"/>
      <c r="K279" s="33"/>
      <c r="L279" s="9" t="str">
        <f aca="false">IF(A279="","",A279&amp;"-"&amp;B279)</f>
        <v/>
      </c>
    </row>
    <row r="280" customFormat="false" ht="15" hidden="false" customHeight="false" outlineLevel="0" collapsed="false">
      <c r="A280" s="33"/>
      <c r="B280" s="9" t="str">
        <f aca="false">IF(A280="","",COUNTIF($A$4:A280,A280))</f>
        <v/>
      </c>
      <c r="C280" s="33"/>
      <c r="D280" s="33"/>
      <c r="E280" s="33"/>
      <c r="F280" s="33"/>
      <c r="G280" s="34"/>
      <c r="H280" s="33"/>
      <c r="I280" s="33"/>
      <c r="J280" s="35"/>
      <c r="K280" s="33"/>
      <c r="L280" s="9" t="str">
        <f aca="false">IF(A280="","",A280&amp;"-"&amp;B280)</f>
        <v/>
      </c>
    </row>
    <row r="281" customFormat="false" ht="15" hidden="false" customHeight="false" outlineLevel="0" collapsed="false">
      <c r="A281" s="33"/>
      <c r="B281" s="9" t="str">
        <f aca="false">IF(A281="","",COUNTIF($A$4:A281,A281))</f>
        <v/>
      </c>
      <c r="C281" s="33"/>
      <c r="D281" s="33"/>
      <c r="E281" s="33"/>
      <c r="F281" s="33"/>
      <c r="G281" s="34"/>
      <c r="H281" s="33"/>
      <c r="I281" s="33"/>
      <c r="J281" s="35"/>
      <c r="K281" s="33"/>
      <c r="L281" s="9" t="str">
        <f aca="false">IF(A281="","",A281&amp;"-"&amp;B281)</f>
        <v/>
      </c>
    </row>
    <row r="282" customFormat="false" ht="15" hidden="false" customHeight="false" outlineLevel="0" collapsed="false">
      <c r="A282" s="33"/>
      <c r="B282" s="9" t="str">
        <f aca="false">IF(A282="","",COUNTIF($A$4:A282,A282))</f>
        <v/>
      </c>
      <c r="C282" s="33"/>
      <c r="D282" s="33"/>
      <c r="E282" s="33"/>
      <c r="F282" s="33"/>
      <c r="G282" s="34"/>
      <c r="H282" s="33"/>
      <c r="I282" s="33"/>
      <c r="J282" s="35"/>
      <c r="K282" s="33"/>
      <c r="L282" s="9" t="str">
        <f aca="false">IF(A282="","",A282&amp;"-"&amp;B282)</f>
        <v/>
      </c>
    </row>
    <row r="283" customFormat="false" ht="15" hidden="false" customHeight="false" outlineLevel="0" collapsed="false">
      <c r="A283" s="33"/>
      <c r="B283" s="9" t="str">
        <f aca="false">IF(A283="","",COUNTIF($A$4:A283,A283))</f>
        <v/>
      </c>
      <c r="C283" s="33"/>
      <c r="D283" s="33"/>
      <c r="E283" s="33"/>
      <c r="F283" s="33"/>
      <c r="G283" s="34"/>
      <c r="H283" s="33"/>
      <c r="I283" s="33"/>
      <c r="J283" s="35"/>
      <c r="K283" s="33"/>
      <c r="L283" s="9" t="str">
        <f aca="false">IF(A283="","",A283&amp;"-"&amp;B283)</f>
        <v/>
      </c>
    </row>
    <row r="284" customFormat="false" ht="15" hidden="false" customHeight="false" outlineLevel="0" collapsed="false">
      <c r="A284" s="33"/>
      <c r="B284" s="9" t="str">
        <f aca="false">IF(A284="","",COUNTIF($A$4:A284,A284))</f>
        <v/>
      </c>
      <c r="C284" s="33"/>
      <c r="D284" s="33"/>
      <c r="E284" s="33"/>
      <c r="F284" s="33"/>
      <c r="G284" s="34"/>
      <c r="H284" s="33"/>
      <c r="I284" s="33"/>
      <c r="J284" s="35"/>
      <c r="K284" s="33"/>
      <c r="L284" s="9" t="str">
        <f aca="false">IF(A284="","",A284&amp;"-"&amp;B284)</f>
        <v/>
      </c>
    </row>
    <row r="285" customFormat="false" ht="15" hidden="false" customHeight="false" outlineLevel="0" collapsed="false">
      <c r="A285" s="33"/>
      <c r="B285" s="9" t="str">
        <f aca="false">IF(A285="","",COUNTIF($A$4:A285,A285))</f>
        <v/>
      </c>
      <c r="C285" s="33"/>
      <c r="D285" s="33"/>
      <c r="E285" s="33"/>
      <c r="F285" s="33"/>
      <c r="G285" s="34"/>
      <c r="H285" s="33"/>
      <c r="I285" s="33"/>
      <c r="J285" s="35"/>
      <c r="K285" s="33"/>
      <c r="L285" s="9" t="str">
        <f aca="false">IF(A285="","",A285&amp;"-"&amp;B285)</f>
        <v/>
      </c>
    </row>
    <row r="286" customFormat="false" ht="15" hidden="false" customHeight="false" outlineLevel="0" collapsed="false">
      <c r="A286" s="33"/>
      <c r="B286" s="9" t="str">
        <f aca="false">IF(A286="","",COUNTIF($A$4:A286,A286))</f>
        <v/>
      </c>
      <c r="C286" s="33"/>
      <c r="D286" s="33"/>
      <c r="E286" s="33"/>
      <c r="F286" s="33"/>
      <c r="G286" s="34"/>
      <c r="H286" s="33"/>
      <c r="I286" s="33"/>
      <c r="J286" s="35"/>
      <c r="K286" s="33"/>
      <c r="L286" s="9" t="str">
        <f aca="false">IF(A286="","",A286&amp;"-"&amp;B286)</f>
        <v/>
      </c>
    </row>
    <row r="287" customFormat="false" ht="15" hidden="false" customHeight="false" outlineLevel="0" collapsed="false">
      <c r="A287" s="33"/>
      <c r="B287" s="9" t="str">
        <f aca="false">IF(A287="","",COUNTIF($A$4:A287,A287))</f>
        <v/>
      </c>
      <c r="C287" s="33"/>
      <c r="D287" s="33"/>
      <c r="E287" s="33"/>
      <c r="F287" s="33"/>
      <c r="G287" s="34"/>
      <c r="H287" s="33"/>
      <c r="I287" s="33"/>
      <c r="J287" s="35"/>
      <c r="K287" s="33"/>
      <c r="L287" s="9" t="str">
        <f aca="false">IF(A287="","",A287&amp;"-"&amp;B287)</f>
        <v/>
      </c>
    </row>
    <row r="288" customFormat="false" ht="15" hidden="false" customHeight="false" outlineLevel="0" collapsed="false">
      <c r="A288" s="33"/>
      <c r="B288" s="9" t="str">
        <f aca="false">IF(A288="","",COUNTIF($A$4:A288,A288))</f>
        <v/>
      </c>
      <c r="C288" s="33"/>
      <c r="D288" s="33"/>
      <c r="E288" s="33"/>
      <c r="F288" s="33"/>
      <c r="G288" s="34"/>
      <c r="H288" s="33"/>
      <c r="I288" s="33"/>
      <c r="J288" s="35"/>
      <c r="K288" s="33"/>
      <c r="L288" s="9" t="str">
        <f aca="false">IF(A288="","",A288&amp;"-"&amp;B288)</f>
        <v/>
      </c>
    </row>
    <row r="289" customFormat="false" ht="15" hidden="false" customHeight="false" outlineLevel="0" collapsed="false">
      <c r="A289" s="33"/>
      <c r="B289" s="9" t="str">
        <f aca="false">IF(A289="","",COUNTIF($A$4:A289,A289))</f>
        <v/>
      </c>
      <c r="C289" s="33"/>
      <c r="D289" s="33"/>
      <c r="E289" s="33"/>
      <c r="F289" s="33"/>
      <c r="G289" s="34"/>
      <c r="H289" s="33"/>
      <c r="I289" s="33"/>
      <c r="J289" s="35"/>
      <c r="K289" s="33"/>
      <c r="L289" s="9" t="str">
        <f aca="false">IF(A289="","",A289&amp;"-"&amp;B289)</f>
        <v/>
      </c>
    </row>
    <row r="290" customFormat="false" ht="15" hidden="false" customHeight="false" outlineLevel="0" collapsed="false">
      <c r="A290" s="33"/>
      <c r="B290" s="9" t="str">
        <f aca="false">IF(A290="","",COUNTIF($A$4:A290,A290))</f>
        <v/>
      </c>
      <c r="C290" s="33"/>
      <c r="D290" s="33"/>
      <c r="E290" s="33"/>
      <c r="F290" s="33"/>
      <c r="G290" s="34"/>
      <c r="H290" s="33"/>
      <c r="I290" s="33"/>
      <c r="J290" s="35"/>
      <c r="K290" s="33"/>
      <c r="L290" s="9" t="str">
        <f aca="false">IF(A290="","",A290&amp;"-"&amp;B290)</f>
        <v/>
      </c>
    </row>
    <row r="291" customFormat="false" ht="15" hidden="false" customHeight="false" outlineLevel="0" collapsed="false">
      <c r="A291" s="33"/>
      <c r="B291" s="9" t="str">
        <f aca="false">IF(A291="","",COUNTIF($A$4:A291,A291))</f>
        <v/>
      </c>
      <c r="C291" s="33"/>
      <c r="D291" s="33"/>
      <c r="E291" s="33"/>
      <c r="F291" s="33"/>
      <c r="G291" s="34"/>
      <c r="H291" s="33"/>
      <c r="I291" s="33"/>
      <c r="J291" s="35"/>
      <c r="K291" s="33"/>
      <c r="L291" s="9" t="str">
        <f aca="false">IF(A291="","",A291&amp;"-"&amp;B291)</f>
        <v/>
      </c>
    </row>
    <row r="292" customFormat="false" ht="15" hidden="false" customHeight="false" outlineLevel="0" collapsed="false">
      <c r="A292" s="33"/>
      <c r="B292" s="9" t="str">
        <f aca="false">IF(A292="","",COUNTIF($A$4:A292,A292))</f>
        <v/>
      </c>
      <c r="C292" s="33"/>
      <c r="D292" s="33"/>
      <c r="E292" s="33"/>
      <c r="F292" s="33"/>
      <c r="G292" s="34"/>
      <c r="H292" s="33"/>
      <c r="I292" s="33"/>
      <c r="J292" s="35"/>
      <c r="K292" s="33"/>
      <c r="L292" s="9" t="str">
        <f aca="false">IF(A292="","",A292&amp;"-"&amp;B292)</f>
        <v/>
      </c>
    </row>
    <row r="293" customFormat="false" ht="15" hidden="false" customHeight="false" outlineLevel="0" collapsed="false">
      <c r="A293" s="33"/>
      <c r="B293" s="9" t="str">
        <f aca="false">IF(A293="","",COUNTIF($A$4:A293,A293))</f>
        <v/>
      </c>
      <c r="C293" s="33"/>
      <c r="D293" s="33"/>
      <c r="E293" s="33"/>
      <c r="F293" s="33"/>
      <c r="G293" s="34"/>
      <c r="H293" s="33"/>
      <c r="I293" s="33"/>
      <c r="J293" s="35"/>
      <c r="K293" s="33"/>
      <c r="L293" s="9" t="str">
        <f aca="false">IF(A293="","",A293&amp;"-"&amp;B293)</f>
        <v/>
      </c>
    </row>
    <row r="294" customFormat="false" ht="15" hidden="false" customHeight="false" outlineLevel="0" collapsed="false">
      <c r="A294" s="33"/>
      <c r="B294" s="9" t="str">
        <f aca="false">IF(A294="","",COUNTIF($A$4:A294,A294))</f>
        <v/>
      </c>
      <c r="C294" s="33"/>
      <c r="D294" s="33"/>
      <c r="E294" s="33"/>
      <c r="F294" s="33"/>
      <c r="G294" s="34"/>
      <c r="H294" s="33"/>
      <c r="I294" s="33"/>
      <c r="J294" s="35"/>
      <c r="K294" s="33"/>
      <c r="L294" s="9" t="str">
        <f aca="false">IF(A294="","",A294&amp;"-"&amp;B294)</f>
        <v/>
      </c>
    </row>
    <row r="295" customFormat="false" ht="15" hidden="false" customHeight="false" outlineLevel="0" collapsed="false">
      <c r="A295" s="33"/>
      <c r="B295" s="9" t="str">
        <f aca="false">IF(A295="","",COUNTIF($A$4:A295,A295))</f>
        <v/>
      </c>
      <c r="C295" s="33"/>
      <c r="D295" s="33"/>
      <c r="E295" s="33"/>
      <c r="F295" s="33"/>
      <c r="G295" s="34"/>
      <c r="H295" s="33"/>
      <c r="I295" s="33"/>
      <c r="J295" s="35"/>
      <c r="K295" s="33"/>
      <c r="L295" s="9" t="str">
        <f aca="false">IF(A295="","",A295&amp;"-"&amp;B295)</f>
        <v/>
      </c>
    </row>
    <row r="296" customFormat="false" ht="15" hidden="false" customHeight="false" outlineLevel="0" collapsed="false">
      <c r="A296" s="33"/>
      <c r="B296" s="9" t="str">
        <f aca="false">IF(A296="","",COUNTIF($A$4:A296,A296))</f>
        <v/>
      </c>
      <c r="C296" s="33"/>
      <c r="D296" s="33"/>
      <c r="E296" s="33"/>
      <c r="F296" s="33"/>
      <c r="G296" s="34"/>
      <c r="H296" s="33"/>
      <c r="I296" s="33"/>
      <c r="J296" s="35"/>
      <c r="K296" s="33"/>
      <c r="L296" s="9" t="str">
        <f aca="false">IF(A296="","",A296&amp;"-"&amp;B296)</f>
        <v/>
      </c>
    </row>
    <row r="297" customFormat="false" ht="15" hidden="false" customHeight="false" outlineLevel="0" collapsed="false">
      <c r="A297" s="33"/>
      <c r="B297" s="9" t="str">
        <f aca="false">IF(A297="","",COUNTIF($A$4:A297,A297))</f>
        <v/>
      </c>
      <c r="C297" s="33"/>
      <c r="D297" s="33"/>
      <c r="E297" s="33"/>
      <c r="F297" s="33"/>
      <c r="G297" s="34"/>
      <c r="H297" s="33"/>
      <c r="I297" s="33"/>
      <c r="J297" s="35"/>
      <c r="K297" s="33"/>
      <c r="L297" s="9" t="str">
        <f aca="false">IF(A297="","",A297&amp;"-"&amp;B297)</f>
        <v/>
      </c>
    </row>
    <row r="298" customFormat="false" ht="15" hidden="false" customHeight="false" outlineLevel="0" collapsed="false">
      <c r="A298" s="33"/>
      <c r="B298" s="9" t="str">
        <f aca="false">IF(A298="","",COUNTIF($A$4:A298,A298))</f>
        <v/>
      </c>
      <c r="C298" s="33"/>
      <c r="D298" s="33"/>
      <c r="E298" s="33"/>
      <c r="F298" s="33"/>
      <c r="G298" s="34"/>
      <c r="H298" s="33"/>
      <c r="I298" s="33"/>
      <c r="J298" s="35"/>
      <c r="K298" s="33"/>
      <c r="L298" s="9" t="str">
        <f aca="false">IF(A298="","",A298&amp;"-"&amp;B298)</f>
        <v/>
      </c>
    </row>
    <row r="299" customFormat="false" ht="15" hidden="false" customHeight="false" outlineLevel="0" collapsed="false">
      <c r="A299" s="33"/>
      <c r="B299" s="9" t="str">
        <f aca="false">IF(A299="","",COUNTIF($A$4:A299,A299))</f>
        <v/>
      </c>
      <c r="C299" s="33"/>
      <c r="D299" s="33"/>
      <c r="E299" s="33"/>
      <c r="F299" s="33"/>
      <c r="G299" s="34"/>
      <c r="H299" s="33"/>
      <c r="I299" s="33"/>
      <c r="J299" s="35"/>
      <c r="K299" s="33"/>
      <c r="L299" s="9" t="str">
        <f aca="false">IF(A299="","",A299&amp;"-"&amp;B299)</f>
        <v/>
      </c>
    </row>
    <row r="300" customFormat="false" ht="15" hidden="false" customHeight="false" outlineLevel="0" collapsed="false">
      <c r="A300" s="33"/>
      <c r="B300" s="9" t="str">
        <f aca="false">IF(A300="","",COUNTIF($A$4:A300,A300))</f>
        <v/>
      </c>
      <c r="C300" s="33"/>
      <c r="D300" s="33"/>
      <c r="E300" s="33"/>
      <c r="F300" s="33"/>
      <c r="G300" s="34"/>
      <c r="H300" s="33"/>
      <c r="I300" s="33"/>
      <c r="J300" s="35"/>
      <c r="K300" s="33"/>
      <c r="L300" s="9" t="str">
        <f aca="false">IF(A300="","",A300&amp;"-"&amp;B300)</f>
        <v/>
      </c>
    </row>
    <row r="301" customFormat="false" ht="15" hidden="false" customHeight="false" outlineLevel="0" collapsed="false">
      <c r="A301" s="33"/>
      <c r="B301" s="9" t="str">
        <f aca="false">IF(A301="","",COUNTIF($A$4:A301,A301))</f>
        <v/>
      </c>
      <c r="C301" s="33"/>
      <c r="D301" s="33"/>
      <c r="E301" s="33"/>
      <c r="F301" s="33"/>
      <c r="G301" s="34"/>
      <c r="H301" s="33"/>
      <c r="I301" s="33"/>
      <c r="J301" s="35"/>
      <c r="K301" s="33"/>
      <c r="L301" s="9" t="str">
        <f aca="false">IF(A301="","",A301&amp;"-"&amp;B301)</f>
        <v/>
      </c>
    </row>
    <row r="302" customFormat="false" ht="15" hidden="false" customHeight="false" outlineLevel="0" collapsed="false">
      <c r="A302" s="33"/>
      <c r="B302" s="9" t="str">
        <f aca="false">IF(A302="","",COUNTIF($A$4:A302,A302))</f>
        <v/>
      </c>
      <c r="C302" s="33"/>
      <c r="D302" s="33"/>
      <c r="E302" s="33"/>
      <c r="F302" s="33"/>
      <c r="G302" s="34"/>
      <c r="H302" s="33"/>
      <c r="I302" s="33"/>
      <c r="J302" s="35"/>
      <c r="K302" s="33"/>
      <c r="L302" s="9" t="str">
        <f aca="false">IF(A302="","",A302&amp;"-"&amp;B302)</f>
        <v/>
      </c>
    </row>
    <row r="303" customFormat="false" ht="15" hidden="false" customHeight="false" outlineLevel="0" collapsed="false">
      <c r="A303" s="33"/>
      <c r="B303" s="9" t="str">
        <f aca="false">IF(A303="","",COUNTIF($A$4:A303,A303))</f>
        <v/>
      </c>
      <c r="C303" s="33"/>
      <c r="D303" s="33"/>
      <c r="E303" s="33"/>
      <c r="F303" s="33"/>
      <c r="G303" s="34"/>
      <c r="H303" s="33"/>
      <c r="I303" s="33"/>
      <c r="J303" s="35"/>
      <c r="K303" s="33"/>
      <c r="L303" s="9" t="str">
        <f aca="false">IF(A303="","",A303&amp;"-"&amp;B303)</f>
        <v/>
      </c>
    </row>
    <row r="304" customFormat="false" ht="15" hidden="false" customHeight="false" outlineLevel="0" collapsed="false">
      <c r="A304" s="33"/>
      <c r="B304" s="9" t="str">
        <f aca="false">IF(A304="","",COUNTIF($A$4:A304,A304))</f>
        <v/>
      </c>
      <c r="C304" s="33"/>
      <c r="D304" s="33"/>
      <c r="E304" s="33"/>
      <c r="F304" s="33"/>
      <c r="G304" s="34"/>
      <c r="H304" s="33"/>
      <c r="I304" s="33"/>
      <c r="J304" s="35"/>
      <c r="K304" s="33"/>
      <c r="L304" s="9" t="str">
        <f aca="false">IF(A304="","",A304&amp;"-"&amp;B304)</f>
        <v/>
      </c>
    </row>
    <row r="305" customFormat="false" ht="15" hidden="false" customHeight="false" outlineLevel="0" collapsed="false">
      <c r="A305" s="33"/>
      <c r="B305" s="9" t="str">
        <f aca="false">IF(A305="","",COUNTIF($A$4:A305,A305))</f>
        <v/>
      </c>
      <c r="C305" s="33"/>
      <c r="D305" s="33"/>
      <c r="E305" s="33"/>
      <c r="F305" s="33"/>
      <c r="G305" s="34"/>
      <c r="H305" s="33"/>
      <c r="I305" s="33"/>
      <c r="J305" s="35"/>
      <c r="K305" s="33"/>
      <c r="L305" s="9" t="str">
        <f aca="false">IF(A305="","",A305&amp;"-"&amp;B305)</f>
        <v/>
      </c>
    </row>
    <row r="306" customFormat="false" ht="15" hidden="false" customHeight="false" outlineLevel="0" collapsed="false">
      <c r="A306" s="33"/>
      <c r="B306" s="9" t="str">
        <f aca="false">IF(A306="","",COUNTIF($A$4:A306,A306))</f>
        <v/>
      </c>
      <c r="C306" s="33"/>
      <c r="D306" s="33"/>
      <c r="E306" s="33"/>
      <c r="F306" s="33"/>
      <c r="G306" s="34"/>
      <c r="H306" s="33"/>
      <c r="I306" s="33"/>
      <c r="J306" s="35"/>
      <c r="K306" s="33"/>
      <c r="L306" s="9" t="str">
        <f aca="false">IF(A306="","",A306&amp;"-"&amp;B306)</f>
        <v/>
      </c>
    </row>
    <row r="307" customFormat="false" ht="15" hidden="false" customHeight="false" outlineLevel="0" collapsed="false">
      <c r="A307" s="33"/>
      <c r="B307" s="9" t="str">
        <f aca="false">IF(A307="","",COUNTIF($A$4:A307,A307))</f>
        <v/>
      </c>
      <c r="C307" s="33"/>
      <c r="D307" s="33"/>
      <c r="E307" s="33"/>
      <c r="F307" s="33"/>
      <c r="G307" s="34"/>
      <c r="H307" s="33"/>
      <c r="I307" s="33"/>
      <c r="J307" s="35"/>
      <c r="K307" s="33"/>
      <c r="L307" s="9" t="str">
        <f aca="false">IF(A307="","",A307&amp;"-"&amp;B307)</f>
        <v/>
      </c>
    </row>
    <row r="308" customFormat="false" ht="15" hidden="false" customHeight="false" outlineLevel="0" collapsed="false">
      <c r="A308" s="33"/>
      <c r="B308" s="9" t="str">
        <f aca="false">IF(A308="","",COUNTIF($A$4:A308,A308))</f>
        <v/>
      </c>
      <c r="C308" s="33"/>
      <c r="D308" s="33"/>
      <c r="E308" s="33"/>
      <c r="F308" s="33"/>
      <c r="G308" s="34"/>
      <c r="H308" s="33"/>
      <c r="I308" s="33"/>
      <c r="J308" s="35"/>
      <c r="K308" s="33"/>
      <c r="L308" s="9" t="str">
        <f aca="false">IF(A308="","",A308&amp;"-"&amp;B308)</f>
        <v/>
      </c>
    </row>
    <row r="309" customFormat="false" ht="15" hidden="false" customHeight="false" outlineLevel="0" collapsed="false">
      <c r="A309" s="33"/>
      <c r="B309" s="9" t="str">
        <f aca="false">IF(A309="","",COUNTIF($A$4:A309,A309))</f>
        <v/>
      </c>
      <c r="C309" s="33"/>
      <c r="D309" s="33"/>
      <c r="E309" s="33"/>
      <c r="F309" s="33"/>
      <c r="G309" s="34"/>
      <c r="H309" s="33"/>
      <c r="I309" s="33"/>
      <c r="J309" s="35"/>
      <c r="K309" s="33"/>
      <c r="L309" s="9" t="str">
        <f aca="false">IF(A309="","",A309&amp;"-"&amp;B309)</f>
        <v/>
      </c>
    </row>
    <row r="310" customFormat="false" ht="15" hidden="false" customHeight="false" outlineLevel="0" collapsed="false">
      <c r="A310" s="33"/>
      <c r="B310" s="9" t="str">
        <f aca="false">IF(A310="","",COUNTIF($A$4:A310,A310))</f>
        <v/>
      </c>
      <c r="C310" s="33"/>
      <c r="D310" s="33"/>
      <c r="E310" s="33"/>
      <c r="F310" s="33"/>
      <c r="G310" s="34"/>
      <c r="H310" s="33"/>
      <c r="I310" s="33"/>
      <c r="J310" s="35"/>
      <c r="K310" s="33"/>
      <c r="L310" s="9" t="str">
        <f aca="false">IF(A310="","",A310&amp;"-"&amp;B310)</f>
        <v/>
      </c>
    </row>
    <row r="311" customFormat="false" ht="15" hidden="false" customHeight="false" outlineLevel="0" collapsed="false">
      <c r="A311" s="33"/>
      <c r="B311" s="9" t="str">
        <f aca="false">IF(A311="","",COUNTIF($A$4:A311,A311))</f>
        <v/>
      </c>
      <c r="C311" s="33"/>
      <c r="D311" s="33"/>
      <c r="E311" s="33"/>
      <c r="F311" s="33"/>
      <c r="G311" s="34"/>
      <c r="H311" s="33"/>
      <c r="I311" s="33"/>
      <c r="J311" s="35"/>
      <c r="K311" s="33"/>
      <c r="L311" s="9" t="str">
        <f aca="false">IF(A311="","",A311&amp;"-"&amp;B311)</f>
        <v/>
      </c>
    </row>
    <row r="312" customFormat="false" ht="15" hidden="false" customHeight="false" outlineLevel="0" collapsed="false">
      <c r="A312" s="33"/>
      <c r="B312" s="9" t="str">
        <f aca="false">IF(A312="","",COUNTIF($A$4:A312,A312))</f>
        <v/>
      </c>
      <c r="C312" s="33"/>
      <c r="D312" s="33"/>
      <c r="E312" s="33"/>
      <c r="F312" s="33"/>
      <c r="G312" s="34"/>
      <c r="H312" s="33"/>
      <c r="I312" s="33"/>
      <c r="J312" s="35"/>
      <c r="K312" s="33"/>
      <c r="L312" s="9" t="str">
        <f aca="false">IF(A312="","",A312&amp;"-"&amp;B312)</f>
        <v/>
      </c>
    </row>
    <row r="313" customFormat="false" ht="15" hidden="false" customHeight="false" outlineLevel="0" collapsed="false">
      <c r="A313" s="33"/>
      <c r="B313" s="9" t="str">
        <f aca="false">IF(A313="","",COUNTIF($A$4:A313,A313))</f>
        <v/>
      </c>
      <c r="C313" s="33"/>
      <c r="D313" s="33"/>
      <c r="E313" s="33"/>
      <c r="F313" s="33"/>
      <c r="G313" s="34"/>
      <c r="H313" s="33"/>
      <c r="I313" s="33"/>
      <c r="J313" s="35"/>
      <c r="K313" s="33"/>
      <c r="L313" s="9" t="str">
        <f aca="false">IF(A313="","",A313&amp;"-"&amp;B313)</f>
        <v/>
      </c>
    </row>
    <row r="314" customFormat="false" ht="15" hidden="false" customHeight="false" outlineLevel="0" collapsed="false">
      <c r="A314" s="33"/>
      <c r="B314" s="9" t="str">
        <f aca="false">IF(A314="","",COUNTIF($A$4:A314,A314))</f>
        <v/>
      </c>
      <c r="C314" s="33"/>
      <c r="D314" s="33"/>
      <c r="E314" s="33"/>
      <c r="F314" s="33"/>
      <c r="G314" s="34"/>
      <c r="H314" s="33"/>
      <c r="I314" s="33"/>
      <c r="J314" s="35"/>
      <c r="K314" s="33"/>
      <c r="L314" s="9" t="str">
        <f aca="false">IF(A314="","",A314&amp;"-"&amp;B314)</f>
        <v/>
      </c>
    </row>
    <row r="315" customFormat="false" ht="15" hidden="false" customHeight="false" outlineLevel="0" collapsed="false">
      <c r="A315" s="33"/>
      <c r="B315" s="9" t="str">
        <f aca="false">IF(A315="","",COUNTIF($A$4:A315,A315))</f>
        <v/>
      </c>
      <c r="C315" s="33"/>
      <c r="D315" s="33"/>
      <c r="E315" s="33"/>
      <c r="F315" s="33"/>
      <c r="G315" s="34"/>
      <c r="H315" s="33"/>
      <c r="I315" s="33"/>
      <c r="J315" s="35"/>
      <c r="K315" s="33"/>
      <c r="L315" s="9" t="str">
        <f aca="false">IF(A315="","",A315&amp;"-"&amp;B315)</f>
        <v/>
      </c>
    </row>
    <row r="316" customFormat="false" ht="15" hidden="false" customHeight="false" outlineLevel="0" collapsed="false">
      <c r="A316" s="33"/>
      <c r="B316" s="9" t="str">
        <f aca="false">IF(A316="","",COUNTIF($A$4:A316,A316))</f>
        <v/>
      </c>
      <c r="C316" s="33"/>
      <c r="D316" s="33"/>
      <c r="E316" s="33"/>
      <c r="F316" s="33"/>
      <c r="G316" s="34"/>
      <c r="H316" s="33"/>
      <c r="I316" s="33"/>
      <c r="J316" s="35"/>
      <c r="K316" s="33"/>
      <c r="L316" s="9" t="str">
        <f aca="false">IF(A316="","",A316&amp;"-"&amp;B316)</f>
        <v/>
      </c>
    </row>
    <row r="317" customFormat="false" ht="15" hidden="false" customHeight="false" outlineLevel="0" collapsed="false">
      <c r="A317" s="33"/>
      <c r="B317" s="9" t="str">
        <f aca="false">IF(A317="","",COUNTIF($A$4:A317,A317))</f>
        <v/>
      </c>
      <c r="C317" s="33"/>
      <c r="D317" s="33"/>
      <c r="E317" s="33"/>
      <c r="F317" s="33"/>
      <c r="G317" s="34"/>
      <c r="H317" s="33"/>
      <c r="I317" s="33"/>
      <c r="J317" s="35"/>
      <c r="K317" s="33"/>
      <c r="L317" s="9" t="str">
        <f aca="false">IF(A317="","",A317&amp;"-"&amp;B317)</f>
        <v/>
      </c>
    </row>
    <row r="318" customFormat="false" ht="15" hidden="false" customHeight="false" outlineLevel="0" collapsed="false">
      <c r="A318" s="33"/>
      <c r="B318" s="9" t="str">
        <f aca="false">IF(A318="","",COUNTIF($A$4:A318,A318))</f>
        <v/>
      </c>
      <c r="C318" s="33"/>
      <c r="D318" s="33"/>
      <c r="E318" s="33"/>
      <c r="F318" s="33"/>
      <c r="G318" s="34"/>
      <c r="H318" s="33"/>
      <c r="I318" s="33"/>
      <c r="J318" s="35"/>
      <c r="K318" s="33"/>
      <c r="L318" s="9" t="str">
        <f aca="false">IF(A318="","",A318&amp;"-"&amp;B318)</f>
        <v/>
      </c>
    </row>
    <row r="319" customFormat="false" ht="15" hidden="false" customHeight="false" outlineLevel="0" collapsed="false">
      <c r="A319" s="33"/>
      <c r="B319" s="9" t="str">
        <f aca="false">IF(A319="","",COUNTIF($A$4:A319,A319))</f>
        <v/>
      </c>
      <c r="C319" s="33"/>
      <c r="D319" s="33"/>
      <c r="E319" s="33"/>
      <c r="F319" s="33"/>
      <c r="G319" s="34"/>
      <c r="H319" s="33"/>
      <c r="I319" s="33"/>
      <c r="J319" s="35"/>
      <c r="K319" s="33"/>
      <c r="L319" s="9" t="str">
        <f aca="false">IF(A319="","",A319&amp;"-"&amp;B319)</f>
        <v/>
      </c>
    </row>
    <row r="320" customFormat="false" ht="15" hidden="false" customHeight="false" outlineLevel="0" collapsed="false">
      <c r="A320" s="33"/>
      <c r="B320" s="9" t="str">
        <f aca="false">IF(A320="","",COUNTIF($A$4:A320,A320))</f>
        <v/>
      </c>
      <c r="C320" s="33"/>
      <c r="D320" s="33"/>
      <c r="E320" s="33"/>
      <c r="F320" s="33"/>
      <c r="G320" s="34"/>
      <c r="H320" s="33"/>
      <c r="I320" s="33"/>
      <c r="J320" s="35"/>
      <c r="K320" s="33"/>
      <c r="L320" s="9" t="str">
        <f aca="false">IF(A320="","",A320&amp;"-"&amp;B320)</f>
        <v/>
      </c>
    </row>
    <row r="321" customFormat="false" ht="15" hidden="false" customHeight="false" outlineLevel="0" collapsed="false">
      <c r="A321" s="33"/>
      <c r="B321" s="9" t="str">
        <f aca="false">IF(A321="","",COUNTIF($A$4:A321,A321))</f>
        <v/>
      </c>
      <c r="C321" s="33"/>
      <c r="D321" s="33"/>
      <c r="E321" s="33"/>
      <c r="F321" s="33"/>
      <c r="G321" s="34"/>
      <c r="H321" s="33"/>
      <c r="I321" s="33"/>
      <c r="J321" s="35"/>
      <c r="K321" s="33"/>
      <c r="L321" s="9" t="str">
        <f aca="false">IF(A321="","",A321&amp;"-"&amp;B321)</f>
        <v/>
      </c>
    </row>
    <row r="322" customFormat="false" ht="15" hidden="false" customHeight="false" outlineLevel="0" collapsed="false">
      <c r="A322" s="33"/>
      <c r="B322" s="9" t="str">
        <f aca="false">IF(A322="","",COUNTIF($A$4:A322,A322))</f>
        <v/>
      </c>
      <c r="C322" s="33"/>
      <c r="D322" s="33"/>
      <c r="E322" s="33"/>
      <c r="F322" s="33"/>
      <c r="G322" s="34"/>
      <c r="H322" s="33"/>
      <c r="I322" s="33"/>
      <c r="J322" s="35"/>
      <c r="K322" s="33"/>
      <c r="L322" s="9" t="str">
        <f aca="false">IF(A322="","",A322&amp;"-"&amp;B322)</f>
        <v/>
      </c>
    </row>
    <row r="323" customFormat="false" ht="15" hidden="false" customHeight="false" outlineLevel="0" collapsed="false">
      <c r="A323" s="33"/>
      <c r="B323" s="9" t="str">
        <f aca="false">IF(A323="","",COUNTIF($A$4:A323,A323))</f>
        <v/>
      </c>
      <c r="C323" s="33"/>
      <c r="D323" s="33"/>
      <c r="E323" s="33"/>
      <c r="F323" s="33"/>
      <c r="G323" s="34"/>
      <c r="H323" s="33"/>
      <c r="I323" s="33"/>
      <c r="J323" s="35"/>
      <c r="K323" s="33"/>
      <c r="L323" s="9" t="str">
        <f aca="false">IF(A323="","",A323&amp;"-"&amp;B323)</f>
        <v/>
      </c>
    </row>
    <row r="324" customFormat="false" ht="15" hidden="false" customHeight="false" outlineLevel="0" collapsed="false">
      <c r="A324" s="33"/>
      <c r="B324" s="9" t="str">
        <f aca="false">IF(A324="","",COUNTIF($A$4:A324,A324))</f>
        <v/>
      </c>
      <c r="C324" s="33"/>
      <c r="D324" s="33"/>
      <c r="E324" s="33"/>
      <c r="F324" s="33"/>
      <c r="G324" s="34"/>
      <c r="H324" s="33"/>
      <c r="I324" s="33"/>
      <c r="J324" s="35"/>
      <c r="K324" s="33"/>
      <c r="L324" s="9" t="str">
        <f aca="false">IF(A324="","",A324&amp;"-"&amp;B324)</f>
        <v/>
      </c>
    </row>
    <row r="325" customFormat="false" ht="15" hidden="false" customHeight="false" outlineLevel="0" collapsed="false">
      <c r="A325" s="33"/>
      <c r="B325" s="9" t="str">
        <f aca="false">IF(A325="","",COUNTIF($A$4:A325,A325))</f>
        <v/>
      </c>
      <c r="C325" s="33"/>
      <c r="D325" s="33"/>
      <c r="E325" s="33"/>
      <c r="F325" s="33"/>
      <c r="G325" s="34"/>
      <c r="H325" s="33"/>
      <c r="I325" s="33"/>
      <c r="J325" s="35"/>
      <c r="K325" s="33"/>
      <c r="L325" s="9" t="str">
        <f aca="false">IF(A325="","",A325&amp;"-"&amp;B325)</f>
        <v/>
      </c>
    </row>
    <row r="326" customFormat="false" ht="15" hidden="false" customHeight="false" outlineLevel="0" collapsed="false">
      <c r="A326" s="33"/>
      <c r="B326" s="9" t="str">
        <f aca="false">IF(A326="","",COUNTIF($A$4:A326,A326))</f>
        <v/>
      </c>
      <c r="C326" s="33"/>
      <c r="D326" s="33"/>
      <c r="E326" s="33"/>
      <c r="F326" s="33"/>
      <c r="G326" s="34"/>
      <c r="H326" s="33"/>
      <c r="I326" s="33"/>
      <c r="J326" s="35"/>
      <c r="K326" s="33"/>
      <c r="L326" s="9" t="str">
        <f aca="false">IF(A326="","",A326&amp;"-"&amp;B326)</f>
        <v/>
      </c>
    </row>
    <row r="327" customFormat="false" ht="15" hidden="false" customHeight="false" outlineLevel="0" collapsed="false">
      <c r="A327" s="33"/>
      <c r="B327" s="9" t="str">
        <f aca="false">IF(A327="","",COUNTIF($A$4:A327,A327))</f>
        <v/>
      </c>
      <c r="C327" s="33"/>
      <c r="D327" s="33"/>
      <c r="E327" s="33"/>
      <c r="F327" s="33"/>
      <c r="G327" s="34"/>
      <c r="H327" s="33"/>
      <c r="I327" s="33"/>
      <c r="J327" s="35"/>
      <c r="K327" s="33"/>
      <c r="L327" s="9" t="str">
        <f aca="false">IF(A327="","",A327&amp;"-"&amp;B327)</f>
        <v/>
      </c>
    </row>
    <row r="328" customFormat="false" ht="15" hidden="false" customHeight="false" outlineLevel="0" collapsed="false">
      <c r="A328" s="33"/>
      <c r="B328" s="9" t="str">
        <f aca="false">IF(A328="","",COUNTIF($A$4:A328,A328))</f>
        <v/>
      </c>
      <c r="C328" s="33"/>
      <c r="D328" s="33"/>
      <c r="E328" s="33"/>
      <c r="F328" s="33"/>
      <c r="G328" s="34"/>
      <c r="H328" s="33"/>
      <c r="I328" s="33"/>
      <c r="J328" s="35"/>
      <c r="K328" s="33"/>
      <c r="L328" s="9" t="str">
        <f aca="false">IF(A328="","",A328&amp;"-"&amp;B328)</f>
        <v/>
      </c>
    </row>
    <row r="329" customFormat="false" ht="15" hidden="false" customHeight="false" outlineLevel="0" collapsed="false">
      <c r="A329" s="33"/>
      <c r="B329" s="9" t="str">
        <f aca="false">IF(A329="","",COUNTIF($A$4:A329,A329))</f>
        <v/>
      </c>
      <c r="C329" s="33"/>
      <c r="D329" s="33"/>
      <c r="E329" s="33"/>
      <c r="F329" s="33"/>
      <c r="G329" s="34"/>
      <c r="H329" s="33"/>
      <c r="I329" s="33"/>
      <c r="J329" s="35"/>
      <c r="K329" s="33"/>
      <c r="L329" s="9" t="str">
        <f aca="false">IF(A329="","",A329&amp;"-"&amp;B329)</f>
        <v/>
      </c>
    </row>
    <row r="330" customFormat="false" ht="15" hidden="false" customHeight="false" outlineLevel="0" collapsed="false">
      <c r="A330" s="33"/>
      <c r="B330" s="9" t="str">
        <f aca="false">IF(A330="","",COUNTIF($A$4:A330,A330))</f>
        <v/>
      </c>
      <c r="C330" s="33"/>
      <c r="D330" s="33"/>
      <c r="E330" s="33"/>
      <c r="F330" s="33"/>
      <c r="G330" s="34"/>
      <c r="H330" s="33"/>
      <c r="I330" s="33"/>
      <c r="J330" s="35"/>
      <c r="K330" s="33"/>
      <c r="L330" s="9" t="str">
        <f aca="false">IF(A330="","",A330&amp;"-"&amp;B330)</f>
        <v/>
      </c>
    </row>
    <row r="331" customFormat="false" ht="15" hidden="false" customHeight="false" outlineLevel="0" collapsed="false">
      <c r="A331" s="33"/>
      <c r="B331" s="9" t="str">
        <f aca="false">IF(A331="","",COUNTIF($A$4:A331,A331))</f>
        <v/>
      </c>
      <c r="C331" s="33"/>
      <c r="D331" s="33"/>
      <c r="E331" s="33"/>
      <c r="F331" s="33"/>
      <c r="G331" s="34"/>
      <c r="H331" s="33"/>
      <c r="I331" s="33"/>
      <c r="J331" s="35"/>
      <c r="K331" s="33"/>
      <c r="L331" s="9" t="str">
        <f aca="false">IF(A331="","",A331&amp;"-"&amp;B331)</f>
        <v/>
      </c>
    </row>
    <row r="332" customFormat="false" ht="15" hidden="false" customHeight="false" outlineLevel="0" collapsed="false">
      <c r="A332" s="33"/>
      <c r="B332" s="9" t="str">
        <f aca="false">IF(A332="","",COUNTIF($A$4:A332,A332))</f>
        <v/>
      </c>
      <c r="C332" s="33"/>
      <c r="D332" s="33"/>
      <c r="E332" s="33"/>
      <c r="F332" s="33"/>
      <c r="G332" s="34"/>
      <c r="H332" s="33"/>
      <c r="I332" s="33"/>
      <c r="J332" s="35"/>
      <c r="K332" s="33"/>
      <c r="L332" s="9" t="str">
        <f aca="false">IF(A332="","",A332&amp;"-"&amp;B332)</f>
        <v/>
      </c>
    </row>
    <row r="333" customFormat="false" ht="15" hidden="false" customHeight="false" outlineLevel="0" collapsed="false">
      <c r="A333" s="33"/>
      <c r="B333" s="9" t="str">
        <f aca="false">IF(A333="","",COUNTIF($A$4:A333,A333))</f>
        <v/>
      </c>
      <c r="C333" s="33"/>
      <c r="D333" s="33"/>
      <c r="E333" s="33"/>
      <c r="F333" s="33"/>
      <c r="G333" s="34"/>
      <c r="H333" s="33"/>
      <c r="I333" s="33"/>
      <c r="J333" s="35"/>
      <c r="K333" s="33"/>
      <c r="L333" s="9" t="str">
        <f aca="false">IF(A333="","",A333&amp;"-"&amp;B333)</f>
        <v/>
      </c>
    </row>
    <row r="334" customFormat="false" ht="15" hidden="false" customHeight="false" outlineLevel="0" collapsed="false">
      <c r="A334" s="33"/>
      <c r="B334" s="9" t="str">
        <f aca="false">IF(A334="","",COUNTIF($A$4:A334,A334))</f>
        <v/>
      </c>
      <c r="C334" s="33"/>
      <c r="D334" s="33"/>
      <c r="E334" s="33"/>
      <c r="F334" s="33"/>
      <c r="G334" s="34"/>
      <c r="H334" s="33"/>
      <c r="I334" s="33"/>
      <c r="J334" s="35"/>
      <c r="K334" s="33"/>
      <c r="L334" s="9" t="str">
        <f aca="false">IF(A334="","",A334&amp;"-"&amp;B334)</f>
        <v/>
      </c>
    </row>
    <row r="335" customFormat="false" ht="15" hidden="false" customHeight="false" outlineLevel="0" collapsed="false">
      <c r="A335" s="33"/>
      <c r="B335" s="9" t="str">
        <f aca="false">IF(A335="","",COUNTIF($A$4:A335,A335))</f>
        <v/>
      </c>
      <c r="C335" s="33"/>
      <c r="D335" s="33"/>
      <c r="E335" s="33"/>
      <c r="F335" s="33"/>
      <c r="G335" s="34"/>
      <c r="H335" s="33"/>
      <c r="I335" s="33"/>
      <c r="J335" s="35"/>
      <c r="K335" s="33"/>
      <c r="L335" s="9" t="str">
        <f aca="false">IF(A335="","",A335&amp;"-"&amp;B335)</f>
        <v/>
      </c>
    </row>
    <row r="336" customFormat="false" ht="15" hidden="false" customHeight="false" outlineLevel="0" collapsed="false">
      <c r="A336" s="33"/>
      <c r="B336" s="9" t="str">
        <f aca="false">IF(A336="","",COUNTIF($A$4:A336,A336))</f>
        <v/>
      </c>
      <c r="C336" s="33"/>
      <c r="D336" s="33"/>
      <c r="E336" s="33"/>
      <c r="F336" s="33"/>
      <c r="G336" s="34"/>
      <c r="H336" s="33"/>
      <c r="I336" s="33"/>
      <c r="J336" s="35"/>
      <c r="K336" s="33"/>
      <c r="L336" s="9" t="str">
        <f aca="false">IF(A336="","",A336&amp;"-"&amp;B336)</f>
        <v/>
      </c>
    </row>
    <row r="337" customFormat="false" ht="15" hidden="false" customHeight="false" outlineLevel="0" collapsed="false">
      <c r="A337" s="33"/>
      <c r="B337" s="9" t="str">
        <f aca="false">IF(A337="","",COUNTIF($A$4:A337,A337))</f>
        <v/>
      </c>
      <c r="C337" s="33"/>
      <c r="D337" s="33"/>
      <c r="E337" s="33"/>
      <c r="F337" s="33"/>
      <c r="G337" s="34"/>
      <c r="H337" s="33"/>
      <c r="I337" s="33"/>
      <c r="J337" s="35"/>
      <c r="K337" s="33"/>
      <c r="L337" s="9" t="str">
        <f aca="false">IF(A337="","",A337&amp;"-"&amp;B337)</f>
        <v/>
      </c>
    </row>
    <row r="338" customFormat="false" ht="15" hidden="false" customHeight="false" outlineLevel="0" collapsed="false">
      <c r="A338" s="33"/>
      <c r="B338" s="9" t="str">
        <f aca="false">IF(A338="","",COUNTIF($A$4:A338,A338))</f>
        <v/>
      </c>
      <c r="C338" s="33"/>
      <c r="D338" s="33"/>
      <c r="E338" s="33"/>
      <c r="F338" s="33"/>
      <c r="G338" s="34"/>
      <c r="H338" s="33"/>
      <c r="I338" s="33"/>
      <c r="J338" s="35"/>
      <c r="K338" s="33"/>
      <c r="L338" s="9" t="str">
        <f aca="false">IF(A338="","",A338&amp;"-"&amp;B338)</f>
        <v/>
      </c>
    </row>
    <row r="339" customFormat="false" ht="15" hidden="false" customHeight="false" outlineLevel="0" collapsed="false">
      <c r="A339" s="33"/>
      <c r="B339" s="9" t="str">
        <f aca="false">IF(A339="","",COUNTIF($A$4:A339,A339))</f>
        <v/>
      </c>
      <c r="C339" s="33"/>
      <c r="D339" s="33"/>
      <c r="E339" s="33"/>
      <c r="F339" s="33"/>
      <c r="G339" s="34"/>
      <c r="H339" s="33"/>
      <c r="I339" s="33"/>
      <c r="J339" s="35"/>
      <c r="K339" s="33"/>
      <c r="L339" s="9" t="str">
        <f aca="false">IF(A339="","",A339&amp;"-"&amp;B339)</f>
        <v/>
      </c>
    </row>
    <row r="340" customFormat="false" ht="15" hidden="false" customHeight="false" outlineLevel="0" collapsed="false">
      <c r="A340" s="33"/>
      <c r="B340" s="9" t="str">
        <f aca="false">IF(A340="","",COUNTIF($A$4:A340,A340))</f>
        <v/>
      </c>
      <c r="C340" s="33"/>
      <c r="D340" s="33"/>
      <c r="E340" s="33"/>
      <c r="F340" s="33"/>
      <c r="G340" s="34"/>
      <c r="H340" s="33"/>
      <c r="I340" s="33"/>
      <c r="J340" s="35"/>
      <c r="K340" s="33"/>
      <c r="L340" s="9" t="str">
        <f aca="false">IF(A340="","",A340&amp;"-"&amp;B340)</f>
        <v/>
      </c>
    </row>
    <row r="341" customFormat="false" ht="15" hidden="false" customHeight="false" outlineLevel="0" collapsed="false">
      <c r="A341" s="33"/>
      <c r="B341" s="9" t="str">
        <f aca="false">IF(A341="","",COUNTIF($A$4:A341,A341))</f>
        <v/>
      </c>
      <c r="C341" s="33"/>
      <c r="D341" s="33"/>
      <c r="E341" s="33"/>
      <c r="F341" s="33"/>
      <c r="G341" s="34"/>
      <c r="H341" s="33"/>
      <c r="I341" s="33"/>
      <c r="J341" s="35"/>
      <c r="K341" s="33"/>
      <c r="L341" s="9" t="str">
        <f aca="false">IF(A341="","",A341&amp;"-"&amp;B341)</f>
        <v/>
      </c>
    </row>
    <row r="342" customFormat="false" ht="15" hidden="false" customHeight="false" outlineLevel="0" collapsed="false">
      <c r="A342" s="33"/>
      <c r="B342" s="9" t="str">
        <f aca="false">IF(A342="","",COUNTIF($A$4:A342,A342))</f>
        <v/>
      </c>
      <c r="C342" s="33"/>
      <c r="D342" s="33"/>
      <c r="E342" s="33"/>
      <c r="F342" s="33"/>
      <c r="G342" s="34"/>
      <c r="H342" s="33"/>
      <c r="I342" s="33"/>
      <c r="J342" s="35"/>
      <c r="K342" s="33"/>
      <c r="L342" s="9" t="str">
        <f aca="false">IF(A342="","",A342&amp;"-"&amp;B342)</f>
        <v/>
      </c>
    </row>
    <row r="343" customFormat="false" ht="15" hidden="false" customHeight="false" outlineLevel="0" collapsed="false">
      <c r="A343" s="33"/>
      <c r="B343" s="9" t="str">
        <f aca="false">IF(A343="","",COUNTIF($A$4:A343,A343))</f>
        <v/>
      </c>
      <c r="C343" s="33"/>
      <c r="D343" s="33"/>
      <c r="E343" s="33"/>
      <c r="F343" s="33"/>
      <c r="G343" s="34"/>
      <c r="H343" s="33"/>
      <c r="I343" s="33"/>
      <c r="J343" s="35"/>
      <c r="K343" s="33"/>
      <c r="L343" s="9" t="str">
        <f aca="false">IF(A343="","",A343&amp;"-"&amp;B343)</f>
        <v/>
      </c>
    </row>
    <row r="344" customFormat="false" ht="15" hidden="false" customHeight="false" outlineLevel="0" collapsed="false">
      <c r="A344" s="33"/>
      <c r="B344" s="9" t="str">
        <f aca="false">IF(A344="","",COUNTIF($A$4:A344,A344))</f>
        <v/>
      </c>
      <c r="C344" s="33"/>
      <c r="D344" s="33"/>
      <c r="E344" s="33"/>
      <c r="F344" s="33"/>
      <c r="G344" s="34"/>
      <c r="H344" s="33"/>
      <c r="I344" s="33"/>
      <c r="J344" s="35"/>
      <c r="K344" s="33"/>
      <c r="L344" s="9" t="str">
        <f aca="false">IF(A344="","",A344&amp;"-"&amp;B344)</f>
        <v/>
      </c>
    </row>
    <row r="345" customFormat="false" ht="15" hidden="false" customHeight="false" outlineLevel="0" collapsed="false">
      <c r="A345" s="33"/>
      <c r="B345" s="9" t="str">
        <f aca="false">IF(A345="","",COUNTIF($A$4:A345,A345))</f>
        <v/>
      </c>
      <c r="C345" s="33"/>
      <c r="D345" s="33"/>
      <c r="E345" s="33"/>
      <c r="F345" s="33"/>
      <c r="G345" s="34"/>
      <c r="H345" s="33"/>
      <c r="I345" s="33"/>
      <c r="J345" s="35"/>
      <c r="K345" s="33"/>
      <c r="L345" s="9" t="str">
        <f aca="false">IF(A345="","",A345&amp;"-"&amp;B345)</f>
        <v/>
      </c>
    </row>
    <row r="346" customFormat="false" ht="15" hidden="false" customHeight="false" outlineLevel="0" collapsed="false">
      <c r="A346" s="33"/>
      <c r="B346" s="9" t="str">
        <f aca="false">IF(A346="","",COUNTIF($A$4:A346,A346))</f>
        <v/>
      </c>
      <c r="C346" s="33"/>
      <c r="D346" s="33"/>
      <c r="E346" s="33"/>
      <c r="F346" s="33"/>
      <c r="G346" s="34"/>
      <c r="H346" s="33"/>
      <c r="I346" s="33"/>
      <c r="J346" s="35"/>
      <c r="K346" s="33"/>
      <c r="L346" s="9" t="str">
        <f aca="false">IF(A346="","",A346&amp;"-"&amp;B346)</f>
        <v/>
      </c>
    </row>
    <row r="347" customFormat="false" ht="15" hidden="false" customHeight="false" outlineLevel="0" collapsed="false">
      <c r="A347" s="33"/>
      <c r="B347" s="9" t="str">
        <f aca="false">IF(A347="","",COUNTIF($A$4:A347,A347))</f>
        <v/>
      </c>
      <c r="C347" s="33"/>
      <c r="D347" s="33"/>
      <c r="E347" s="33"/>
      <c r="F347" s="33"/>
      <c r="G347" s="34"/>
      <c r="H347" s="33"/>
      <c r="I347" s="33"/>
      <c r="J347" s="35"/>
      <c r="K347" s="33"/>
      <c r="L347" s="9" t="str">
        <f aca="false">IF(A347="","",A347&amp;"-"&amp;B347)</f>
        <v/>
      </c>
    </row>
    <row r="348" customFormat="false" ht="15" hidden="false" customHeight="false" outlineLevel="0" collapsed="false">
      <c r="A348" s="33"/>
      <c r="B348" s="9" t="str">
        <f aca="false">IF(A348="","",COUNTIF($A$4:A348,A348))</f>
        <v/>
      </c>
      <c r="C348" s="33"/>
      <c r="D348" s="33"/>
      <c r="E348" s="33"/>
      <c r="F348" s="33"/>
      <c r="G348" s="34"/>
      <c r="H348" s="33"/>
      <c r="I348" s="33"/>
      <c r="J348" s="35"/>
      <c r="K348" s="33"/>
      <c r="L348" s="9" t="str">
        <f aca="false">IF(A348="","",A348&amp;"-"&amp;B348)</f>
        <v/>
      </c>
    </row>
    <row r="349" customFormat="false" ht="15" hidden="false" customHeight="false" outlineLevel="0" collapsed="false">
      <c r="A349" s="33"/>
      <c r="B349" s="9" t="str">
        <f aca="false">IF(A349="","",COUNTIF($A$4:A349,A349))</f>
        <v/>
      </c>
      <c r="C349" s="33"/>
      <c r="D349" s="33"/>
      <c r="E349" s="33"/>
      <c r="F349" s="33"/>
      <c r="G349" s="34"/>
      <c r="H349" s="33"/>
      <c r="I349" s="33"/>
      <c r="J349" s="35"/>
      <c r="K349" s="33"/>
      <c r="L349" s="9" t="str">
        <f aca="false">IF(A349="","",A349&amp;"-"&amp;B349)</f>
        <v/>
      </c>
    </row>
    <row r="350" customFormat="false" ht="15" hidden="false" customHeight="false" outlineLevel="0" collapsed="false">
      <c r="A350" s="33"/>
      <c r="B350" s="9" t="str">
        <f aca="false">IF(A350="","",COUNTIF($A$4:A350,A350))</f>
        <v/>
      </c>
      <c r="C350" s="33"/>
      <c r="D350" s="33"/>
      <c r="E350" s="33"/>
      <c r="F350" s="33"/>
      <c r="G350" s="34"/>
      <c r="H350" s="33"/>
      <c r="I350" s="33"/>
      <c r="J350" s="35"/>
      <c r="K350" s="33"/>
      <c r="L350" s="9" t="str">
        <f aca="false">IF(A350="","",A350&amp;"-"&amp;B350)</f>
        <v/>
      </c>
    </row>
    <row r="351" customFormat="false" ht="15" hidden="false" customHeight="false" outlineLevel="0" collapsed="false">
      <c r="A351" s="33"/>
      <c r="B351" s="9" t="str">
        <f aca="false">IF(A351="","",COUNTIF($A$4:A351,A351))</f>
        <v/>
      </c>
      <c r="C351" s="33"/>
      <c r="D351" s="33"/>
      <c r="E351" s="33"/>
      <c r="F351" s="33"/>
      <c r="G351" s="34"/>
      <c r="H351" s="33"/>
      <c r="I351" s="33"/>
      <c r="J351" s="35"/>
      <c r="K351" s="33"/>
      <c r="L351" s="9" t="str">
        <f aca="false">IF(A351="","",A351&amp;"-"&amp;B351)</f>
        <v/>
      </c>
    </row>
    <row r="352" customFormat="false" ht="15" hidden="false" customHeight="false" outlineLevel="0" collapsed="false">
      <c r="A352" s="33"/>
      <c r="B352" s="9" t="str">
        <f aca="false">IF(A352="","",COUNTIF($A$4:A352,A352))</f>
        <v/>
      </c>
      <c r="C352" s="33"/>
      <c r="D352" s="33"/>
      <c r="E352" s="33"/>
      <c r="F352" s="33"/>
      <c r="G352" s="34"/>
      <c r="H352" s="33"/>
      <c r="I352" s="33"/>
      <c r="J352" s="35"/>
      <c r="K352" s="33"/>
      <c r="L352" s="9" t="str">
        <f aca="false">IF(A352="","",A352&amp;"-"&amp;B352)</f>
        <v/>
      </c>
    </row>
    <row r="353" customFormat="false" ht="15" hidden="false" customHeight="false" outlineLevel="0" collapsed="false">
      <c r="A353" s="33"/>
      <c r="B353" s="9" t="str">
        <f aca="false">IF(A353="","",COUNTIF($A$4:A353,A353))</f>
        <v/>
      </c>
      <c r="C353" s="33"/>
      <c r="D353" s="33"/>
      <c r="E353" s="33"/>
      <c r="F353" s="33"/>
      <c r="G353" s="34"/>
      <c r="H353" s="33"/>
      <c r="I353" s="33"/>
      <c r="J353" s="35"/>
      <c r="K353" s="33"/>
      <c r="L353" s="9" t="str">
        <f aca="false">IF(A353="","",A353&amp;"-"&amp;B353)</f>
        <v/>
      </c>
    </row>
    <row r="354" customFormat="false" ht="15" hidden="false" customHeight="false" outlineLevel="0" collapsed="false">
      <c r="A354" s="33"/>
      <c r="B354" s="9" t="str">
        <f aca="false">IF(A354="","",COUNTIF($A$4:A354,A354))</f>
        <v/>
      </c>
      <c r="C354" s="33"/>
      <c r="D354" s="33"/>
      <c r="E354" s="33"/>
      <c r="F354" s="33"/>
      <c r="G354" s="34"/>
      <c r="H354" s="33"/>
      <c r="I354" s="33"/>
      <c r="J354" s="35"/>
      <c r="K354" s="33"/>
      <c r="L354" s="9" t="str">
        <f aca="false">IF(A354="","",A354&amp;"-"&amp;B354)</f>
        <v/>
      </c>
    </row>
    <row r="355" customFormat="false" ht="15" hidden="false" customHeight="false" outlineLevel="0" collapsed="false">
      <c r="A355" s="33"/>
      <c r="B355" s="9" t="str">
        <f aca="false">IF(A355="","",COUNTIF($A$4:A355,A355))</f>
        <v/>
      </c>
      <c r="C355" s="33"/>
      <c r="D355" s="33"/>
      <c r="E355" s="33"/>
      <c r="F355" s="33"/>
      <c r="G355" s="34"/>
      <c r="H355" s="33"/>
      <c r="I355" s="33"/>
      <c r="J355" s="35"/>
      <c r="K355" s="33"/>
      <c r="L355" s="9" t="str">
        <f aca="false">IF(A355="","",A355&amp;"-"&amp;B355)</f>
        <v/>
      </c>
    </row>
    <row r="356" customFormat="false" ht="15" hidden="false" customHeight="false" outlineLevel="0" collapsed="false">
      <c r="A356" s="33"/>
      <c r="B356" s="9" t="str">
        <f aca="false">IF(A356="","",COUNTIF($A$4:A356,A356))</f>
        <v/>
      </c>
      <c r="C356" s="33"/>
      <c r="D356" s="33"/>
      <c r="E356" s="33"/>
      <c r="F356" s="33"/>
      <c r="G356" s="34"/>
      <c r="H356" s="33"/>
      <c r="I356" s="33"/>
      <c r="J356" s="35"/>
      <c r="K356" s="33"/>
      <c r="L356" s="9" t="str">
        <f aca="false">IF(A356="","",A356&amp;"-"&amp;B356)</f>
        <v/>
      </c>
    </row>
    <row r="357" customFormat="false" ht="15" hidden="false" customHeight="false" outlineLevel="0" collapsed="false">
      <c r="A357" s="33"/>
      <c r="B357" s="9" t="str">
        <f aca="false">IF(A357="","",COUNTIF($A$4:A357,A357))</f>
        <v/>
      </c>
      <c r="C357" s="33"/>
      <c r="D357" s="33"/>
      <c r="E357" s="33"/>
      <c r="F357" s="33"/>
      <c r="G357" s="34"/>
      <c r="H357" s="33"/>
      <c r="I357" s="33"/>
      <c r="J357" s="35"/>
      <c r="K357" s="33"/>
      <c r="L357" s="9" t="str">
        <f aca="false">IF(A357="","",A357&amp;"-"&amp;B357)</f>
        <v/>
      </c>
    </row>
    <row r="358" customFormat="false" ht="15" hidden="false" customHeight="false" outlineLevel="0" collapsed="false">
      <c r="A358" s="33"/>
      <c r="B358" s="9" t="str">
        <f aca="false">IF(A358="","",COUNTIF($A$4:A358,A358))</f>
        <v/>
      </c>
      <c r="C358" s="33"/>
      <c r="D358" s="33"/>
      <c r="E358" s="33"/>
      <c r="F358" s="33"/>
      <c r="G358" s="34"/>
      <c r="H358" s="33"/>
      <c r="I358" s="33"/>
      <c r="J358" s="35"/>
      <c r="K358" s="33"/>
      <c r="L358" s="9" t="str">
        <f aca="false">IF(A358="","",A358&amp;"-"&amp;B358)</f>
        <v/>
      </c>
    </row>
    <row r="359" customFormat="false" ht="15" hidden="false" customHeight="false" outlineLevel="0" collapsed="false">
      <c r="A359" s="33"/>
      <c r="B359" s="9" t="str">
        <f aca="false">IF(A359="","",COUNTIF($A$4:A359,A359))</f>
        <v/>
      </c>
      <c r="C359" s="33"/>
      <c r="D359" s="33"/>
      <c r="E359" s="33"/>
      <c r="F359" s="33"/>
      <c r="G359" s="34"/>
      <c r="H359" s="33"/>
      <c r="I359" s="33"/>
      <c r="J359" s="35"/>
      <c r="K359" s="33"/>
      <c r="L359" s="9" t="str">
        <f aca="false">IF(A359="","",A359&amp;"-"&amp;B359)</f>
        <v/>
      </c>
    </row>
    <row r="360" customFormat="false" ht="15" hidden="false" customHeight="false" outlineLevel="0" collapsed="false">
      <c r="A360" s="33"/>
      <c r="B360" s="9" t="str">
        <f aca="false">IF(A360="","",COUNTIF($A$4:A360,A360))</f>
        <v/>
      </c>
      <c r="C360" s="33"/>
      <c r="D360" s="33"/>
      <c r="E360" s="33"/>
      <c r="F360" s="33"/>
      <c r="G360" s="34"/>
      <c r="H360" s="33"/>
      <c r="I360" s="33"/>
      <c r="J360" s="35"/>
      <c r="K360" s="33"/>
      <c r="L360" s="9" t="str">
        <f aca="false">IF(A360="","",A360&amp;"-"&amp;B360)</f>
        <v/>
      </c>
    </row>
    <row r="361" customFormat="false" ht="15" hidden="false" customHeight="false" outlineLevel="0" collapsed="false">
      <c r="A361" s="33"/>
      <c r="B361" s="9" t="str">
        <f aca="false">IF(A361="","",COUNTIF($A$4:A361,A361))</f>
        <v/>
      </c>
      <c r="C361" s="33"/>
      <c r="D361" s="33"/>
      <c r="E361" s="33"/>
      <c r="F361" s="33"/>
      <c r="G361" s="34"/>
      <c r="H361" s="33"/>
      <c r="I361" s="33"/>
      <c r="J361" s="35"/>
      <c r="K361" s="33"/>
      <c r="L361" s="9" t="str">
        <f aca="false">IF(A361="","",A361&amp;"-"&amp;B361)</f>
        <v/>
      </c>
    </row>
    <row r="362" customFormat="false" ht="15" hidden="false" customHeight="false" outlineLevel="0" collapsed="false">
      <c r="A362" s="33"/>
      <c r="B362" s="9" t="str">
        <f aca="false">IF(A362="","",COUNTIF($A$4:A362,A362))</f>
        <v/>
      </c>
      <c r="C362" s="33"/>
      <c r="D362" s="33"/>
      <c r="E362" s="33"/>
      <c r="F362" s="33"/>
      <c r="G362" s="34"/>
      <c r="H362" s="33"/>
      <c r="I362" s="33"/>
      <c r="J362" s="35"/>
      <c r="K362" s="33"/>
      <c r="L362" s="9" t="str">
        <f aca="false">IF(A362="","",A362&amp;"-"&amp;B362)</f>
        <v/>
      </c>
    </row>
    <row r="363" customFormat="false" ht="15" hidden="false" customHeight="false" outlineLevel="0" collapsed="false">
      <c r="A363" s="33"/>
      <c r="B363" s="9" t="str">
        <f aca="false">IF(A363="","",COUNTIF($A$4:A363,A363))</f>
        <v/>
      </c>
      <c r="C363" s="33"/>
      <c r="D363" s="33"/>
      <c r="E363" s="33"/>
      <c r="F363" s="33"/>
      <c r="G363" s="34"/>
      <c r="H363" s="33"/>
      <c r="I363" s="33"/>
      <c r="J363" s="35"/>
      <c r="K363" s="33"/>
      <c r="L363" s="9" t="str">
        <f aca="false">IF(A363="","",A363&amp;"-"&amp;B363)</f>
        <v/>
      </c>
    </row>
    <row r="364" customFormat="false" ht="15" hidden="false" customHeight="false" outlineLevel="0" collapsed="false">
      <c r="A364" s="33"/>
      <c r="B364" s="9" t="str">
        <f aca="false">IF(A364="","",COUNTIF($A$4:A364,A364))</f>
        <v/>
      </c>
      <c r="C364" s="33"/>
      <c r="D364" s="33"/>
      <c r="E364" s="33"/>
      <c r="F364" s="33"/>
      <c r="G364" s="34"/>
      <c r="H364" s="33"/>
      <c r="I364" s="33"/>
      <c r="J364" s="35"/>
      <c r="K364" s="33"/>
      <c r="L364" s="9" t="str">
        <f aca="false">IF(A364="","",A364&amp;"-"&amp;B364)</f>
        <v/>
      </c>
    </row>
    <row r="365" customFormat="false" ht="15" hidden="false" customHeight="false" outlineLevel="0" collapsed="false">
      <c r="A365" s="33"/>
      <c r="B365" s="9" t="str">
        <f aca="false">IF(A365="","",COUNTIF($A$4:A365,A365))</f>
        <v/>
      </c>
      <c r="C365" s="33"/>
      <c r="D365" s="33"/>
      <c r="E365" s="33"/>
      <c r="F365" s="33"/>
      <c r="G365" s="34"/>
      <c r="H365" s="33"/>
      <c r="I365" s="33"/>
      <c r="J365" s="35"/>
      <c r="K365" s="33"/>
      <c r="L365" s="9" t="str">
        <f aca="false">IF(A365="","",A365&amp;"-"&amp;B365)</f>
        <v/>
      </c>
    </row>
    <row r="366" customFormat="false" ht="15" hidden="false" customHeight="false" outlineLevel="0" collapsed="false">
      <c r="A366" s="33"/>
      <c r="B366" s="9" t="str">
        <f aca="false">IF(A366="","",COUNTIF($A$4:A366,A366))</f>
        <v/>
      </c>
      <c r="C366" s="33"/>
      <c r="D366" s="33"/>
      <c r="E366" s="33"/>
      <c r="F366" s="33"/>
      <c r="G366" s="34"/>
      <c r="H366" s="33"/>
      <c r="I366" s="33"/>
      <c r="J366" s="35"/>
      <c r="K366" s="33"/>
      <c r="L366" s="9" t="str">
        <f aca="false">IF(A366="","",A366&amp;"-"&amp;B366)</f>
        <v/>
      </c>
    </row>
    <row r="367" customFormat="false" ht="15" hidden="false" customHeight="false" outlineLevel="0" collapsed="false">
      <c r="A367" s="33"/>
      <c r="B367" s="9" t="str">
        <f aca="false">IF(A367="","",COUNTIF($A$4:A367,A367))</f>
        <v/>
      </c>
      <c r="C367" s="33"/>
      <c r="D367" s="33"/>
      <c r="E367" s="33"/>
      <c r="F367" s="33"/>
      <c r="G367" s="34"/>
      <c r="H367" s="33"/>
      <c r="I367" s="33"/>
      <c r="J367" s="35"/>
      <c r="K367" s="33"/>
      <c r="L367" s="9" t="str">
        <f aca="false">IF(A367="","",A367&amp;"-"&amp;B367)</f>
        <v/>
      </c>
    </row>
    <row r="368" customFormat="false" ht="15" hidden="false" customHeight="false" outlineLevel="0" collapsed="false">
      <c r="A368" s="33"/>
      <c r="B368" s="9" t="str">
        <f aca="false">IF(A368="","",COUNTIF($A$4:A368,A368))</f>
        <v/>
      </c>
      <c r="C368" s="33"/>
      <c r="D368" s="33"/>
      <c r="E368" s="33"/>
      <c r="F368" s="33"/>
      <c r="G368" s="34"/>
      <c r="H368" s="33"/>
      <c r="I368" s="33"/>
      <c r="J368" s="35"/>
      <c r="K368" s="33"/>
      <c r="L368" s="9" t="str">
        <f aca="false">IF(A368="","",A368&amp;"-"&amp;B368)</f>
        <v/>
      </c>
    </row>
    <row r="369" customFormat="false" ht="15" hidden="false" customHeight="false" outlineLevel="0" collapsed="false">
      <c r="A369" s="33"/>
      <c r="B369" s="9" t="str">
        <f aca="false">IF(A369="","",COUNTIF($A$4:A369,A369))</f>
        <v/>
      </c>
      <c r="C369" s="33"/>
      <c r="D369" s="33"/>
      <c r="E369" s="33"/>
      <c r="F369" s="33"/>
      <c r="G369" s="34"/>
      <c r="H369" s="33"/>
      <c r="I369" s="33"/>
      <c r="J369" s="35"/>
      <c r="K369" s="33"/>
      <c r="L369" s="9" t="str">
        <f aca="false">IF(A369="","",A369&amp;"-"&amp;B369)</f>
        <v/>
      </c>
    </row>
    <row r="370" customFormat="false" ht="15" hidden="false" customHeight="false" outlineLevel="0" collapsed="false">
      <c r="A370" s="33"/>
      <c r="B370" s="9" t="str">
        <f aca="false">IF(A370="","",COUNTIF($A$4:A370,A370))</f>
        <v/>
      </c>
      <c r="C370" s="33"/>
      <c r="D370" s="33"/>
      <c r="E370" s="33"/>
      <c r="F370" s="33"/>
      <c r="G370" s="34"/>
      <c r="H370" s="33"/>
      <c r="I370" s="33"/>
      <c r="J370" s="35"/>
      <c r="K370" s="33"/>
      <c r="L370" s="9" t="str">
        <f aca="false">IF(A370="","",A370&amp;"-"&amp;B370)</f>
        <v/>
      </c>
    </row>
    <row r="371" customFormat="false" ht="15" hidden="false" customHeight="false" outlineLevel="0" collapsed="false">
      <c r="A371" s="33"/>
      <c r="B371" s="9" t="str">
        <f aca="false">IF(A371="","",COUNTIF($A$4:A371,A371))</f>
        <v/>
      </c>
      <c r="C371" s="33"/>
      <c r="D371" s="33"/>
      <c r="E371" s="33"/>
      <c r="F371" s="33"/>
      <c r="G371" s="34"/>
      <c r="H371" s="33"/>
      <c r="I371" s="33"/>
      <c r="J371" s="35"/>
      <c r="K371" s="33"/>
      <c r="L371" s="9" t="str">
        <f aca="false">IF(A371="","",A371&amp;"-"&amp;B371)</f>
        <v/>
      </c>
    </row>
    <row r="372" customFormat="false" ht="15" hidden="false" customHeight="false" outlineLevel="0" collapsed="false">
      <c r="A372" s="33"/>
      <c r="B372" s="9" t="str">
        <f aca="false">IF(A372="","",COUNTIF($A$4:A372,A372))</f>
        <v/>
      </c>
      <c r="C372" s="33"/>
      <c r="D372" s="33"/>
      <c r="E372" s="33"/>
      <c r="F372" s="33"/>
      <c r="G372" s="34"/>
      <c r="H372" s="33"/>
      <c r="I372" s="33"/>
      <c r="J372" s="35"/>
      <c r="K372" s="33"/>
      <c r="L372" s="9" t="str">
        <f aca="false">IF(A372="","",A372&amp;"-"&amp;B372)</f>
        <v/>
      </c>
    </row>
    <row r="373" customFormat="false" ht="15" hidden="false" customHeight="false" outlineLevel="0" collapsed="false">
      <c r="A373" s="33"/>
      <c r="B373" s="9" t="str">
        <f aca="false">IF(A373="","",COUNTIF($A$4:A373,A373))</f>
        <v/>
      </c>
      <c r="C373" s="33"/>
      <c r="D373" s="33"/>
      <c r="E373" s="33"/>
      <c r="F373" s="33"/>
      <c r="G373" s="34"/>
      <c r="H373" s="33"/>
      <c r="I373" s="33"/>
      <c r="J373" s="35"/>
      <c r="K373" s="33"/>
      <c r="L373" s="9" t="str">
        <f aca="false">IF(A373="","",A373&amp;"-"&amp;B373)</f>
        <v/>
      </c>
    </row>
    <row r="374" customFormat="false" ht="15" hidden="false" customHeight="false" outlineLevel="0" collapsed="false">
      <c r="A374" s="33"/>
      <c r="B374" s="9" t="str">
        <f aca="false">IF(A374="","",COUNTIF($A$4:A374,A374))</f>
        <v/>
      </c>
      <c r="C374" s="33"/>
      <c r="D374" s="33"/>
      <c r="E374" s="33"/>
      <c r="F374" s="33"/>
      <c r="G374" s="34"/>
      <c r="H374" s="33"/>
      <c r="I374" s="33"/>
      <c r="J374" s="35"/>
      <c r="K374" s="33"/>
      <c r="L374" s="9" t="str">
        <f aca="false">IF(A374="","",A374&amp;"-"&amp;B374)</f>
        <v/>
      </c>
    </row>
    <row r="375" customFormat="false" ht="15" hidden="false" customHeight="false" outlineLevel="0" collapsed="false">
      <c r="A375" s="33"/>
      <c r="B375" s="9" t="str">
        <f aca="false">IF(A375="","",COUNTIF($A$4:A375,A375))</f>
        <v/>
      </c>
      <c r="C375" s="33"/>
      <c r="D375" s="33"/>
      <c r="E375" s="33"/>
      <c r="F375" s="33"/>
      <c r="G375" s="34"/>
      <c r="H375" s="33"/>
      <c r="I375" s="33"/>
      <c r="J375" s="35"/>
      <c r="K375" s="33"/>
      <c r="L375" s="9" t="str">
        <f aca="false">IF(A375="","",A375&amp;"-"&amp;B375)</f>
        <v/>
      </c>
    </row>
    <row r="376" customFormat="false" ht="15" hidden="false" customHeight="false" outlineLevel="0" collapsed="false">
      <c r="A376" s="33"/>
      <c r="B376" s="9" t="str">
        <f aca="false">IF(A376="","",COUNTIF($A$4:A376,A376))</f>
        <v/>
      </c>
      <c r="C376" s="33"/>
      <c r="D376" s="33"/>
      <c r="E376" s="33"/>
      <c r="F376" s="33"/>
      <c r="G376" s="34"/>
      <c r="H376" s="33"/>
      <c r="I376" s="33"/>
      <c r="J376" s="35"/>
      <c r="K376" s="33"/>
      <c r="L376" s="9" t="str">
        <f aca="false">IF(A376="","",A376&amp;"-"&amp;B376)</f>
        <v/>
      </c>
    </row>
    <row r="377" customFormat="false" ht="15" hidden="false" customHeight="false" outlineLevel="0" collapsed="false">
      <c r="A377" s="33"/>
      <c r="B377" s="9" t="str">
        <f aca="false">IF(A377="","",COUNTIF($A$4:A377,A377))</f>
        <v/>
      </c>
      <c r="C377" s="33"/>
      <c r="D377" s="33"/>
      <c r="E377" s="33"/>
      <c r="F377" s="33"/>
      <c r="G377" s="34"/>
      <c r="H377" s="33"/>
      <c r="I377" s="33"/>
      <c r="J377" s="35"/>
      <c r="K377" s="33"/>
      <c r="L377" s="9" t="str">
        <f aca="false">IF(A377="","",A377&amp;"-"&amp;B377)</f>
        <v/>
      </c>
    </row>
    <row r="378" customFormat="false" ht="15" hidden="false" customHeight="false" outlineLevel="0" collapsed="false">
      <c r="A378" s="33"/>
      <c r="B378" s="9" t="str">
        <f aca="false">IF(A378="","",COUNTIF($A$4:A378,A378))</f>
        <v/>
      </c>
      <c r="C378" s="33"/>
      <c r="D378" s="33"/>
      <c r="E378" s="33"/>
      <c r="F378" s="33"/>
      <c r="G378" s="34"/>
      <c r="H378" s="33"/>
      <c r="I378" s="33"/>
      <c r="J378" s="35"/>
      <c r="K378" s="33"/>
      <c r="L378" s="9" t="str">
        <f aca="false">IF(A378="","",A378&amp;"-"&amp;B378)</f>
        <v/>
      </c>
    </row>
    <row r="379" customFormat="false" ht="15" hidden="false" customHeight="false" outlineLevel="0" collapsed="false">
      <c r="A379" s="33"/>
      <c r="B379" s="9" t="str">
        <f aca="false">IF(A379="","",COUNTIF($A$4:A379,A379))</f>
        <v/>
      </c>
      <c r="C379" s="33"/>
      <c r="D379" s="33"/>
      <c r="E379" s="33"/>
      <c r="F379" s="33"/>
      <c r="G379" s="34"/>
      <c r="H379" s="33"/>
      <c r="I379" s="33"/>
      <c r="J379" s="35"/>
      <c r="K379" s="33"/>
      <c r="L379" s="9" t="str">
        <f aca="false">IF(A379="","",A379&amp;"-"&amp;B379)</f>
        <v/>
      </c>
    </row>
    <row r="380" customFormat="false" ht="15" hidden="false" customHeight="false" outlineLevel="0" collapsed="false">
      <c r="A380" s="33"/>
      <c r="B380" s="9" t="str">
        <f aca="false">IF(A380="","",COUNTIF($A$4:A380,A380))</f>
        <v/>
      </c>
      <c r="C380" s="33"/>
      <c r="D380" s="33"/>
      <c r="E380" s="33"/>
      <c r="F380" s="33"/>
      <c r="G380" s="34"/>
      <c r="H380" s="33"/>
      <c r="I380" s="33"/>
      <c r="J380" s="35"/>
      <c r="K380" s="33"/>
      <c r="L380" s="9" t="str">
        <f aca="false">IF(A380="","",A380&amp;"-"&amp;B380)</f>
        <v/>
      </c>
    </row>
    <row r="381" customFormat="false" ht="15" hidden="false" customHeight="false" outlineLevel="0" collapsed="false">
      <c r="A381" s="33"/>
      <c r="B381" s="9" t="str">
        <f aca="false">IF(A381="","",COUNTIF($A$4:A381,A381))</f>
        <v/>
      </c>
      <c r="C381" s="33"/>
      <c r="D381" s="33"/>
      <c r="E381" s="33"/>
      <c r="F381" s="33"/>
      <c r="G381" s="34"/>
      <c r="H381" s="33"/>
      <c r="I381" s="33"/>
      <c r="J381" s="35"/>
      <c r="K381" s="33"/>
      <c r="L381" s="9" t="str">
        <f aca="false">IF(A381="","",A381&amp;"-"&amp;B381)</f>
        <v/>
      </c>
    </row>
    <row r="382" customFormat="false" ht="15" hidden="false" customHeight="false" outlineLevel="0" collapsed="false">
      <c r="A382" s="33"/>
      <c r="B382" s="9" t="str">
        <f aca="false">IF(A382="","",COUNTIF($A$4:A382,A382))</f>
        <v/>
      </c>
      <c r="C382" s="33"/>
      <c r="D382" s="33"/>
      <c r="E382" s="33"/>
      <c r="F382" s="33"/>
      <c r="G382" s="34"/>
      <c r="H382" s="33"/>
      <c r="I382" s="33"/>
      <c r="J382" s="35"/>
      <c r="K382" s="33"/>
      <c r="L382" s="9" t="str">
        <f aca="false">IF(A382="","",A382&amp;"-"&amp;B382)</f>
        <v/>
      </c>
    </row>
    <row r="383" customFormat="false" ht="15" hidden="false" customHeight="false" outlineLevel="0" collapsed="false">
      <c r="A383" s="33"/>
      <c r="B383" s="9" t="str">
        <f aca="false">IF(A383="","",COUNTIF($A$4:A383,A383))</f>
        <v/>
      </c>
      <c r="C383" s="33"/>
      <c r="D383" s="33"/>
      <c r="E383" s="33"/>
      <c r="F383" s="33"/>
      <c r="G383" s="34"/>
      <c r="H383" s="33"/>
      <c r="I383" s="33"/>
      <c r="J383" s="35"/>
      <c r="K383" s="33"/>
      <c r="L383" s="9" t="str">
        <f aca="false">IF(A383="","",A383&amp;"-"&amp;B383)</f>
        <v/>
      </c>
    </row>
    <row r="384" customFormat="false" ht="15" hidden="false" customHeight="false" outlineLevel="0" collapsed="false">
      <c r="A384" s="33"/>
      <c r="B384" s="9" t="str">
        <f aca="false">IF(A384="","",COUNTIF($A$4:A384,A384))</f>
        <v/>
      </c>
      <c r="C384" s="33"/>
      <c r="D384" s="33"/>
      <c r="E384" s="33"/>
      <c r="F384" s="33"/>
      <c r="G384" s="34"/>
      <c r="H384" s="33"/>
      <c r="I384" s="33"/>
      <c r="J384" s="35"/>
      <c r="K384" s="33"/>
      <c r="L384" s="9" t="str">
        <f aca="false">IF(A384="","",A384&amp;"-"&amp;B384)</f>
        <v/>
      </c>
    </row>
    <row r="385" customFormat="false" ht="15" hidden="false" customHeight="false" outlineLevel="0" collapsed="false">
      <c r="A385" s="33"/>
      <c r="B385" s="9" t="str">
        <f aca="false">IF(A385="","",COUNTIF($A$4:A385,A385))</f>
        <v/>
      </c>
      <c r="C385" s="33"/>
      <c r="D385" s="33"/>
      <c r="E385" s="33"/>
      <c r="F385" s="33"/>
      <c r="G385" s="34"/>
      <c r="H385" s="33"/>
      <c r="I385" s="33"/>
      <c r="J385" s="35"/>
      <c r="K385" s="33"/>
      <c r="L385" s="9" t="str">
        <f aca="false">IF(A385="","",A385&amp;"-"&amp;B385)</f>
        <v/>
      </c>
    </row>
    <row r="386" customFormat="false" ht="15" hidden="false" customHeight="false" outlineLevel="0" collapsed="false">
      <c r="A386" s="33"/>
      <c r="B386" s="9" t="str">
        <f aca="false">IF(A386="","",COUNTIF($A$4:A386,A386))</f>
        <v/>
      </c>
      <c r="C386" s="33"/>
      <c r="D386" s="33"/>
      <c r="E386" s="33"/>
      <c r="F386" s="33"/>
      <c r="G386" s="34"/>
      <c r="H386" s="33"/>
      <c r="I386" s="33"/>
      <c r="J386" s="35"/>
      <c r="K386" s="33"/>
      <c r="L386" s="9" t="str">
        <f aca="false">IF(A386="","",A386&amp;"-"&amp;B386)</f>
        <v/>
      </c>
    </row>
    <row r="387" customFormat="false" ht="15" hidden="false" customHeight="false" outlineLevel="0" collapsed="false">
      <c r="A387" s="33"/>
      <c r="B387" s="9" t="str">
        <f aca="false">IF(A387="","",COUNTIF($A$4:A387,A387))</f>
        <v/>
      </c>
      <c r="C387" s="33"/>
      <c r="D387" s="33"/>
      <c r="E387" s="33"/>
      <c r="F387" s="33"/>
      <c r="G387" s="34"/>
      <c r="H387" s="33"/>
      <c r="I387" s="33"/>
      <c r="J387" s="35"/>
      <c r="K387" s="33"/>
      <c r="L387" s="9" t="str">
        <f aca="false">IF(A387="","",A387&amp;"-"&amp;B387)</f>
        <v/>
      </c>
    </row>
    <row r="388" customFormat="false" ht="15" hidden="false" customHeight="false" outlineLevel="0" collapsed="false">
      <c r="A388" s="33"/>
      <c r="B388" s="9" t="str">
        <f aca="false">IF(A388="","",COUNTIF($A$4:A388,A388))</f>
        <v/>
      </c>
      <c r="C388" s="33"/>
      <c r="D388" s="33"/>
      <c r="E388" s="33"/>
      <c r="F388" s="33"/>
      <c r="G388" s="34"/>
      <c r="H388" s="33"/>
      <c r="I388" s="33"/>
      <c r="J388" s="35"/>
      <c r="K388" s="33"/>
      <c r="L388" s="9" t="str">
        <f aca="false">IF(A388="","",A388&amp;"-"&amp;B388)</f>
        <v/>
      </c>
    </row>
    <row r="389" customFormat="false" ht="15" hidden="false" customHeight="false" outlineLevel="0" collapsed="false">
      <c r="A389" s="33"/>
      <c r="B389" s="9" t="str">
        <f aca="false">IF(A389="","",COUNTIF($A$4:A389,A389))</f>
        <v/>
      </c>
      <c r="C389" s="33"/>
      <c r="D389" s="33"/>
      <c r="E389" s="33"/>
      <c r="F389" s="33"/>
      <c r="G389" s="34"/>
      <c r="H389" s="33"/>
      <c r="I389" s="33"/>
      <c r="J389" s="35"/>
      <c r="K389" s="33"/>
      <c r="L389" s="9" t="str">
        <f aca="false">IF(A389="","",A389&amp;"-"&amp;B389)</f>
        <v/>
      </c>
    </row>
    <row r="390" customFormat="false" ht="15" hidden="false" customHeight="false" outlineLevel="0" collapsed="false">
      <c r="A390" s="33"/>
      <c r="B390" s="9" t="str">
        <f aca="false">IF(A390="","",COUNTIF($A$4:A390,A390))</f>
        <v/>
      </c>
      <c r="C390" s="33"/>
      <c r="D390" s="33"/>
      <c r="E390" s="33"/>
      <c r="F390" s="33"/>
      <c r="G390" s="34"/>
      <c r="H390" s="33"/>
      <c r="I390" s="33"/>
      <c r="J390" s="35"/>
      <c r="K390" s="33"/>
      <c r="L390" s="9" t="str">
        <f aca="false">IF(A390="","",A390&amp;"-"&amp;B390)</f>
        <v/>
      </c>
    </row>
    <row r="391" customFormat="false" ht="15" hidden="false" customHeight="false" outlineLevel="0" collapsed="false">
      <c r="A391" s="33"/>
      <c r="B391" s="9" t="str">
        <f aca="false">IF(A391="","",COUNTIF($A$4:A391,A391))</f>
        <v/>
      </c>
      <c r="C391" s="33"/>
      <c r="D391" s="33"/>
      <c r="E391" s="33"/>
      <c r="F391" s="33"/>
      <c r="G391" s="34"/>
      <c r="H391" s="33"/>
      <c r="I391" s="33"/>
      <c r="J391" s="35"/>
      <c r="K391" s="33"/>
      <c r="L391" s="9" t="str">
        <f aca="false">IF(A391="","",A391&amp;"-"&amp;B391)</f>
        <v/>
      </c>
    </row>
    <row r="392" customFormat="false" ht="15" hidden="false" customHeight="false" outlineLevel="0" collapsed="false">
      <c r="A392" s="33"/>
      <c r="B392" s="9" t="str">
        <f aca="false">IF(A392="","",COUNTIF($A$4:A392,A392))</f>
        <v/>
      </c>
      <c r="C392" s="33"/>
      <c r="D392" s="33"/>
      <c r="E392" s="33"/>
      <c r="F392" s="33"/>
      <c r="G392" s="34"/>
      <c r="H392" s="33"/>
      <c r="I392" s="33"/>
      <c r="J392" s="35"/>
      <c r="K392" s="33"/>
      <c r="L392" s="9" t="str">
        <f aca="false">IF(A392="","",A392&amp;"-"&amp;B392)</f>
        <v/>
      </c>
    </row>
    <row r="393" customFormat="false" ht="15" hidden="false" customHeight="false" outlineLevel="0" collapsed="false">
      <c r="A393" s="33"/>
      <c r="B393" s="9" t="str">
        <f aca="false">IF(A393="","",COUNTIF($A$4:A393,A393))</f>
        <v/>
      </c>
      <c r="C393" s="33"/>
      <c r="D393" s="33"/>
      <c r="E393" s="33"/>
      <c r="F393" s="33"/>
      <c r="G393" s="34"/>
      <c r="H393" s="33"/>
      <c r="I393" s="33"/>
      <c r="J393" s="35"/>
      <c r="K393" s="33"/>
      <c r="L393" s="9" t="str">
        <f aca="false">IF(A393="","",A393&amp;"-"&amp;B393)</f>
        <v/>
      </c>
    </row>
    <row r="394" customFormat="false" ht="15" hidden="false" customHeight="false" outlineLevel="0" collapsed="false">
      <c r="A394" s="33"/>
      <c r="B394" s="9" t="str">
        <f aca="false">IF(A394="","",COUNTIF($A$4:A394,A394))</f>
        <v/>
      </c>
      <c r="C394" s="33"/>
      <c r="D394" s="33"/>
      <c r="E394" s="33"/>
      <c r="F394" s="33"/>
      <c r="G394" s="34"/>
      <c r="H394" s="33"/>
      <c r="I394" s="33"/>
      <c r="J394" s="35"/>
      <c r="K394" s="33"/>
      <c r="L394" s="9" t="str">
        <f aca="false">IF(A394="","",A394&amp;"-"&amp;B394)</f>
        <v/>
      </c>
    </row>
    <row r="395" customFormat="false" ht="15" hidden="false" customHeight="false" outlineLevel="0" collapsed="false">
      <c r="A395" s="33"/>
      <c r="B395" s="9" t="str">
        <f aca="false">IF(A395="","",COUNTIF($A$4:A395,A395))</f>
        <v/>
      </c>
      <c r="C395" s="33"/>
      <c r="D395" s="33"/>
      <c r="E395" s="33"/>
      <c r="F395" s="33"/>
      <c r="G395" s="34"/>
      <c r="H395" s="33"/>
      <c r="I395" s="33"/>
      <c r="J395" s="35"/>
      <c r="K395" s="33"/>
      <c r="L395" s="9" t="str">
        <f aca="false">IF(A395="","",A395&amp;"-"&amp;B395)</f>
        <v/>
      </c>
    </row>
    <row r="396" customFormat="false" ht="15" hidden="false" customHeight="false" outlineLevel="0" collapsed="false">
      <c r="A396" s="33"/>
      <c r="B396" s="9" t="str">
        <f aca="false">IF(A396="","",COUNTIF($A$4:A396,A396))</f>
        <v/>
      </c>
      <c r="C396" s="33"/>
      <c r="D396" s="33"/>
      <c r="E396" s="33"/>
      <c r="F396" s="33"/>
      <c r="G396" s="34"/>
      <c r="H396" s="33"/>
      <c r="I396" s="33"/>
      <c r="J396" s="35"/>
      <c r="K396" s="33"/>
      <c r="L396" s="9" t="str">
        <f aca="false">IF(A396="","",A396&amp;"-"&amp;B396)</f>
        <v/>
      </c>
    </row>
    <row r="397" customFormat="false" ht="15" hidden="false" customHeight="false" outlineLevel="0" collapsed="false">
      <c r="A397" s="33"/>
      <c r="B397" s="9" t="str">
        <f aca="false">IF(A397="","",COUNTIF($A$4:A397,A397))</f>
        <v/>
      </c>
      <c r="C397" s="33"/>
      <c r="D397" s="33"/>
      <c r="E397" s="33"/>
      <c r="F397" s="33"/>
      <c r="G397" s="34"/>
      <c r="H397" s="33"/>
      <c r="I397" s="33"/>
      <c r="J397" s="35"/>
      <c r="K397" s="33"/>
      <c r="L397" s="9" t="str">
        <f aca="false">IF(A397="","",A397&amp;"-"&amp;B397)</f>
        <v/>
      </c>
    </row>
    <row r="398" customFormat="false" ht="15" hidden="false" customHeight="false" outlineLevel="0" collapsed="false">
      <c r="A398" s="33"/>
      <c r="B398" s="9" t="str">
        <f aca="false">IF(A398="","",COUNTIF($A$4:A398,A398))</f>
        <v/>
      </c>
      <c r="C398" s="33"/>
      <c r="D398" s="33"/>
      <c r="E398" s="33"/>
      <c r="F398" s="33"/>
      <c r="G398" s="34"/>
      <c r="H398" s="33"/>
      <c r="I398" s="33"/>
      <c r="J398" s="35"/>
      <c r="K398" s="33"/>
      <c r="L398" s="9" t="str">
        <f aca="false">IF(A398="","",A398&amp;"-"&amp;B398)</f>
        <v/>
      </c>
    </row>
    <row r="399" customFormat="false" ht="15" hidden="false" customHeight="false" outlineLevel="0" collapsed="false">
      <c r="A399" s="33"/>
      <c r="B399" s="9" t="str">
        <f aca="false">IF(A399="","",COUNTIF($A$4:A399,A399))</f>
        <v/>
      </c>
      <c r="C399" s="33"/>
      <c r="D399" s="33"/>
      <c r="E399" s="33"/>
      <c r="F399" s="33"/>
      <c r="G399" s="34"/>
      <c r="H399" s="33"/>
      <c r="I399" s="33"/>
      <c r="J399" s="35"/>
      <c r="K399" s="33"/>
      <c r="L399" s="9" t="str">
        <f aca="false">IF(A399="","",A399&amp;"-"&amp;B399)</f>
        <v/>
      </c>
    </row>
    <row r="400" customFormat="false" ht="15" hidden="false" customHeight="false" outlineLevel="0" collapsed="false">
      <c r="A400" s="33"/>
      <c r="B400" s="9" t="str">
        <f aca="false">IF(A400="","",COUNTIF($A$4:A400,A400))</f>
        <v/>
      </c>
      <c r="C400" s="33"/>
      <c r="D400" s="33"/>
      <c r="E400" s="33"/>
      <c r="F400" s="33"/>
      <c r="G400" s="34"/>
      <c r="H400" s="33"/>
      <c r="I400" s="33"/>
      <c r="J400" s="35"/>
      <c r="K400" s="33"/>
      <c r="L400" s="9" t="str">
        <f aca="false">IF(A400="","",A400&amp;"-"&amp;B400)</f>
        <v/>
      </c>
    </row>
    <row r="401" customFormat="false" ht="15" hidden="false" customHeight="false" outlineLevel="0" collapsed="false">
      <c r="A401" s="33"/>
      <c r="B401" s="9" t="str">
        <f aca="false">IF(A401="","",COUNTIF($A$4:A401,A401))</f>
        <v/>
      </c>
      <c r="C401" s="33"/>
      <c r="D401" s="33"/>
      <c r="E401" s="33"/>
      <c r="F401" s="33"/>
      <c r="G401" s="34"/>
      <c r="H401" s="33"/>
      <c r="I401" s="33"/>
      <c r="J401" s="35"/>
      <c r="K401" s="33"/>
      <c r="L401" s="9" t="str">
        <f aca="false">IF(A401="","",A401&amp;"-"&amp;B401)</f>
        <v/>
      </c>
    </row>
    <row r="402" customFormat="false" ht="15" hidden="false" customHeight="false" outlineLevel="0" collapsed="false">
      <c r="A402" s="33"/>
      <c r="B402" s="9" t="str">
        <f aca="false">IF(A402="","",COUNTIF($A$4:A402,A402))</f>
        <v/>
      </c>
      <c r="C402" s="33"/>
      <c r="D402" s="33"/>
      <c r="E402" s="33"/>
      <c r="F402" s="33"/>
      <c r="G402" s="34"/>
      <c r="H402" s="33"/>
      <c r="I402" s="33"/>
      <c r="J402" s="35"/>
      <c r="K402" s="33"/>
      <c r="L402" s="9" t="str">
        <f aca="false">IF(A402="","",A402&amp;"-"&amp;B402)</f>
        <v/>
      </c>
    </row>
    <row r="403" customFormat="false" ht="15" hidden="false" customHeight="false" outlineLevel="0" collapsed="false">
      <c r="A403" s="33"/>
      <c r="B403" s="9" t="str">
        <f aca="false">IF(A403="","",COUNTIF($A$4:A403,A403))</f>
        <v/>
      </c>
      <c r="C403" s="33"/>
      <c r="D403" s="33"/>
      <c r="E403" s="33"/>
      <c r="F403" s="33"/>
      <c r="G403" s="34"/>
      <c r="H403" s="33"/>
      <c r="I403" s="33"/>
      <c r="J403" s="35"/>
      <c r="K403" s="33"/>
      <c r="L403" s="9" t="str">
        <f aca="false">IF(A403="","",A403&amp;"-"&amp;B403)</f>
        <v/>
      </c>
    </row>
    <row r="404" customFormat="false" ht="15" hidden="false" customHeight="false" outlineLevel="0" collapsed="false">
      <c r="A404" s="33"/>
      <c r="B404" s="9" t="str">
        <f aca="false">IF(A404="","",COUNTIF($A$4:A404,A404))</f>
        <v/>
      </c>
      <c r="C404" s="33"/>
      <c r="D404" s="33"/>
      <c r="E404" s="33"/>
      <c r="F404" s="33"/>
      <c r="G404" s="34"/>
      <c r="H404" s="33"/>
      <c r="I404" s="33"/>
      <c r="J404" s="35"/>
      <c r="K404" s="33"/>
      <c r="L404" s="9" t="str">
        <f aca="false">IF(A404="","",A404&amp;"-"&amp;B404)</f>
        <v/>
      </c>
    </row>
    <row r="405" customFormat="false" ht="15" hidden="false" customHeight="false" outlineLevel="0" collapsed="false">
      <c r="A405" s="33"/>
      <c r="B405" s="9" t="str">
        <f aca="false">IF(A405="","",COUNTIF($A$4:A405,A405))</f>
        <v/>
      </c>
      <c r="C405" s="33"/>
      <c r="D405" s="33"/>
      <c r="E405" s="33"/>
      <c r="F405" s="33"/>
      <c r="G405" s="34"/>
      <c r="H405" s="33"/>
      <c r="I405" s="33"/>
      <c r="J405" s="35"/>
      <c r="K405" s="33"/>
      <c r="L405" s="9" t="str">
        <f aca="false">IF(A405="","",A405&amp;"-"&amp;B405)</f>
        <v/>
      </c>
    </row>
    <row r="406" customFormat="false" ht="15" hidden="false" customHeight="false" outlineLevel="0" collapsed="false">
      <c r="A406" s="33"/>
      <c r="B406" s="9" t="str">
        <f aca="false">IF(A406="","",COUNTIF($A$4:A406,A406))</f>
        <v/>
      </c>
      <c r="C406" s="33"/>
      <c r="D406" s="33"/>
      <c r="E406" s="33"/>
      <c r="F406" s="33"/>
      <c r="G406" s="34"/>
      <c r="H406" s="33"/>
      <c r="I406" s="33"/>
      <c r="J406" s="35"/>
      <c r="K406" s="33"/>
      <c r="L406" s="9" t="str">
        <f aca="false">IF(A406="","",A406&amp;"-"&amp;B406)</f>
        <v/>
      </c>
    </row>
    <row r="407" customFormat="false" ht="15" hidden="false" customHeight="false" outlineLevel="0" collapsed="false">
      <c r="A407" s="33"/>
      <c r="B407" s="9" t="str">
        <f aca="false">IF(A407="","",COUNTIF($A$4:A407,A407))</f>
        <v/>
      </c>
      <c r="C407" s="33"/>
      <c r="D407" s="33"/>
      <c r="E407" s="33"/>
      <c r="F407" s="33"/>
      <c r="G407" s="34"/>
      <c r="H407" s="33"/>
      <c r="I407" s="33"/>
      <c r="J407" s="35"/>
      <c r="K407" s="33"/>
      <c r="L407" s="9" t="str">
        <f aca="false">IF(A407="","",A407&amp;"-"&amp;B407)</f>
        <v/>
      </c>
    </row>
    <row r="408" customFormat="false" ht="15" hidden="false" customHeight="false" outlineLevel="0" collapsed="false">
      <c r="A408" s="33"/>
      <c r="B408" s="9" t="str">
        <f aca="false">IF(A408="","",COUNTIF($A$4:A408,A408))</f>
        <v/>
      </c>
      <c r="C408" s="33"/>
      <c r="D408" s="33"/>
      <c r="E408" s="33"/>
      <c r="F408" s="33"/>
      <c r="G408" s="34"/>
      <c r="H408" s="33"/>
      <c r="I408" s="33"/>
      <c r="J408" s="35"/>
      <c r="K408" s="33"/>
      <c r="L408" s="9" t="str">
        <f aca="false">IF(A408="","",A408&amp;"-"&amp;B408)</f>
        <v/>
      </c>
    </row>
    <row r="409" customFormat="false" ht="15" hidden="false" customHeight="false" outlineLevel="0" collapsed="false">
      <c r="A409" s="33"/>
      <c r="B409" s="9" t="str">
        <f aca="false">IF(A409="","",COUNTIF($A$4:A409,A409))</f>
        <v/>
      </c>
      <c r="C409" s="33"/>
      <c r="D409" s="33"/>
      <c r="E409" s="33"/>
      <c r="F409" s="33"/>
      <c r="G409" s="34"/>
      <c r="H409" s="33"/>
      <c r="I409" s="33"/>
      <c r="J409" s="35"/>
      <c r="K409" s="33"/>
      <c r="L409" s="9" t="str">
        <f aca="false">IF(A409="","",A409&amp;"-"&amp;B409)</f>
        <v/>
      </c>
    </row>
    <row r="410" customFormat="false" ht="15" hidden="false" customHeight="false" outlineLevel="0" collapsed="false">
      <c r="A410" s="33"/>
      <c r="B410" s="9" t="str">
        <f aca="false">IF(A410="","",COUNTIF($A$4:A410,A410))</f>
        <v/>
      </c>
      <c r="C410" s="33"/>
      <c r="D410" s="33"/>
      <c r="E410" s="33"/>
      <c r="F410" s="33"/>
      <c r="G410" s="34"/>
      <c r="H410" s="33"/>
      <c r="I410" s="33"/>
      <c r="J410" s="35"/>
      <c r="K410" s="33"/>
      <c r="L410" s="9" t="str">
        <f aca="false">IF(A410="","",A410&amp;"-"&amp;B410)</f>
        <v/>
      </c>
    </row>
    <row r="411" customFormat="false" ht="15" hidden="false" customHeight="false" outlineLevel="0" collapsed="false">
      <c r="A411" s="33"/>
      <c r="B411" s="9" t="str">
        <f aca="false">IF(A411="","",COUNTIF($A$4:A411,A411))</f>
        <v/>
      </c>
      <c r="C411" s="33"/>
      <c r="D411" s="33"/>
      <c r="E411" s="33"/>
      <c r="F411" s="33"/>
      <c r="G411" s="34"/>
      <c r="H411" s="33"/>
      <c r="I411" s="33"/>
      <c r="J411" s="35"/>
      <c r="K411" s="33"/>
      <c r="L411" s="9" t="str">
        <f aca="false">IF(A411="","",A411&amp;"-"&amp;B411)</f>
        <v/>
      </c>
    </row>
    <row r="412" customFormat="false" ht="15" hidden="false" customHeight="false" outlineLevel="0" collapsed="false">
      <c r="A412" s="33"/>
      <c r="B412" s="9" t="str">
        <f aca="false">IF(A412="","",COUNTIF($A$4:A412,A412))</f>
        <v/>
      </c>
      <c r="C412" s="33"/>
      <c r="D412" s="33"/>
      <c r="E412" s="33"/>
      <c r="F412" s="33"/>
      <c r="G412" s="34"/>
      <c r="H412" s="33"/>
      <c r="I412" s="33"/>
      <c r="J412" s="35"/>
      <c r="K412" s="33"/>
      <c r="L412" s="9" t="str">
        <f aca="false">IF(A412="","",A412&amp;"-"&amp;B412)</f>
        <v/>
      </c>
    </row>
    <row r="413" customFormat="false" ht="15" hidden="false" customHeight="false" outlineLevel="0" collapsed="false">
      <c r="A413" s="33"/>
      <c r="B413" s="9" t="str">
        <f aca="false">IF(A413="","",COUNTIF($A$4:A413,A413))</f>
        <v/>
      </c>
      <c r="C413" s="33"/>
      <c r="D413" s="33"/>
      <c r="E413" s="33"/>
      <c r="F413" s="33"/>
      <c r="G413" s="34"/>
      <c r="H413" s="33"/>
      <c r="I413" s="33"/>
      <c r="J413" s="35"/>
      <c r="K413" s="33"/>
      <c r="L413" s="9" t="str">
        <f aca="false">IF(A413="","",A413&amp;"-"&amp;B413)</f>
        <v/>
      </c>
    </row>
    <row r="414" customFormat="false" ht="15" hidden="false" customHeight="false" outlineLevel="0" collapsed="false">
      <c r="A414" s="33"/>
      <c r="B414" s="9" t="str">
        <f aca="false">IF(A414="","",COUNTIF($A$4:A414,A414))</f>
        <v/>
      </c>
      <c r="C414" s="33"/>
      <c r="D414" s="33"/>
      <c r="E414" s="33"/>
      <c r="F414" s="33"/>
      <c r="G414" s="34"/>
      <c r="H414" s="33"/>
      <c r="I414" s="33"/>
      <c r="J414" s="35"/>
      <c r="K414" s="33"/>
      <c r="L414" s="9" t="str">
        <f aca="false">IF(A414="","",A414&amp;"-"&amp;B414)</f>
        <v/>
      </c>
    </row>
    <row r="415" customFormat="false" ht="15" hidden="false" customHeight="false" outlineLevel="0" collapsed="false">
      <c r="A415" s="33"/>
      <c r="B415" s="9" t="str">
        <f aca="false">IF(A415="","",COUNTIF($A$4:A415,A415))</f>
        <v/>
      </c>
      <c r="C415" s="33"/>
      <c r="D415" s="33"/>
      <c r="E415" s="33"/>
      <c r="F415" s="33"/>
      <c r="G415" s="34"/>
      <c r="H415" s="33"/>
      <c r="I415" s="33"/>
      <c r="J415" s="35"/>
      <c r="K415" s="33"/>
      <c r="L415" s="9" t="str">
        <f aca="false">IF(A415="","",A415&amp;"-"&amp;B415)</f>
        <v/>
      </c>
    </row>
    <row r="416" customFormat="false" ht="15" hidden="false" customHeight="false" outlineLevel="0" collapsed="false">
      <c r="A416" s="33"/>
      <c r="B416" s="9" t="str">
        <f aca="false">IF(A416="","",COUNTIF($A$4:A416,A416))</f>
        <v/>
      </c>
      <c r="C416" s="33"/>
      <c r="D416" s="33"/>
      <c r="E416" s="33"/>
      <c r="F416" s="33"/>
      <c r="G416" s="34"/>
      <c r="H416" s="33"/>
      <c r="I416" s="33"/>
      <c r="J416" s="35"/>
      <c r="K416" s="33"/>
      <c r="L416" s="9" t="str">
        <f aca="false">IF(A416="","",A416&amp;"-"&amp;B416)</f>
        <v/>
      </c>
    </row>
    <row r="417" customFormat="false" ht="15" hidden="false" customHeight="false" outlineLevel="0" collapsed="false">
      <c r="A417" s="33"/>
      <c r="B417" s="9" t="str">
        <f aca="false">IF(A417="","",COUNTIF($A$4:A417,A417))</f>
        <v/>
      </c>
      <c r="C417" s="33"/>
      <c r="D417" s="33"/>
      <c r="E417" s="33"/>
      <c r="F417" s="33"/>
      <c r="G417" s="34"/>
      <c r="H417" s="33"/>
      <c r="I417" s="33"/>
      <c r="J417" s="35"/>
      <c r="K417" s="33"/>
      <c r="L417" s="9" t="str">
        <f aca="false">IF(A417="","",A417&amp;"-"&amp;B417)</f>
        <v/>
      </c>
    </row>
    <row r="418" customFormat="false" ht="15" hidden="false" customHeight="false" outlineLevel="0" collapsed="false">
      <c r="A418" s="33"/>
      <c r="B418" s="9" t="str">
        <f aca="false">IF(A418="","",COUNTIF($A$4:A418,A418))</f>
        <v/>
      </c>
      <c r="C418" s="33"/>
      <c r="D418" s="33"/>
      <c r="E418" s="33"/>
      <c r="F418" s="33"/>
      <c r="G418" s="34"/>
      <c r="H418" s="33"/>
      <c r="I418" s="33"/>
      <c r="J418" s="35"/>
      <c r="K418" s="33"/>
      <c r="L418" s="9" t="str">
        <f aca="false">IF(A418="","",A418&amp;"-"&amp;B418)</f>
        <v/>
      </c>
    </row>
    <row r="419" customFormat="false" ht="15" hidden="false" customHeight="false" outlineLevel="0" collapsed="false">
      <c r="A419" s="33"/>
      <c r="B419" s="9" t="str">
        <f aca="false">IF(A419="","",COUNTIF($A$4:A419,A419))</f>
        <v/>
      </c>
      <c r="C419" s="33"/>
      <c r="D419" s="33"/>
      <c r="E419" s="33"/>
      <c r="F419" s="33"/>
      <c r="G419" s="34"/>
      <c r="H419" s="33"/>
      <c r="I419" s="33"/>
      <c r="J419" s="35"/>
      <c r="K419" s="33"/>
      <c r="L419" s="9" t="str">
        <f aca="false">IF(A419="","",A419&amp;"-"&amp;B419)</f>
        <v/>
      </c>
    </row>
    <row r="420" customFormat="false" ht="15" hidden="false" customHeight="false" outlineLevel="0" collapsed="false">
      <c r="A420" s="33"/>
      <c r="B420" s="9" t="str">
        <f aca="false">IF(A420="","",COUNTIF($A$4:A420,A420))</f>
        <v/>
      </c>
      <c r="C420" s="33"/>
      <c r="D420" s="33"/>
      <c r="E420" s="33"/>
      <c r="F420" s="33"/>
      <c r="G420" s="34"/>
      <c r="H420" s="33"/>
      <c r="I420" s="33"/>
      <c r="J420" s="35"/>
      <c r="K420" s="33"/>
      <c r="L420" s="9" t="str">
        <f aca="false">IF(A420="","",A420&amp;"-"&amp;B420)</f>
        <v/>
      </c>
    </row>
    <row r="421" customFormat="false" ht="15" hidden="false" customHeight="false" outlineLevel="0" collapsed="false">
      <c r="A421" s="33"/>
      <c r="B421" s="9" t="str">
        <f aca="false">IF(A421="","",COUNTIF($A$4:A421,A421))</f>
        <v/>
      </c>
      <c r="C421" s="33"/>
      <c r="D421" s="33"/>
      <c r="E421" s="33"/>
      <c r="F421" s="33"/>
      <c r="G421" s="34"/>
      <c r="H421" s="33"/>
      <c r="I421" s="33"/>
      <c r="J421" s="35"/>
      <c r="K421" s="33"/>
      <c r="L421" s="9" t="str">
        <f aca="false">IF(A421="","",A421&amp;"-"&amp;B421)</f>
        <v/>
      </c>
    </row>
    <row r="422" customFormat="false" ht="15" hidden="false" customHeight="false" outlineLevel="0" collapsed="false">
      <c r="A422" s="33"/>
      <c r="B422" s="9" t="str">
        <f aca="false">IF(A422="","",COUNTIF($A$4:A422,A422))</f>
        <v/>
      </c>
      <c r="C422" s="33"/>
      <c r="D422" s="33"/>
      <c r="E422" s="33"/>
      <c r="F422" s="33"/>
      <c r="G422" s="34"/>
      <c r="H422" s="33"/>
      <c r="I422" s="33"/>
      <c r="J422" s="35"/>
      <c r="K422" s="33"/>
      <c r="L422" s="9" t="str">
        <f aca="false">IF(A422="","",A422&amp;"-"&amp;B422)</f>
        <v/>
      </c>
    </row>
    <row r="423" customFormat="false" ht="15" hidden="false" customHeight="false" outlineLevel="0" collapsed="false">
      <c r="A423" s="33"/>
      <c r="B423" s="9" t="str">
        <f aca="false">IF(A423="","",COUNTIF($A$4:A423,A423))</f>
        <v/>
      </c>
      <c r="C423" s="33"/>
      <c r="D423" s="33"/>
      <c r="E423" s="33"/>
      <c r="F423" s="33"/>
      <c r="G423" s="34"/>
      <c r="H423" s="33"/>
      <c r="I423" s="33"/>
      <c r="J423" s="35"/>
      <c r="K423" s="33"/>
      <c r="L423" s="9" t="str">
        <f aca="false">IF(A423="","",A423&amp;"-"&amp;B423)</f>
        <v/>
      </c>
    </row>
    <row r="424" customFormat="false" ht="15" hidden="false" customHeight="false" outlineLevel="0" collapsed="false">
      <c r="A424" s="33"/>
      <c r="B424" s="9" t="str">
        <f aca="false">IF(A424="","",COUNTIF($A$4:A424,A424))</f>
        <v/>
      </c>
      <c r="C424" s="33"/>
      <c r="D424" s="33"/>
      <c r="E424" s="33"/>
      <c r="F424" s="33"/>
      <c r="G424" s="34"/>
      <c r="H424" s="33"/>
      <c r="I424" s="33"/>
      <c r="J424" s="35"/>
      <c r="K424" s="33"/>
      <c r="L424" s="9" t="str">
        <f aca="false">IF(A424="","",A424&amp;"-"&amp;B424)</f>
        <v/>
      </c>
    </row>
    <row r="425" customFormat="false" ht="15" hidden="false" customHeight="false" outlineLevel="0" collapsed="false">
      <c r="A425" s="33"/>
      <c r="B425" s="9" t="str">
        <f aca="false">IF(A425="","",COUNTIF($A$4:A425,A425))</f>
        <v/>
      </c>
      <c r="C425" s="33"/>
      <c r="D425" s="33"/>
      <c r="E425" s="33"/>
      <c r="F425" s="33"/>
      <c r="G425" s="34"/>
      <c r="H425" s="33"/>
      <c r="I425" s="33"/>
      <c r="J425" s="35"/>
      <c r="K425" s="33"/>
      <c r="L425" s="9" t="str">
        <f aca="false">IF(A425="","",A425&amp;"-"&amp;B425)</f>
        <v/>
      </c>
    </row>
    <row r="426" customFormat="false" ht="15" hidden="false" customHeight="false" outlineLevel="0" collapsed="false">
      <c r="A426" s="33"/>
      <c r="B426" s="9" t="str">
        <f aca="false">IF(A426="","",COUNTIF($A$4:A426,A426))</f>
        <v/>
      </c>
      <c r="C426" s="33"/>
      <c r="D426" s="33"/>
      <c r="E426" s="33"/>
      <c r="F426" s="33"/>
      <c r="G426" s="34"/>
      <c r="H426" s="33"/>
      <c r="I426" s="33"/>
      <c r="J426" s="35"/>
      <c r="K426" s="33"/>
      <c r="L426" s="9" t="str">
        <f aca="false">IF(A426="","",A426&amp;"-"&amp;B426)</f>
        <v/>
      </c>
    </row>
    <row r="427" customFormat="false" ht="15" hidden="false" customHeight="false" outlineLevel="0" collapsed="false">
      <c r="A427" s="33"/>
      <c r="B427" s="9" t="str">
        <f aca="false">IF(A427="","",COUNTIF($A$4:A427,A427))</f>
        <v/>
      </c>
      <c r="C427" s="33"/>
      <c r="D427" s="33"/>
      <c r="E427" s="33"/>
      <c r="F427" s="33"/>
      <c r="G427" s="34"/>
      <c r="H427" s="33"/>
      <c r="I427" s="33"/>
      <c r="J427" s="35"/>
      <c r="K427" s="33"/>
      <c r="L427" s="9" t="str">
        <f aca="false">IF(A427="","",A427&amp;"-"&amp;B427)</f>
        <v/>
      </c>
    </row>
    <row r="428" customFormat="false" ht="15" hidden="false" customHeight="false" outlineLevel="0" collapsed="false">
      <c r="A428" s="33"/>
      <c r="B428" s="9" t="str">
        <f aca="false">IF(A428="","",COUNTIF($A$4:A428,A428))</f>
        <v/>
      </c>
      <c r="C428" s="33"/>
      <c r="D428" s="33"/>
      <c r="E428" s="33"/>
      <c r="F428" s="33"/>
      <c r="G428" s="34"/>
      <c r="H428" s="33"/>
      <c r="I428" s="33"/>
      <c r="J428" s="35"/>
      <c r="K428" s="33"/>
      <c r="L428" s="9" t="str">
        <f aca="false">IF(A428="","",A428&amp;"-"&amp;B428)</f>
        <v/>
      </c>
    </row>
    <row r="429" customFormat="false" ht="15" hidden="false" customHeight="false" outlineLevel="0" collapsed="false">
      <c r="A429" s="33"/>
      <c r="B429" s="9" t="str">
        <f aca="false">IF(A429="","",COUNTIF($A$4:A429,A429))</f>
        <v/>
      </c>
      <c r="C429" s="33"/>
      <c r="D429" s="33"/>
      <c r="E429" s="33"/>
      <c r="F429" s="33"/>
      <c r="G429" s="34"/>
      <c r="H429" s="33"/>
      <c r="I429" s="33"/>
      <c r="J429" s="35"/>
      <c r="K429" s="33"/>
      <c r="L429" s="9" t="str">
        <f aca="false">IF(A429="","",A429&amp;"-"&amp;B429)</f>
        <v/>
      </c>
    </row>
    <row r="430" customFormat="false" ht="15" hidden="false" customHeight="false" outlineLevel="0" collapsed="false">
      <c r="A430" s="33"/>
      <c r="B430" s="9" t="str">
        <f aca="false">IF(A430="","",COUNTIF($A$4:A430,A430))</f>
        <v/>
      </c>
      <c r="C430" s="33"/>
      <c r="D430" s="33"/>
      <c r="E430" s="33"/>
      <c r="F430" s="33"/>
      <c r="G430" s="34"/>
      <c r="H430" s="33"/>
      <c r="I430" s="33"/>
      <c r="J430" s="35"/>
      <c r="K430" s="33"/>
      <c r="L430" s="9" t="str">
        <f aca="false">IF(A430="","",A430&amp;"-"&amp;B430)</f>
        <v/>
      </c>
    </row>
    <row r="431" customFormat="false" ht="15" hidden="false" customHeight="false" outlineLevel="0" collapsed="false">
      <c r="A431" s="33"/>
      <c r="B431" s="9" t="str">
        <f aca="false">IF(A431="","",COUNTIF($A$4:A431,A431))</f>
        <v/>
      </c>
      <c r="C431" s="33"/>
      <c r="D431" s="33"/>
      <c r="E431" s="33"/>
      <c r="F431" s="33"/>
      <c r="G431" s="34"/>
      <c r="H431" s="33"/>
      <c r="I431" s="33"/>
      <c r="J431" s="35"/>
      <c r="K431" s="33"/>
      <c r="L431" s="9" t="str">
        <f aca="false">IF(A431="","",A431&amp;"-"&amp;B431)</f>
        <v/>
      </c>
    </row>
    <row r="432" customFormat="false" ht="15" hidden="false" customHeight="false" outlineLevel="0" collapsed="false">
      <c r="A432" s="33"/>
      <c r="B432" s="9" t="str">
        <f aca="false">IF(A432="","",COUNTIF($A$4:A432,A432))</f>
        <v/>
      </c>
      <c r="C432" s="33"/>
      <c r="D432" s="33"/>
      <c r="E432" s="33"/>
      <c r="F432" s="33"/>
      <c r="G432" s="34"/>
      <c r="H432" s="33"/>
      <c r="I432" s="33"/>
      <c r="J432" s="35"/>
      <c r="K432" s="33"/>
      <c r="L432" s="9" t="str">
        <f aca="false">IF(A432="","",A432&amp;"-"&amp;B432)</f>
        <v/>
      </c>
    </row>
    <row r="433" customFormat="false" ht="15" hidden="false" customHeight="false" outlineLevel="0" collapsed="false">
      <c r="A433" s="33"/>
      <c r="B433" s="9" t="str">
        <f aca="false">IF(A433="","",COUNTIF($A$4:A433,A433))</f>
        <v/>
      </c>
      <c r="C433" s="33"/>
      <c r="D433" s="33"/>
      <c r="E433" s="33"/>
      <c r="F433" s="33"/>
      <c r="G433" s="34"/>
      <c r="H433" s="33"/>
      <c r="I433" s="33"/>
      <c r="J433" s="35"/>
      <c r="K433" s="33"/>
      <c r="L433" s="9" t="str">
        <f aca="false">IF(A433="","",A433&amp;"-"&amp;B433)</f>
        <v/>
      </c>
    </row>
    <row r="434" customFormat="false" ht="15" hidden="false" customHeight="false" outlineLevel="0" collapsed="false">
      <c r="A434" s="33"/>
      <c r="B434" s="9" t="str">
        <f aca="false">IF(A434="","",COUNTIF($A$4:A434,A434))</f>
        <v/>
      </c>
      <c r="C434" s="33"/>
      <c r="D434" s="33"/>
      <c r="E434" s="33"/>
      <c r="F434" s="33"/>
      <c r="G434" s="34"/>
      <c r="H434" s="33"/>
      <c r="I434" s="33"/>
      <c r="J434" s="35"/>
      <c r="K434" s="33"/>
      <c r="L434" s="9" t="str">
        <f aca="false">IF(A434="","",A434&amp;"-"&amp;B434)</f>
        <v/>
      </c>
    </row>
    <row r="435" customFormat="false" ht="15" hidden="false" customHeight="false" outlineLevel="0" collapsed="false">
      <c r="A435" s="33"/>
      <c r="B435" s="9" t="str">
        <f aca="false">IF(A435="","",COUNTIF($A$4:A435,A435))</f>
        <v/>
      </c>
      <c r="C435" s="33"/>
      <c r="D435" s="33"/>
      <c r="E435" s="33"/>
      <c r="F435" s="33"/>
      <c r="G435" s="34"/>
      <c r="H435" s="33"/>
      <c r="I435" s="33"/>
      <c r="J435" s="35"/>
      <c r="K435" s="33"/>
      <c r="L435" s="9" t="str">
        <f aca="false">IF(A435="","",A435&amp;"-"&amp;B435)</f>
        <v/>
      </c>
    </row>
    <row r="436" customFormat="false" ht="15" hidden="false" customHeight="false" outlineLevel="0" collapsed="false">
      <c r="A436" s="33"/>
      <c r="B436" s="9" t="str">
        <f aca="false">IF(A436="","",COUNTIF($A$4:A436,A436))</f>
        <v/>
      </c>
      <c r="C436" s="33"/>
      <c r="D436" s="33"/>
      <c r="E436" s="33"/>
      <c r="F436" s="33"/>
      <c r="G436" s="34"/>
      <c r="H436" s="33"/>
      <c r="I436" s="33"/>
      <c r="J436" s="35"/>
      <c r="K436" s="33"/>
      <c r="L436" s="9" t="str">
        <f aca="false">IF(A436="","",A436&amp;"-"&amp;B436)</f>
        <v/>
      </c>
    </row>
    <row r="437" customFormat="false" ht="15" hidden="false" customHeight="false" outlineLevel="0" collapsed="false">
      <c r="A437" s="33"/>
      <c r="B437" s="9" t="str">
        <f aca="false">IF(A437="","",COUNTIF($A$4:A437,A437))</f>
        <v/>
      </c>
      <c r="C437" s="33"/>
      <c r="D437" s="33"/>
      <c r="E437" s="33"/>
      <c r="F437" s="33"/>
      <c r="G437" s="34"/>
      <c r="H437" s="33"/>
      <c r="I437" s="33"/>
      <c r="J437" s="35"/>
      <c r="K437" s="33"/>
      <c r="L437" s="9" t="str">
        <f aca="false">IF(A437="","",A437&amp;"-"&amp;B437)</f>
        <v/>
      </c>
    </row>
    <row r="438" customFormat="false" ht="15" hidden="false" customHeight="false" outlineLevel="0" collapsed="false">
      <c r="A438" s="33"/>
      <c r="B438" s="9" t="str">
        <f aca="false">IF(A438="","",COUNTIF($A$4:A438,A438))</f>
        <v/>
      </c>
      <c r="C438" s="33"/>
      <c r="D438" s="33"/>
      <c r="E438" s="33"/>
      <c r="F438" s="33"/>
      <c r="G438" s="34"/>
      <c r="H438" s="33"/>
      <c r="I438" s="33"/>
      <c r="J438" s="35"/>
      <c r="K438" s="33"/>
      <c r="L438" s="9" t="str">
        <f aca="false">IF(A438="","",A438&amp;"-"&amp;B438)</f>
        <v/>
      </c>
    </row>
    <row r="439" customFormat="false" ht="15" hidden="false" customHeight="false" outlineLevel="0" collapsed="false">
      <c r="A439" s="33"/>
      <c r="B439" s="9" t="str">
        <f aca="false">IF(A439="","",COUNTIF($A$4:A439,A439))</f>
        <v/>
      </c>
      <c r="C439" s="33"/>
      <c r="D439" s="33"/>
      <c r="E439" s="33"/>
      <c r="F439" s="33"/>
      <c r="G439" s="34"/>
      <c r="H439" s="33"/>
      <c r="I439" s="33"/>
      <c r="J439" s="35"/>
      <c r="K439" s="33"/>
      <c r="L439" s="9" t="str">
        <f aca="false">IF(A439="","",A439&amp;"-"&amp;B439)</f>
        <v/>
      </c>
    </row>
    <row r="440" customFormat="false" ht="15" hidden="false" customHeight="false" outlineLevel="0" collapsed="false">
      <c r="A440" s="33"/>
      <c r="B440" s="9" t="str">
        <f aca="false">IF(A440="","",COUNTIF($A$4:A440,A440))</f>
        <v/>
      </c>
      <c r="C440" s="33"/>
      <c r="D440" s="33"/>
      <c r="E440" s="33"/>
      <c r="F440" s="33"/>
      <c r="G440" s="34"/>
      <c r="H440" s="33"/>
      <c r="I440" s="33"/>
      <c r="J440" s="35"/>
      <c r="K440" s="33"/>
      <c r="L440" s="9" t="str">
        <f aca="false">IF(A440="","",A440&amp;"-"&amp;B440)</f>
        <v/>
      </c>
    </row>
    <row r="441" customFormat="false" ht="15" hidden="false" customHeight="false" outlineLevel="0" collapsed="false">
      <c r="A441" s="33"/>
      <c r="B441" s="9" t="str">
        <f aca="false">IF(A441="","",COUNTIF($A$4:A441,A441))</f>
        <v/>
      </c>
      <c r="C441" s="33"/>
      <c r="D441" s="33"/>
      <c r="E441" s="33"/>
      <c r="F441" s="33"/>
      <c r="G441" s="34"/>
      <c r="H441" s="33"/>
      <c r="I441" s="33"/>
      <c r="J441" s="35"/>
      <c r="K441" s="33"/>
      <c r="L441" s="9" t="str">
        <f aca="false">IF(A441="","",A441&amp;"-"&amp;B441)</f>
        <v/>
      </c>
    </row>
    <row r="442" customFormat="false" ht="15" hidden="false" customHeight="false" outlineLevel="0" collapsed="false">
      <c r="A442" s="33"/>
      <c r="B442" s="9" t="str">
        <f aca="false">IF(A442="","",COUNTIF($A$4:A442,A442))</f>
        <v/>
      </c>
      <c r="C442" s="33"/>
      <c r="D442" s="33"/>
      <c r="E442" s="33"/>
      <c r="F442" s="33"/>
      <c r="G442" s="34"/>
      <c r="H442" s="33"/>
      <c r="I442" s="33"/>
      <c r="J442" s="35"/>
      <c r="K442" s="33"/>
      <c r="L442" s="9" t="str">
        <f aca="false">IF(A442="","",A442&amp;"-"&amp;B442)</f>
        <v/>
      </c>
    </row>
    <row r="443" customFormat="false" ht="15" hidden="false" customHeight="false" outlineLevel="0" collapsed="false">
      <c r="A443" s="33"/>
      <c r="B443" s="9" t="str">
        <f aca="false">IF(A443="","",COUNTIF($A$4:A443,A443))</f>
        <v/>
      </c>
      <c r="C443" s="33"/>
      <c r="D443" s="33"/>
      <c r="E443" s="33"/>
      <c r="F443" s="33"/>
      <c r="G443" s="34"/>
      <c r="H443" s="33"/>
      <c r="I443" s="33"/>
      <c r="J443" s="35"/>
      <c r="K443" s="33"/>
      <c r="L443" s="9" t="str">
        <f aca="false">IF(A443="","",A443&amp;"-"&amp;B443)</f>
        <v/>
      </c>
    </row>
    <row r="444" customFormat="false" ht="15" hidden="false" customHeight="false" outlineLevel="0" collapsed="false">
      <c r="A444" s="33"/>
      <c r="B444" s="9" t="str">
        <f aca="false">IF(A444="","",COUNTIF($A$4:A444,A444))</f>
        <v/>
      </c>
      <c r="C444" s="33"/>
      <c r="D444" s="33"/>
      <c r="E444" s="33"/>
      <c r="F444" s="33"/>
      <c r="G444" s="34"/>
      <c r="H444" s="33"/>
      <c r="I444" s="33"/>
      <c r="J444" s="35"/>
      <c r="K444" s="33"/>
      <c r="L444" s="9" t="str">
        <f aca="false">IF(A444="","",A444&amp;"-"&amp;B444)</f>
        <v/>
      </c>
    </row>
    <row r="445" customFormat="false" ht="15" hidden="false" customHeight="false" outlineLevel="0" collapsed="false">
      <c r="A445" s="33"/>
      <c r="B445" s="9" t="str">
        <f aca="false">IF(A445="","",COUNTIF($A$4:A445,A445))</f>
        <v/>
      </c>
      <c r="C445" s="33"/>
      <c r="D445" s="33"/>
      <c r="E445" s="33"/>
      <c r="F445" s="33"/>
      <c r="G445" s="34"/>
      <c r="H445" s="33"/>
      <c r="I445" s="33"/>
      <c r="J445" s="35"/>
      <c r="K445" s="33"/>
      <c r="L445" s="9" t="str">
        <f aca="false">IF(A445="","",A445&amp;"-"&amp;B445)</f>
        <v/>
      </c>
    </row>
    <row r="446" customFormat="false" ht="15" hidden="false" customHeight="false" outlineLevel="0" collapsed="false">
      <c r="A446" s="33"/>
      <c r="B446" s="9" t="str">
        <f aca="false">IF(A446="","",COUNTIF($A$4:A446,A446))</f>
        <v/>
      </c>
      <c r="C446" s="33"/>
      <c r="D446" s="33"/>
      <c r="E446" s="33"/>
      <c r="F446" s="33"/>
      <c r="G446" s="34"/>
      <c r="H446" s="33"/>
      <c r="I446" s="33"/>
      <c r="J446" s="35"/>
      <c r="K446" s="33"/>
      <c r="L446" s="9" t="str">
        <f aca="false">IF(A446="","",A446&amp;"-"&amp;B446)</f>
        <v/>
      </c>
    </row>
    <row r="447" customFormat="false" ht="15" hidden="false" customHeight="false" outlineLevel="0" collapsed="false">
      <c r="A447" s="33"/>
      <c r="B447" s="9" t="str">
        <f aca="false">IF(A447="","",COUNTIF($A$4:A447,A447))</f>
        <v/>
      </c>
      <c r="C447" s="33"/>
      <c r="D447" s="33"/>
      <c r="E447" s="33"/>
      <c r="F447" s="33"/>
      <c r="G447" s="34"/>
      <c r="H447" s="33"/>
      <c r="I447" s="33"/>
      <c r="J447" s="35"/>
      <c r="K447" s="33"/>
      <c r="L447" s="9" t="str">
        <f aca="false">IF(A447="","",A447&amp;"-"&amp;B447)</f>
        <v/>
      </c>
    </row>
    <row r="448" customFormat="false" ht="15" hidden="false" customHeight="false" outlineLevel="0" collapsed="false">
      <c r="A448" s="33"/>
      <c r="B448" s="9" t="str">
        <f aca="false">IF(A448="","",COUNTIF($A$4:A448,A448))</f>
        <v/>
      </c>
      <c r="C448" s="33"/>
      <c r="D448" s="33"/>
      <c r="E448" s="33"/>
      <c r="F448" s="33"/>
      <c r="G448" s="34"/>
      <c r="H448" s="33"/>
      <c r="I448" s="33"/>
      <c r="J448" s="35"/>
      <c r="K448" s="33"/>
      <c r="L448" s="9" t="str">
        <f aca="false">IF(A448="","",A448&amp;"-"&amp;B448)</f>
        <v/>
      </c>
    </row>
    <row r="449" customFormat="false" ht="15" hidden="false" customHeight="false" outlineLevel="0" collapsed="false">
      <c r="A449" s="33"/>
      <c r="B449" s="9" t="str">
        <f aca="false">IF(A449="","",COUNTIF($A$4:A449,A449))</f>
        <v/>
      </c>
      <c r="C449" s="33"/>
      <c r="D449" s="33"/>
      <c r="E449" s="33"/>
      <c r="F449" s="33"/>
      <c r="G449" s="34"/>
      <c r="H449" s="33"/>
      <c r="I449" s="33"/>
      <c r="J449" s="35"/>
      <c r="K449" s="33"/>
      <c r="L449" s="9" t="str">
        <f aca="false">IF(A449="","",A449&amp;"-"&amp;B449)</f>
        <v/>
      </c>
    </row>
    <row r="450" customFormat="false" ht="15" hidden="false" customHeight="false" outlineLevel="0" collapsed="false">
      <c r="A450" s="33"/>
      <c r="B450" s="9" t="str">
        <f aca="false">IF(A450="","",COUNTIF($A$4:A450,A450))</f>
        <v/>
      </c>
      <c r="C450" s="33"/>
      <c r="D450" s="33"/>
      <c r="E450" s="33"/>
      <c r="F450" s="33"/>
      <c r="G450" s="34"/>
      <c r="H450" s="33"/>
      <c r="I450" s="33"/>
      <c r="J450" s="35"/>
      <c r="K450" s="33"/>
      <c r="L450" s="9" t="str">
        <f aca="false">IF(A450="","",A450&amp;"-"&amp;B450)</f>
        <v/>
      </c>
    </row>
    <row r="451" customFormat="false" ht="15" hidden="false" customHeight="false" outlineLevel="0" collapsed="false">
      <c r="A451" s="33"/>
      <c r="B451" s="9" t="str">
        <f aca="false">IF(A451="","",COUNTIF($A$4:A451,A451))</f>
        <v/>
      </c>
      <c r="C451" s="33"/>
      <c r="D451" s="33"/>
      <c r="E451" s="33"/>
      <c r="F451" s="33"/>
      <c r="G451" s="34"/>
      <c r="H451" s="33"/>
      <c r="I451" s="33"/>
      <c r="J451" s="35"/>
      <c r="K451" s="33"/>
      <c r="L451" s="9" t="str">
        <f aca="false">IF(A451="","",A451&amp;"-"&amp;B451)</f>
        <v/>
      </c>
    </row>
    <row r="452" customFormat="false" ht="15" hidden="false" customHeight="false" outlineLevel="0" collapsed="false">
      <c r="A452" s="33"/>
      <c r="B452" s="9" t="str">
        <f aca="false">IF(A452="","",COUNTIF($A$4:A452,A452))</f>
        <v/>
      </c>
      <c r="C452" s="33"/>
      <c r="D452" s="33"/>
      <c r="E452" s="33"/>
      <c r="F452" s="33"/>
      <c r="G452" s="34"/>
      <c r="H452" s="33"/>
      <c r="I452" s="33"/>
      <c r="J452" s="35"/>
      <c r="K452" s="33"/>
      <c r="L452" s="9" t="str">
        <f aca="false">IF(A452="","",A452&amp;"-"&amp;B452)</f>
        <v/>
      </c>
    </row>
    <row r="453" customFormat="false" ht="15" hidden="false" customHeight="false" outlineLevel="0" collapsed="false">
      <c r="A453" s="33"/>
      <c r="B453" s="9" t="str">
        <f aca="false">IF(A453="","",COUNTIF($A$4:A453,A453))</f>
        <v/>
      </c>
      <c r="C453" s="33"/>
      <c r="D453" s="33"/>
      <c r="E453" s="33"/>
      <c r="F453" s="33"/>
      <c r="G453" s="34"/>
      <c r="H453" s="33"/>
      <c r="I453" s="33"/>
      <c r="J453" s="35"/>
      <c r="K453" s="33"/>
      <c r="L453" s="9" t="str">
        <f aca="false">IF(A453="","",A453&amp;"-"&amp;B453)</f>
        <v/>
      </c>
    </row>
    <row r="454" customFormat="false" ht="15" hidden="false" customHeight="false" outlineLevel="0" collapsed="false">
      <c r="A454" s="33"/>
      <c r="B454" s="9" t="str">
        <f aca="false">IF(A454="","",COUNTIF($A$4:A454,A454))</f>
        <v/>
      </c>
      <c r="C454" s="33"/>
      <c r="D454" s="33"/>
      <c r="E454" s="33"/>
      <c r="F454" s="33"/>
      <c r="G454" s="34"/>
      <c r="H454" s="33"/>
      <c r="I454" s="33"/>
      <c r="J454" s="35"/>
      <c r="K454" s="33"/>
      <c r="L454" s="9" t="str">
        <f aca="false">IF(A454="","",A454&amp;"-"&amp;B454)</f>
        <v/>
      </c>
    </row>
    <row r="455" customFormat="false" ht="15" hidden="false" customHeight="false" outlineLevel="0" collapsed="false">
      <c r="A455" s="33"/>
      <c r="B455" s="9" t="str">
        <f aca="false">IF(A455="","",COUNTIF($A$4:A455,A455))</f>
        <v/>
      </c>
      <c r="C455" s="33"/>
      <c r="D455" s="33"/>
      <c r="E455" s="33"/>
      <c r="F455" s="33"/>
      <c r="G455" s="34"/>
      <c r="H455" s="33"/>
      <c r="I455" s="33"/>
      <c r="J455" s="35"/>
      <c r="K455" s="33"/>
      <c r="L455" s="9" t="str">
        <f aca="false">IF(A455="","",A455&amp;"-"&amp;B455)</f>
        <v/>
      </c>
    </row>
    <row r="456" customFormat="false" ht="15" hidden="false" customHeight="false" outlineLevel="0" collapsed="false">
      <c r="A456" s="33"/>
      <c r="B456" s="9" t="str">
        <f aca="false">IF(A456="","",COUNTIF($A$4:A456,A456))</f>
        <v/>
      </c>
      <c r="C456" s="33"/>
      <c r="D456" s="33"/>
      <c r="E456" s="33"/>
      <c r="F456" s="33"/>
      <c r="G456" s="34"/>
      <c r="H456" s="33"/>
      <c r="I456" s="33"/>
      <c r="J456" s="35"/>
      <c r="K456" s="33"/>
      <c r="L456" s="9" t="str">
        <f aca="false">IF(A456="","",A456&amp;"-"&amp;B456)</f>
        <v/>
      </c>
    </row>
    <row r="457" customFormat="false" ht="15" hidden="false" customHeight="false" outlineLevel="0" collapsed="false">
      <c r="A457" s="33"/>
      <c r="B457" s="9" t="str">
        <f aca="false">IF(A457="","",COUNTIF($A$4:A457,A457))</f>
        <v/>
      </c>
      <c r="C457" s="33"/>
      <c r="D457" s="33"/>
      <c r="E457" s="33"/>
      <c r="F457" s="33"/>
      <c r="G457" s="34"/>
      <c r="H457" s="33"/>
      <c r="I457" s="33"/>
      <c r="J457" s="35"/>
      <c r="K457" s="33"/>
      <c r="L457" s="9" t="str">
        <f aca="false">IF(A457="","",A457&amp;"-"&amp;B457)</f>
        <v/>
      </c>
    </row>
    <row r="458" customFormat="false" ht="15" hidden="false" customHeight="false" outlineLevel="0" collapsed="false">
      <c r="A458" s="33"/>
      <c r="B458" s="9" t="str">
        <f aca="false">IF(A458="","",COUNTIF($A$4:A458,A458))</f>
        <v/>
      </c>
      <c r="C458" s="33"/>
      <c r="D458" s="33"/>
      <c r="E458" s="33"/>
      <c r="F458" s="33"/>
      <c r="G458" s="34"/>
      <c r="H458" s="33"/>
      <c r="I458" s="33"/>
      <c r="J458" s="35"/>
      <c r="K458" s="33"/>
      <c r="L458" s="9" t="str">
        <f aca="false">IF(A458="","",A458&amp;"-"&amp;B458)</f>
        <v/>
      </c>
    </row>
    <row r="459" customFormat="false" ht="15" hidden="false" customHeight="false" outlineLevel="0" collapsed="false">
      <c r="A459" s="33"/>
      <c r="B459" s="9" t="str">
        <f aca="false">IF(A459="","",COUNTIF($A$4:A459,A459))</f>
        <v/>
      </c>
      <c r="C459" s="33"/>
      <c r="D459" s="33"/>
      <c r="E459" s="33"/>
      <c r="F459" s="33"/>
      <c r="G459" s="34"/>
      <c r="H459" s="33"/>
      <c r="I459" s="33"/>
      <c r="J459" s="35"/>
      <c r="K459" s="33"/>
      <c r="L459" s="9" t="str">
        <f aca="false">IF(A459="","",A459&amp;"-"&amp;B459)</f>
        <v/>
      </c>
    </row>
    <row r="460" customFormat="false" ht="15" hidden="false" customHeight="false" outlineLevel="0" collapsed="false">
      <c r="A460" s="33"/>
      <c r="B460" s="9" t="str">
        <f aca="false">IF(A460="","",COUNTIF($A$4:A460,A460))</f>
        <v/>
      </c>
      <c r="C460" s="33"/>
      <c r="D460" s="33"/>
      <c r="E460" s="33"/>
      <c r="F460" s="33"/>
      <c r="G460" s="34"/>
      <c r="H460" s="33"/>
      <c r="I460" s="33"/>
      <c r="J460" s="35"/>
      <c r="K460" s="33"/>
      <c r="L460" s="9" t="str">
        <f aca="false">IF(A460="","",A460&amp;"-"&amp;B460)</f>
        <v/>
      </c>
    </row>
    <row r="461" customFormat="false" ht="15" hidden="false" customHeight="false" outlineLevel="0" collapsed="false">
      <c r="A461" s="33"/>
      <c r="B461" s="9" t="str">
        <f aca="false">IF(A461="","",COUNTIF($A$4:A461,A461))</f>
        <v/>
      </c>
      <c r="C461" s="33"/>
      <c r="D461" s="33"/>
      <c r="E461" s="33"/>
      <c r="F461" s="33"/>
      <c r="G461" s="34"/>
      <c r="H461" s="33"/>
      <c r="I461" s="33"/>
      <c r="J461" s="35"/>
      <c r="K461" s="33"/>
      <c r="L461" s="9" t="str">
        <f aca="false">IF(A461="","",A461&amp;"-"&amp;B461)</f>
        <v/>
      </c>
    </row>
    <row r="462" customFormat="false" ht="15" hidden="false" customHeight="false" outlineLevel="0" collapsed="false">
      <c r="A462" s="33"/>
      <c r="B462" s="9" t="str">
        <f aca="false">IF(A462="","",COUNTIF($A$4:A462,A462))</f>
        <v/>
      </c>
      <c r="C462" s="33"/>
      <c r="D462" s="33"/>
      <c r="E462" s="33"/>
      <c r="F462" s="33"/>
      <c r="G462" s="34"/>
      <c r="H462" s="33"/>
      <c r="I462" s="33"/>
      <c r="J462" s="35"/>
      <c r="K462" s="33"/>
      <c r="L462" s="9" t="str">
        <f aca="false">IF(A462="","",A462&amp;"-"&amp;B462)</f>
        <v/>
      </c>
    </row>
    <row r="463" customFormat="false" ht="15" hidden="false" customHeight="false" outlineLevel="0" collapsed="false">
      <c r="A463" s="33"/>
      <c r="B463" s="9" t="str">
        <f aca="false">IF(A463="","",COUNTIF($A$4:A463,A463))</f>
        <v/>
      </c>
      <c r="C463" s="33"/>
      <c r="D463" s="33"/>
      <c r="E463" s="33"/>
      <c r="F463" s="33"/>
      <c r="G463" s="34"/>
      <c r="H463" s="33"/>
      <c r="I463" s="33"/>
      <c r="J463" s="35"/>
      <c r="K463" s="33"/>
      <c r="L463" s="9" t="str">
        <f aca="false">IF(A463="","",A463&amp;"-"&amp;B463)</f>
        <v/>
      </c>
    </row>
    <row r="464" customFormat="false" ht="15" hidden="false" customHeight="false" outlineLevel="0" collapsed="false">
      <c r="A464" s="33"/>
      <c r="B464" s="9" t="str">
        <f aca="false">IF(A464="","",COUNTIF($A$4:A464,A464))</f>
        <v/>
      </c>
      <c r="C464" s="33"/>
      <c r="D464" s="33"/>
      <c r="E464" s="33"/>
      <c r="F464" s="33"/>
      <c r="G464" s="34"/>
      <c r="H464" s="33"/>
      <c r="I464" s="33"/>
      <c r="J464" s="35"/>
      <c r="K464" s="33"/>
      <c r="L464" s="9" t="str">
        <f aca="false">IF(A464="","",A464&amp;"-"&amp;B464)</f>
        <v/>
      </c>
    </row>
    <row r="465" customFormat="false" ht="15" hidden="false" customHeight="false" outlineLevel="0" collapsed="false">
      <c r="A465" s="33"/>
      <c r="B465" s="9" t="str">
        <f aca="false">IF(A465="","",COUNTIF($A$4:A465,A465))</f>
        <v/>
      </c>
      <c r="C465" s="33"/>
      <c r="D465" s="33"/>
      <c r="E465" s="33"/>
      <c r="F465" s="33"/>
      <c r="G465" s="34"/>
      <c r="H465" s="33"/>
      <c r="I465" s="33"/>
      <c r="J465" s="35"/>
      <c r="K465" s="33"/>
      <c r="L465" s="9" t="str">
        <f aca="false">IF(A465="","",A465&amp;"-"&amp;B465)</f>
        <v/>
      </c>
    </row>
    <row r="466" customFormat="false" ht="15" hidden="false" customHeight="false" outlineLevel="0" collapsed="false">
      <c r="A466" s="33"/>
      <c r="B466" s="9" t="str">
        <f aca="false">IF(A466="","",COUNTIF($A$4:A466,A466))</f>
        <v/>
      </c>
      <c r="C466" s="33"/>
      <c r="D466" s="33"/>
      <c r="E466" s="33"/>
      <c r="F466" s="33"/>
      <c r="G466" s="34"/>
      <c r="H466" s="33"/>
      <c r="I466" s="33"/>
      <c r="J466" s="35"/>
      <c r="K466" s="33"/>
      <c r="L466" s="9" t="str">
        <f aca="false">IF(A466="","",A466&amp;"-"&amp;B466)</f>
        <v/>
      </c>
    </row>
    <row r="467" customFormat="false" ht="15" hidden="false" customHeight="false" outlineLevel="0" collapsed="false">
      <c r="A467" s="33"/>
      <c r="B467" s="9" t="str">
        <f aca="false">IF(A467="","",COUNTIF($A$4:A467,A467))</f>
        <v/>
      </c>
      <c r="C467" s="33"/>
      <c r="D467" s="33"/>
      <c r="E467" s="33"/>
      <c r="F467" s="33"/>
      <c r="G467" s="34"/>
      <c r="H467" s="33"/>
      <c r="I467" s="33"/>
      <c r="J467" s="35"/>
      <c r="K467" s="33"/>
      <c r="L467" s="9" t="str">
        <f aca="false">IF(A467="","",A467&amp;"-"&amp;B467)</f>
        <v/>
      </c>
    </row>
    <row r="468" customFormat="false" ht="15" hidden="false" customHeight="false" outlineLevel="0" collapsed="false">
      <c r="A468" s="33"/>
      <c r="B468" s="9" t="str">
        <f aca="false">IF(A468="","",COUNTIF($A$4:A468,A468))</f>
        <v/>
      </c>
      <c r="C468" s="33"/>
      <c r="D468" s="33"/>
      <c r="E468" s="33"/>
      <c r="F468" s="33"/>
      <c r="G468" s="34"/>
      <c r="H468" s="33"/>
      <c r="I468" s="33"/>
      <c r="J468" s="35"/>
      <c r="K468" s="33"/>
      <c r="L468" s="9" t="str">
        <f aca="false">IF(A468="","",A468&amp;"-"&amp;B468)</f>
        <v/>
      </c>
    </row>
    <row r="469" customFormat="false" ht="15" hidden="false" customHeight="false" outlineLevel="0" collapsed="false">
      <c r="A469" s="33"/>
      <c r="B469" s="9" t="str">
        <f aca="false">IF(A469="","",COUNTIF($A$4:A469,A469))</f>
        <v/>
      </c>
      <c r="C469" s="33"/>
      <c r="D469" s="33"/>
      <c r="E469" s="33"/>
      <c r="F469" s="33"/>
      <c r="G469" s="34"/>
      <c r="H469" s="33"/>
      <c r="I469" s="33"/>
      <c r="J469" s="35"/>
      <c r="K469" s="33"/>
      <c r="L469" s="9" t="str">
        <f aca="false">IF(A469="","",A469&amp;"-"&amp;B469)</f>
        <v/>
      </c>
    </row>
    <row r="470" customFormat="false" ht="15" hidden="false" customHeight="false" outlineLevel="0" collapsed="false">
      <c r="A470" s="33"/>
      <c r="B470" s="9" t="str">
        <f aca="false">IF(A470="","",COUNTIF($A$4:A470,A470))</f>
        <v/>
      </c>
      <c r="C470" s="33"/>
      <c r="D470" s="33"/>
      <c r="E470" s="33"/>
      <c r="F470" s="33"/>
      <c r="G470" s="34"/>
      <c r="H470" s="33"/>
      <c r="I470" s="33"/>
      <c r="J470" s="35"/>
      <c r="K470" s="33"/>
      <c r="L470" s="9" t="str">
        <f aca="false">IF(A470="","",A470&amp;"-"&amp;B470)</f>
        <v/>
      </c>
    </row>
    <row r="471" customFormat="false" ht="15" hidden="false" customHeight="false" outlineLevel="0" collapsed="false">
      <c r="A471" s="33"/>
      <c r="B471" s="9" t="str">
        <f aca="false">IF(A471="","",COUNTIF($A$4:A471,A471))</f>
        <v/>
      </c>
      <c r="C471" s="33"/>
      <c r="D471" s="33"/>
      <c r="E471" s="33"/>
      <c r="F471" s="33"/>
      <c r="G471" s="34"/>
      <c r="H471" s="33"/>
      <c r="I471" s="33"/>
      <c r="J471" s="35"/>
      <c r="K471" s="33"/>
      <c r="L471" s="9" t="str">
        <f aca="false">IF(A471="","",A471&amp;"-"&amp;B471)</f>
        <v/>
      </c>
    </row>
    <row r="472" customFormat="false" ht="15" hidden="false" customHeight="false" outlineLevel="0" collapsed="false">
      <c r="A472" s="33"/>
      <c r="B472" s="9" t="str">
        <f aca="false">IF(A472="","",COUNTIF($A$4:A472,A472))</f>
        <v/>
      </c>
      <c r="C472" s="33"/>
      <c r="D472" s="33"/>
      <c r="E472" s="33"/>
      <c r="F472" s="33"/>
      <c r="G472" s="34"/>
      <c r="H472" s="33"/>
      <c r="I472" s="33"/>
      <c r="J472" s="35"/>
      <c r="K472" s="33"/>
      <c r="L472" s="9" t="str">
        <f aca="false">IF(A472="","",A472&amp;"-"&amp;B472)</f>
        <v/>
      </c>
    </row>
    <row r="473" customFormat="false" ht="15" hidden="false" customHeight="false" outlineLevel="0" collapsed="false">
      <c r="A473" s="33"/>
      <c r="B473" s="9" t="str">
        <f aca="false">IF(A473="","",COUNTIF($A$4:A473,A473))</f>
        <v/>
      </c>
      <c r="C473" s="33"/>
      <c r="D473" s="33"/>
      <c r="E473" s="33"/>
      <c r="F473" s="33"/>
      <c r="G473" s="34"/>
      <c r="H473" s="33"/>
      <c r="I473" s="33"/>
      <c r="J473" s="35"/>
      <c r="K473" s="33"/>
      <c r="L473" s="9" t="str">
        <f aca="false">IF(A473="","",A473&amp;"-"&amp;B473)</f>
        <v/>
      </c>
    </row>
    <row r="474" customFormat="false" ht="15" hidden="false" customHeight="false" outlineLevel="0" collapsed="false">
      <c r="A474" s="33"/>
      <c r="B474" s="9" t="str">
        <f aca="false">IF(A474="","",COUNTIF($A$4:A474,A474))</f>
        <v/>
      </c>
      <c r="C474" s="33"/>
      <c r="D474" s="33"/>
      <c r="E474" s="33"/>
      <c r="F474" s="33"/>
      <c r="G474" s="34"/>
      <c r="H474" s="33"/>
      <c r="I474" s="33"/>
      <c r="J474" s="35"/>
      <c r="K474" s="33"/>
      <c r="L474" s="9" t="str">
        <f aca="false">IF(A474="","",A474&amp;"-"&amp;B474)</f>
        <v/>
      </c>
    </row>
    <row r="475" customFormat="false" ht="15" hidden="false" customHeight="false" outlineLevel="0" collapsed="false">
      <c r="A475" s="33"/>
      <c r="B475" s="9" t="str">
        <f aca="false">IF(A475="","",COUNTIF($A$4:A475,A475))</f>
        <v/>
      </c>
      <c r="C475" s="33"/>
      <c r="D475" s="33"/>
      <c r="E475" s="33"/>
      <c r="F475" s="33"/>
      <c r="G475" s="34"/>
      <c r="H475" s="33"/>
      <c r="I475" s="33"/>
      <c r="J475" s="35"/>
      <c r="K475" s="33"/>
      <c r="L475" s="9" t="str">
        <f aca="false">IF(A475="","",A475&amp;"-"&amp;B475)</f>
        <v/>
      </c>
    </row>
    <row r="476" customFormat="false" ht="15" hidden="false" customHeight="false" outlineLevel="0" collapsed="false">
      <c r="A476" s="33"/>
      <c r="B476" s="9" t="str">
        <f aca="false">IF(A476="","",COUNTIF($A$4:A476,A476))</f>
        <v/>
      </c>
      <c r="C476" s="33"/>
      <c r="D476" s="33"/>
      <c r="E476" s="33"/>
      <c r="F476" s="33"/>
      <c r="G476" s="34"/>
      <c r="H476" s="33"/>
      <c r="I476" s="33"/>
      <c r="J476" s="35"/>
      <c r="K476" s="33"/>
      <c r="L476" s="9" t="str">
        <f aca="false">IF(A476="","",A476&amp;"-"&amp;B476)</f>
        <v/>
      </c>
    </row>
    <row r="477" customFormat="false" ht="15" hidden="false" customHeight="false" outlineLevel="0" collapsed="false">
      <c r="A477" s="33"/>
      <c r="B477" s="9" t="str">
        <f aca="false">IF(A477="","",COUNTIF($A$4:A477,A477))</f>
        <v/>
      </c>
      <c r="C477" s="33"/>
      <c r="D477" s="33"/>
      <c r="E477" s="33"/>
      <c r="F477" s="33"/>
      <c r="G477" s="34"/>
      <c r="H477" s="33"/>
      <c r="I477" s="33"/>
      <c r="J477" s="35"/>
      <c r="K477" s="33"/>
      <c r="L477" s="9" t="str">
        <f aca="false">IF(A477="","",A477&amp;"-"&amp;B477)</f>
        <v/>
      </c>
    </row>
    <row r="478" customFormat="false" ht="15" hidden="false" customHeight="false" outlineLevel="0" collapsed="false">
      <c r="A478" s="33"/>
      <c r="B478" s="9" t="str">
        <f aca="false">IF(A478="","",COUNTIF($A$4:A478,A478))</f>
        <v/>
      </c>
      <c r="C478" s="33"/>
      <c r="D478" s="33"/>
      <c r="E478" s="33"/>
      <c r="F478" s="33"/>
      <c r="G478" s="34"/>
      <c r="H478" s="33"/>
      <c r="I478" s="33"/>
      <c r="J478" s="35"/>
      <c r="K478" s="33"/>
      <c r="L478" s="9" t="str">
        <f aca="false">IF(A478="","",A478&amp;"-"&amp;B478)</f>
        <v/>
      </c>
    </row>
    <row r="479" customFormat="false" ht="15" hidden="false" customHeight="false" outlineLevel="0" collapsed="false">
      <c r="A479" s="33"/>
      <c r="B479" s="9" t="str">
        <f aca="false">IF(A479="","",COUNTIF($A$4:A479,A479))</f>
        <v/>
      </c>
      <c r="C479" s="33"/>
      <c r="D479" s="33"/>
      <c r="E479" s="33"/>
      <c r="F479" s="33"/>
      <c r="G479" s="34"/>
      <c r="H479" s="33"/>
      <c r="I479" s="33"/>
      <c r="J479" s="35"/>
      <c r="K479" s="33"/>
      <c r="L479" s="9" t="str">
        <f aca="false">IF(A479="","",A479&amp;"-"&amp;B479)</f>
        <v/>
      </c>
    </row>
    <row r="480" customFormat="false" ht="15" hidden="false" customHeight="false" outlineLevel="0" collapsed="false">
      <c r="A480" s="33"/>
      <c r="B480" s="9" t="str">
        <f aca="false">IF(A480="","",COUNTIF($A$4:A480,A480))</f>
        <v/>
      </c>
      <c r="C480" s="33"/>
      <c r="D480" s="33"/>
      <c r="E480" s="33"/>
      <c r="F480" s="33"/>
      <c r="G480" s="34"/>
      <c r="H480" s="33"/>
      <c r="I480" s="33"/>
      <c r="J480" s="35"/>
      <c r="K480" s="33"/>
      <c r="L480" s="9" t="str">
        <f aca="false">IF(A480="","",A480&amp;"-"&amp;B480)</f>
        <v/>
      </c>
    </row>
    <row r="481" customFormat="false" ht="15" hidden="false" customHeight="false" outlineLevel="0" collapsed="false">
      <c r="A481" s="33"/>
      <c r="B481" s="9" t="str">
        <f aca="false">IF(A481="","",COUNTIF($A$4:A481,A481))</f>
        <v/>
      </c>
      <c r="C481" s="33"/>
      <c r="D481" s="33"/>
      <c r="E481" s="33"/>
      <c r="F481" s="33"/>
      <c r="G481" s="34"/>
      <c r="H481" s="33"/>
      <c r="I481" s="33"/>
      <c r="J481" s="35"/>
      <c r="K481" s="33"/>
      <c r="L481" s="9" t="str">
        <f aca="false">IF(A481="","",A481&amp;"-"&amp;B481)</f>
        <v/>
      </c>
    </row>
    <row r="482" customFormat="false" ht="15" hidden="false" customHeight="false" outlineLevel="0" collapsed="false">
      <c r="A482" s="33"/>
      <c r="B482" s="9" t="str">
        <f aca="false">IF(A482="","",COUNTIF($A$4:A482,A482))</f>
        <v/>
      </c>
      <c r="C482" s="33"/>
      <c r="D482" s="33"/>
      <c r="E482" s="33"/>
      <c r="F482" s="33"/>
      <c r="G482" s="34"/>
      <c r="H482" s="33"/>
      <c r="I482" s="33"/>
      <c r="J482" s="35"/>
      <c r="K482" s="33"/>
      <c r="L482" s="9" t="str">
        <f aca="false">IF(A482="","",A482&amp;"-"&amp;B482)</f>
        <v/>
      </c>
    </row>
    <row r="483" customFormat="false" ht="15" hidden="false" customHeight="false" outlineLevel="0" collapsed="false">
      <c r="A483" s="33"/>
      <c r="B483" s="9" t="str">
        <f aca="false">IF(A483="","",COUNTIF($A$4:A483,A483))</f>
        <v/>
      </c>
      <c r="C483" s="33"/>
      <c r="D483" s="33"/>
      <c r="E483" s="33"/>
      <c r="F483" s="33"/>
      <c r="G483" s="34"/>
      <c r="H483" s="33"/>
      <c r="I483" s="33"/>
      <c r="J483" s="35"/>
      <c r="K483" s="33"/>
      <c r="L483" s="9" t="str">
        <f aca="false">IF(A483="","",A483&amp;"-"&amp;B483)</f>
        <v/>
      </c>
    </row>
    <row r="484" customFormat="false" ht="15" hidden="false" customHeight="false" outlineLevel="0" collapsed="false">
      <c r="A484" s="33"/>
      <c r="B484" s="9" t="str">
        <f aca="false">IF(A484="","",COUNTIF($A$4:A484,A484))</f>
        <v/>
      </c>
      <c r="C484" s="33"/>
      <c r="D484" s="33"/>
      <c r="E484" s="33"/>
      <c r="F484" s="33"/>
      <c r="G484" s="34"/>
      <c r="H484" s="33"/>
      <c r="I484" s="33"/>
      <c r="J484" s="35"/>
      <c r="K484" s="33"/>
      <c r="L484" s="9" t="str">
        <f aca="false">IF(A484="","",A484&amp;"-"&amp;B484)</f>
        <v/>
      </c>
    </row>
    <row r="485" customFormat="false" ht="15" hidden="false" customHeight="false" outlineLevel="0" collapsed="false">
      <c r="A485" s="33"/>
      <c r="B485" s="9" t="str">
        <f aca="false">IF(A485="","",COUNTIF($A$4:A485,A485))</f>
        <v/>
      </c>
      <c r="C485" s="33"/>
      <c r="D485" s="33"/>
      <c r="E485" s="33"/>
      <c r="F485" s="33"/>
      <c r="G485" s="34"/>
      <c r="H485" s="33"/>
      <c r="I485" s="33"/>
      <c r="J485" s="35"/>
      <c r="K485" s="33"/>
      <c r="L485" s="9" t="str">
        <f aca="false">IF(A485="","",A485&amp;"-"&amp;B485)</f>
        <v/>
      </c>
    </row>
    <row r="486" customFormat="false" ht="15" hidden="false" customHeight="false" outlineLevel="0" collapsed="false">
      <c r="A486" s="33"/>
      <c r="B486" s="9" t="str">
        <f aca="false">IF(A486="","",COUNTIF($A$4:A486,A486))</f>
        <v/>
      </c>
      <c r="C486" s="33"/>
      <c r="D486" s="33"/>
      <c r="E486" s="33"/>
      <c r="F486" s="33"/>
      <c r="G486" s="34"/>
      <c r="H486" s="33"/>
      <c r="I486" s="33"/>
      <c r="J486" s="35"/>
      <c r="K486" s="33"/>
      <c r="L486" s="9" t="str">
        <f aca="false">IF(A486="","",A486&amp;"-"&amp;B486)</f>
        <v/>
      </c>
    </row>
    <row r="487" customFormat="false" ht="15" hidden="false" customHeight="false" outlineLevel="0" collapsed="false">
      <c r="A487" s="33"/>
      <c r="B487" s="9" t="str">
        <f aca="false">IF(A487="","",COUNTIF($A$4:A487,A487))</f>
        <v/>
      </c>
      <c r="C487" s="33"/>
      <c r="D487" s="33"/>
      <c r="E487" s="33"/>
      <c r="F487" s="33"/>
      <c r="G487" s="34"/>
      <c r="H487" s="33"/>
      <c r="I487" s="33"/>
      <c r="J487" s="35"/>
      <c r="K487" s="33"/>
      <c r="L487" s="9" t="str">
        <f aca="false">IF(A487="","",A487&amp;"-"&amp;B487)</f>
        <v/>
      </c>
    </row>
    <row r="488" customFormat="false" ht="15" hidden="false" customHeight="false" outlineLevel="0" collapsed="false">
      <c r="A488" s="33"/>
      <c r="B488" s="9" t="str">
        <f aca="false">IF(A488="","",COUNTIF($A$4:A488,A488))</f>
        <v/>
      </c>
      <c r="C488" s="33"/>
      <c r="D488" s="33"/>
      <c r="E488" s="33"/>
      <c r="F488" s="33"/>
      <c r="G488" s="34"/>
      <c r="H488" s="33"/>
      <c r="I488" s="33"/>
      <c r="J488" s="35"/>
      <c r="K488" s="33"/>
      <c r="L488" s="9" t="str">
        <f aca="false">IF(A488="","",A488&amp;"-"&amp;B488)</f>
        <v/>
      </c>
    </row>
    <row r="489" customFormat="false" ht="15" hidden="false" customHeight="false" outlineLevel="0" collapsed="false">
      <c r="A489" s="33"/>
      <c r="B489" s="9" t="str">
        <f aca="false">IF(A489="","",COUNTIF($A$4:A489,A489))</f>
        <v/>
      </c>
      <c r="C489" s="33"/>
      <c r="D489" s="33"/>
      <c r="E489" s="33"/>
      <c r="F489" s="33"/>
      <c r="G489" s="34"/>
      <c r="H489" s="33"/>
      <c r="I489" s="33"/>
      <c r="J489" s="35"/>
      <c r="K489" s="33"/>
      <c r="L489" s="9" t="str">
        <f aca="false">IF(A489="","",A489&amp;"-"&amp;B489)</f>
        <v/>
      </c>
    </row>
    <row r="490" customFormat="false" ht="15" hidden="false" customHeight="false" outlineLevel="0" collapsed="false">
      <c r="A490" s="33"/>
      <c r="B490" s="9" t="str">
        <f aca="false">IF(A490="","",COUNTIF($A$4:A490,A490))</f>
        <v/>
      </c>
      <c r="C490" s="33"/>
      <c r="D490" s="33"/>
      <c r="E490" s="33"/>
      <c r="F490" s="33"/>
      <c r="G490" s="34"/>
      <c r="H490" s="33"/>
      <c r="I490" s="33"/>
      <c r="J490" s="35"/>
      <c r="K490" s="33"/>
      <c r="L490" s="9" t="str">
        <f aca="false">IF(A490="","",A490&amp;"-"&amp;B490)</f>
        <v/>
      </c>
    </row>
    <row r="491" customFormat="false" ht="15" hidden="false" customHeight="false" outlineLevel="0" collapsed="false">
      <c r="A491" s="33"/>
      <c r="B491" s="9" t="str">
        <f aca="false">IF(A491="","",COUNTIF($A$4:A491,A491))</f>
        <v/>
      </c>
      <c r="C491" s="33"/>
      <c r="D491" s="33"/>
      <c r="E491" s="33"/>
      <c r="F491" s="33"/>
      <c r="G491" s="34"/>
      <c r="H491" s="33"/>
      <c r="I491" s="33"/>
      <c r="J491" s="35"/>
      <c r="K491" s="33"/>
      <c r="L491" s="9" t="str">
        <f aca="false">IF(A491="","",A491&amp;"-"&amp;B491)</f>
        <v/>
      </c>
    </row>
    <row r="492" customFormat="false" ht="15" hidden="false" customHeight="false" outlineLevel="0" collapsed="false">
      <c r="A492" s="33"/>
      <c r="B492" s="9" t="str">
        <f aca="false">IF(A492="","",COUNTIF($A$4:A492,A492))</f>
        <v/>
      </c>
      <c r="C492" s="33"/>
      <c r="D492" s="33"/>
      <c r="E492" s="33"/>
      <c r="F492" s="33"/>
      <c r="G492" s="34"/>
      <c r="H492" s="33"/>
      <c r="I492" s="33"/>
      <c r="J492" s="35"/>
      <c r="K492" s="33"/>
      <c r="L492" s="9" t="str">
        <f aca="false">IF(A492="","",A492&amp;"-"&amp;B492)</f>
        <v/>
      </c>
    </row>
    <row r="493" customFormat="false" ht="15" hidden="false" customHeight="false" outlineLevel="0" collapsed="false">
      <c r="A493" s="33"/>
      <c r="B493" s="9" t="str">
        <f aca="false">IF(A493="","",COUNTIF($A$4:A493,A493))</f>
        <v/>
      </c>
      <c r="C493" s="33"/>
      <c r="D493" s="33"/>
      <c r="E493" s="33"/>
      <c r="F493" s="33"/>
      <c r="G493" s="34"/>
      <c r="H493" s="33"/>
      <c r="I493" s="33"/>
      <c r="J493" s="35"/>
      <c r="K493" s="33"/>
      <c r="L493" s="9" t="str">
        <f aca="false">IF(A493="","",A493&amp;"-"&amp;B493)</f>
        <v/>
      </c>
    </row>
    <row r="494" customFormat="false" ht="15" hidden="false" customHeight="false" outlineLevel="0" collapsed="false">
      <c r="A494" s="33"/>
      <c r="B494" s="9" t="str">
        <f aca="false">IF(A494="","",COUNTIF($A$4:A494,A494))</f>
        <v/>
      </c>
      <c r="C494" s="33"/>
      <c r="D494" s="33"/>
      <c r="E494" s="33"/>
      <c r="F494" s="33"/>
      <c r="G494" s="34"/>
      <c r="H494" s="33"/>
      <c r="I494" s="33"/>
      <c r="J494" s="35"/>
      <c r="K494" s="33"/>
      <c r="L494" s="9" t="str">
        <f aca="false">IF(A494="","",A494&amp;"-"&amp;B494)</f>
        <v/>
      </c>
    </row>
    <row r="495" customFormat="false" ht="15" hidden="false" customHeight="false" outlineLevel="0" collapsed="false">
      <c r="A495" s="33"/>
      <c r="B495" s="9" t="str">
        <f aca="false">IF(A495="","",COUNTIF($A$4:A495,A495))</f>
        <v/>
      </c>
      <c r="C495" s="33"/>
      <c r="D495" s="33"/>
      <c r="E495" s="33"/>
      <c r="F495" s="33"/>
      <c r="G495" s="34"/>
      <c r="H495" s="33"/>
      <c r="I495" s="33"/>
      <c r="J495" s="35"/>
      <c r="K495" s="33"/>
      <c r="L495" s="9" t="str">
        <f aca="false">IF(A495="","",A495&amp;"-"&amp;B495)</f>
        <v/>
      </c>
    </row>
    <row r="496" customFormat="false" ht="15" hidden="false" customHeight="false" outlineLevel="0" collapsed="false">
      <c r="A496" s="33"/>
      <c r="B496" s="9" t="str">
        <f aca="false">IF(A496="","",COUNTIF($A$4:A496,A496))</f>
        <v/>
      </c>
      <c r="C496" s="33"/>
      <c r="D496" s="33"/>
      <c r="E496" s="33"/>
      <c r="F496" s="33"/>
      <c r="G496" s="34"/>
      <c r="H496" s="33"/>
      <c r="I496" s="33"/>
      <c r="J496" s="35"/>
      <c r="K496" s="33"/>
      <c r="L496" s="9" t="str">
        <f aca="false">IF(A496="","",A496&amp;"-"&amp;B496)</f>
        <v/>
      </c>
    </row>
    <row r="497" customFormat="false" ht="15" hidden="false" customHeight="false" outlineLevel="0" collapsed="false">
      <c r="A497" s="33"/>
      <c r="B497" s="9" t="str">
        <f aca="false">IF(A497="","",COUNTIF($A$4:A497,A497))</f>
        <v/>
      </c>
      <c r="C497" s="33"/>
      <c r="D497" s="33"/>
      <c r="E497" s="33"/>
      <c r="F497" s="33"/>
      <c r="G497" s="34"/>
      <c r="H497" s="33"/>
      <c r="I497" s="33"/>
      <c r="J497" s="35"/>
      <c r="K497" s="33"/>
      <c r="L497" s="9" t="str">
        <f aca="false">IF(A497="","",A497&amp;"-"&amp;B497)</f>
        <v/>
      </c>
    </row>
    <row r="498" customFormat="false" ht="15" hidden="false" customHeight="false" outlineLevel="0" collapsed="false">
      <c r="A498" s="33"/>
      <c r="B498" s="9" t="str">
        <f aca="false">IF(A498="","",COUNTIF($A$4:A498,A498))</f>
        <v/>
      </c>
      <c r="C498" s="33"/>
      <c r="D498" s="33"/>
      <c r="E498" s="33"/>
      <c r="F498" s="33"/>
      <c r="G498" s="34"/>
      <c r="H498" s="33"/>
      <c r="I498" s="33"/>
      <c r="J498" s="35"/>
      <c r="K498" s="33"/>
      <c r="L498" s="9" t="str">
        <f aca="false">IF(A498="","",A498&amp;"-"&amp;B498)</f>
        <v/>
      </c>
    </row>
    <row r="499" customFormat="false" ht="15" hidden="false" customHeight="false" outlineLevel="0" collapsed="false">
      <c r="A499" s="33"/>
      <c r="B499" s="9" t="str">
        <f aca="false">IF(A499="","",COUNTIF($A$4:A499,A499))</f>
        <v/>
      </c>
      <c r="C499" s="33"/>
      <c r="D499" s="33"/>
      <c r="E499" s="33"/>
      <c r="F499" s="33"/>
      <c r="G499" s="34"/>
      <c r="H499" s="33"/>
      <c r="I499" s="33"/>
      <c r="J499" s="35"/>
      <c r="K499" s="33"/>
      <c r="L499" s="9" t="str">
        <f aca="false">IF(A499="","",A499&amp;"-"&amp;B499)</f>
        <v/>
      </c>
    </row>
    <row r="500" customFormat="false" ht="15" hidden="false" customHeight="false" outlineLevel="0" collapsed="false">
      <c r="A500" s="33"/>
      <c r="B500" s="9" t="str">
        <f aca="false">IF(A500="","",COUNTIF($A$4:A500,A500))</f>
        <v/>
      </c>
      <c r="C500" s="33"/>
      <c r="D500" s="33"/>
      <c r="E500" s="33"/>
      <c r="F500" s="33"/>
      <c r="G500" s="34"/>
      <c r="H500" s="33"/>
      <c r="I500" s="33"/>
      <c r="J500" s="35"/>
      <c r="K500" s="33"/>
      <c r="L500" s="9" t="str">
        <f aca="false">IF(A500="","",A500&amp;"-"&amp;B500)</f>
        <v/>
      </c>
    </row>
    <row r="501" customFormat="false" ht="15" hidden="false" customHeight="false" outlineLevel="0" collapsed="false">
      <c r="A501" s="33"/>
      <c r="B501" s="9" t="str">
        <f aca="false">IF(A501="","",COUNTIF($A$4:A501,A501))</f>
        <v/>
      </c>
      <c r="C501" s="33"/>
      <c r="D501" s="33"/>
      <c r="E501" s="33"/>
      <c r="F501" s="33"/>
      <c r="G501" s="34"/>
      <c r="H501" s="33"/>
      <c r="I501" s="33"/>
      <c r="J501" s="35"/>
      <c r="K501" s="33"/>
      <c r="L501" s="9" t="str">
        <f aca="false">IF(A501="","",A501&amp;"-"&amp;B501)</f>
        <v/>
      </c>
    </row>
    <row r="502" customFormat="false" ht="15" hidden="false" customHeight="false" outlineLevel="0" collapsed="false">
      <c r="A502" s="33"/>
      <c r="B502" s="9" t="str">
        <f aca="false">IF(A502="","",COUNTIF($A$4:A502,A502))</f>
        <v/>
      </c>
      <c r="C502" s="33"/>
      <c r="D502" s="33"/>
      <c r="E502" s="33"/>
      <c r="F502" s="33"/>
      <c r="G502" s="34"/>
      <c r="H502" s="33"/>
      <c r="I502" s="33"/>
      <c r="J502" s="35"/>
      <c r="K502" s="33"/>
      <c r="L502" s="9" t="str">
        <f aca="false">IF(A502="","",A502&amp;"-"&amp;B502)</f>
        <v/>
      </c>
    </row>
    <row r="503" customFormat="false" ht="15" hidden="false" customHeight="false" outlineLevel="0" collapsed="false">
      <c r="A503" s="33"/>
      <c r="B503" s="9" t="str">
        <f aca="false">IF(A503="","",COUNTIF($A$4:A503,A503))</f>
        <v/>
      </c>
      <c r="C503" s="33"/>
      <c r="D503" s="33"/>
      <c r="E503" s="33"/>
      <c r="F503" s="33"/>
      <c r="G503" s="34"/>
      <c r="H503" s="33"/>
      <c r="I503" s="33"/>
      <c r="J503" s="35"/>
      <c r="K503" s="33"/>
      <c r="L503" s="9" t="str">
        <f aca="false">IF(A503="","",A503&amp;"-"&amp;B503)</f>
        <v/>
      </c>
    </row>
  </sheetData>
  <dataValidations count="2">
    <dataValidation allowBlank="true" error="Escolha um valor da lista" errorStyle="stop" operator="between" showDropDown="false" showErrorMessage="false" showInputMessage="false" sqref="A4:A503" type="list">
      <formula1>Calendario!$A$4:$A$107</formula1>
      <formula2>0</formula2>
    </dataValidation>
    <dataValidation allowBlank="true" error="Escolha um valor da lista" errorStyle="stop" operator="between" showDropDown="false" showErrorMessage="false" showInputMessage="false" sqref="K4:K503" type="list">
      <formula1>Config!$L$10:$L$21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9"/>
    <col collapsed="false" customWidth="true" hidden="false" outlineLevel="0" max="14" min="5" style="0" width="10"/>
    <col collapsed="false" customWidth="true" hidden="false" outlineLevel="0" max="15" min="15" style="0" width="11"/>
    <col collapsed="false" customWidth="true" hidden="false" outlineLevel="0" max="18" min="16" style="0" width="10"/>
    <col collapsed="false" customWidth="true" hidden="false" outlineLevel="0" max="19" min="19" style="0" width="11"/>
    <col collapsed="false" customWidth="true" hidden="false" outlineLevel="0" max="27" min="20" style="0" width="10"/>
    <col collapsed="false" customWidth="true" hidden="false" outlineLevel="0" max="28" min="28" style="0" width="11"/>
    <col collapsed="false" customWidth="true" hidden="false" outlineLevel="0" max="29" min="29" style="0" width="13"/>
    <col collapsed="false" customWidth="true" hidden="false" outlineLevel="0" max="30" min="30" style="0" width="11"/>
    <col collapsed="false" customWidth="true" hidden="false" outlineLevel="0" max="32" min="31" style="0" width="13"/>
    <col collapsed="false" customWidth="true" hidden="false" outlineLevel="0" max="34" min="33" style="0" width="10"/>
    <col collapsed="false" customWidth="true" hidden="false" outlineLevel="0" max="39" min="35" style="0" width="13"/>
    <col collapsed="false" customWidth="true" hidden="false" outlineLevel="0" max="41" min="40" style="0" width="10"/>
    <col collapsed="false" customWidth="true" hidden="false" outlineLevel="0" max="42" min="42" style="0" width="12"/>
    <col collapsed="false" customWidth="true" hidden="false" outlineLevel="0" max="44" min="43" style="0" width="13"/>
    <col collapsed="false" customWidth="true" hidden="false" outlineLevel="0" max="45" min="45" style="0" width="10"/>
    <col collapsed="false" customWidth="true" hidden="false" outlineLevel="0" max="47" min="46" style="0" width="12"/>
  </cols>
  <sheetData>
    <row r="1" customFormat="false" ht="17.35" hidden="false" customHeight="false" outlineLevel="0" collapsed="false">
      <c r="A1" s="1" t="s">
        <v>538</v>
      </c>
    </row>
    <row r="2" customFormat="false" ht="15" hidden="false" customHeight="false" outlineLevel="0" collapsed="false">
      <c r="A2" s="2" t="s">
        <v>539</v>
      </c>
    </row>
    <row r="3" customFormat="false" ht="31.5" hidden="false" customHeight="true" outlineLevel="0" collapsed="false">
      <c r="A3" s="8" t="s">
        <v>28</v>
      </c>
      <c r="B3" s="8" t="s">
        <v>31</v>
      </c>
      <c r="C3" s="8" t="s">
        <v>34</v>
      </c>
      <c r="D3" s="8" t="s">
        <v>36</v>
      </c>
      <c r="E3" s="8" t="s">
        <v>38</v>
      </c>
      <c r="F3" s="8" t="s">
        <v>40</v>
      </c>
      <c r="G3" s="8" t="s">
        <v>42</v>
      </c>
      <c r="H3" s="8" t="s">
        <v>174</v>
      </c>
      <c r="I3" s="8" t="s">
        <v>175</v>
      </c>
      <c r="J3" s="8" t="s">
        <v>176</v>
      </c>
      <c r="K3" s="8" t="s">
        <v>177</v>
      </c>
      <c r="L3" s="8" t="s">
        <v>178</v>
      </c>
      <c r="M3" s="8" t="s">
        <v>179</v>
      </c>
      <c r="N3" s="8" t="s">
        <v>180</v>
      </c>
      <c r="O3" s="8" t="s">
        <v>181</v>
      </c>
      <c r="P3" s="8" t="s">
        <v>182</v>
      </c>
      <c r="Q3" s="8" t="s">
        <v>183</v>
      </c>
      <c r="R3" s="8" t="s">
        <v>184</v>
      </c>
      <c r="S3" s="8" t="s">
        <v>185</v>
      </c>
      <c r="T3" s="8" t="s">
        <v>58</v>
      </c>
      <c r="U3" s="8" t="s">
        <v>186</v>
      </c>
      <c r="V3" s="8" t="s">
        <v>187</v>
      </c>
      <c r="W3" s="8" t="s">
        <v>188</v>
      </c>
      <c r="X3" s="8" t="s">
        <v>189</v>
      </c>
      <c r="Y3" s="8" t="s">
        <v>190</v>
      </c>
      <c r="Z3" s="8" t="s">
        <v>191</v>
      </c>
      <c r="AA3" s="8" t="s">
        <v>192</v>
      </c>
      <c r="AB3" s="8" t="s">
        <v>193</v>
      </c>
      <c r="AC3" s="8" t="s">
        <v>194</v>
      </c>
      <c r="AD3" s="8" t="s">
        <v>195</v>
      </c>
      <c r="AE3" s="8" t="s">
        <v>196</v>
      </c>
      <c r="AF3" s="8" t="s">
        <v>94</v>
      </c>
      <c r="AG3" s="8" t="s">
        <v>197</v>
      </c>
      <c r="AH3" s="8" t="s">
        <v>198</v>
      </c>
      <c r="AI3" s="8" t="s">
        <v>199</v>
      </c>
      <c r="AJ3" s="8" t="s">
        <v>200</v>
      </c>
      <c r="AK3" s="8" t="s">
        <v>201</v>
      </c>
      <c r="AL3" s="8" t="s">
        <v>202</v>
      </c>
      <c r="AM3" s="8" t="s">
        <v>203</v>
      </c>
      <c r="AN3" s="8" t="s">
        <v>204</v>
      </c>
      <c r="AO3" s="8" t="s">
        <v>205</v>
      </c>
      <c r="AP3" s="8" t="s">
        <v>206</v>
      </c>
      <c r="AQ3" s="8" t="s">
        <v>207</v>
      </c>
      <c r="AR3" s="8" t="s">
        <v>208</v>
      </c>
      <c r="AS3" s="8" t="s">
        <v>209</v>
      </c>
      <c r="AT3" s="8" t="s">
        <v>210</v>
      </c>
      <c r="AU3" s="8" t="s">
        <v>211</v>
      </c>
    </row>
    <row r="4" customFormat="false" ht="15" hidden="false" customHeight="false" outlineLevel="0" collapsed="false">
      <c r="A4" s="17" t="str">
        <f aca="false">Base_Semanal!A4</f>
        <v>2026-S02</v>
      </c>
      <c r="B4" s="30" t="n">
        <f aca="false">Base_Semanal!B4</f>
        <v>46027</v>
      </c>
      <c r="C4" s="30" t="n">
        <f aca="false">Base_Semanal!C4</f>
        <v>46033</v>
      </c>
      <c r="D4" s="17" t="str">
        <f aca="false">Base_Semanal!D4</f>
        <v>2026-01</v>
      </c>
      <c r="E4" s="36" t="n">
        <f aca="false">Base_Semanal!E4</f>
        <v>0</v>
      </c>
      <c r="F4" s="36" t="n">
        <f aca="false">Base_Semanal!F4</f>
        <v>0</v>
      </c>
      <c r="G4" s="36" t="n">
        <f aca="false">Base_Semanal!G4</f>
        <v>0</v>
      </c>
      <c r="H4" s="36" t="n">
        <f aca="false">Base_Semanal!H4</f>
        <v>0</v>
      </c>
      <c r="I4" s="36" t="n">
        <f aca="false">Base_Semanal!I4</f>
        <v>0</v>
      </c>
      <c r="J4" s="36" t="n">
        <f aca="false">H4+I4</f>
        <v>0</v>
      </c>
      <c r="K4" s="37" t="str">
        <f aca="false">IF(F4=0,"",G4/F4)</f>
        <v/>
      </c>
      <c r="L4" s="36" t="n">
        <f aca="false">Base_Semanal!J4</f>
        <v>0</v>
      </c>
      <c r="M4" s="36" t="n">
        <f aca="false">Base_Semanal!K4</f>
        <v>0</v>
      </c>
      <c r="N4" s="36" t="n">
        <f aca="false">L4+M4</f>
        <v>0</v>
      </c>
      <c r="O4" s="37" t="str">
        <f aca="false">IF(J4=0,"",N4/J4)</f>
        <v/>
      </c>
      <c r="P4" s="36" t="n">
        <f aca="false">Base_Semanal!L4</f>
        <v>0</v>
      </c>
      <c r="Q4" s="36" t="n">
        <f aca="false">Base_Semanal!M4</f>
        <v>0</v>
      </c>
      <c r="R4" s="36" t="n">
        <f aca="false">P4+Q4</f>
        <v>0</v>
      </c>
      <c r="S4" s="36" t="n">
        <f aca="false">Base_Semanal!N4</f>
        <v>0</v>
      </c>
      <c r="T4" s="36" t="n">
        <f aca="false">Base_Semanal!O4</f>
        <v>0</v>
      </c>
      <c r="U4" s="37" t="str">
        <f aca="false">IF(Base_Semanal!P4=0,"",Base_Semanal!Q4/Base_Semanal!P4)</f>
        <v/>
      </c>
      <c r="V4" s="37" t="str">
        <f aca="false">IF(Base_Semanal!R4=0,"",Base_Semanal!S4/Base_Semanal!R4)</f>
        <v/>
      </c>
      <c r="W4" s="37" t="str">
        <f aca="false">IF(Base_Semanal!P4+Base_Semanal!R4=0,"",(Base_Semanal!Q4+Base_Semanal!S4)/(Base_Semanal!P4+Base_Semanal!R4))</f>
        <v/>
      </c>
      <c r="X4" s="38" t="n">
        <f aca="false">Base_Semanal!T4</f>
        <v>0</v>
      </c>
      <c r="Y4" s="38" t="n">
        <f aca="false">Base_Semanal!U4</f>
        <v>0</v>
      </c>
      <c r="Z4" s="38" t="n">
        <f aca="false">Base_Semanal!V4</f>
        <v>0</v>
      </c>
      <c r="AA4" s="38" t="n">
        <f aca="false">Base_Semanal!W4</f>
        <v>0</v>
      </c>
      <c r="AB4" s="36" t="n">
        <f aca="false">COUNTIFS(Contratos!$B$4:$B$503,$A4,Contratos!$E$4:$E$503,"Avaliação")</f>
        <v>0</v>
      </c>
      <c r="AC4" s="39" t="n">
        <f aca="false">SUMIFS(Contratos!$I$4:$I$503,Contratos!$B$4:$B$503,$A4,Contratos!$E$4:$E$503,"Avaliação")</f>
        <v>0</v>
      </c>
      <c r="AD4" s="36" t="n">
        <f aca="false">COUNTIFS(Contratos!$B$4:$B$503,$A4,Contratos!$E$4:$E$503,"Protocolo")</f>
        <v>0</v>
      </c>
      <c r="AE4" s="39" t="n">
        <f aca="false">SUMIFS(Contratos!$I$4:$I$503,Contratos!$B$4:$B$503,$A4,Contratos!$E$4:$E$503,"Protocolo")</f>
        <v>0</v>
      </c>
      <c r="AF4" s="39" t="n">
        <f aca="false">AC4+AE4</f>
        <v>0</v>
      </c>
      <c r="AG4" s="36" t="n">
        <f aca="false">COUNTIFS(Contratos!$B$4:$B$503,$A4,Contratos!$J$4:$J$503,"À vista")</f>
        <v>0</v>
      </c>
      <c r="AH4" s="36" t="n">
        <f aca="false">COUNTIFS(Contratos!$B$4:$B$503,$A4,Contratos!$J$4:$J$503,"Parcelado")</f>
        <v>0</v>
      </c>
      <c r="AI4" s="39" t="n">
        <f aca="false">SUMIFS(Financeiro!$G$4:$G$503,Financeiro!$B$4:$B$503,$A4,Financeiro!$D$4:$D$503,"Receita",Financeiro!$H$4:$H$503,"&lt;&gt;Cancelado")</f>
        <v>0</v>
      </c>
      <c r="AJ4" s="39" t="n">
        <f aca="false">SUMIFS(Financeiro!$G$4:$G$503,Financeiro!$B$4:$B$503,$A4,Financeiro!$D$4:$D$503,"Gasto",Financeiro!$H$4:$H$503,"&lt;&gt;Cancelado")</f>
        <v>0</v>
      </c>
      <c r="AK4" s="39" t="n">
        <f aca="false">SUMIFS(Financeiro!$G$4:$G$503,Financeiro!$B$4:$B$503,$A4,Financeiro!$D$4:$D$503,"Imposto",Financeiro!$H$4:$H$503,"&lt;&gt;Cancelado")</f>
        <v>0</v>
      </c>
      <c r="AL4" s="39" t="n">
        <f aca="false">SUMIFS(Financeiro!$G$4:$G$503,Financeiro!$B$4:$B$503,$A4,Financeiro!$D$4:$D$503,"Marketing",Financeiro!$H$4:$H$503,"&lt;&gt;Cancelado")</f>
        <v>0</v>
      </c>
      <c r="AM4" s="39" t="n">
        <f aca="false">AI4-AJ4-AK4-AL4</f>
        <v>0</v>
      </c>
      <c r="AN4" s="37" t="n">
        <f aca="false">IF(Config!$B$16=0,"",AI4/Config!$B$16)</f>
        <v>0</v>
      </c>
      <c r="AO4" s="37" t="n">
        <f aca="false">IF(Config!$B$17=0,"",AJ4/Config!$B$17)</f>
        <v>0</v>
      </c>
      <c r="AP4" s="39" t="str">
        <f aca="false">IF(T4=0,"",AL4/T4)</f>
        <v/>
      </c>
      <c r="AQ4" s="39" t="n">
        <f aca="false">SUMIFS($AI$4:$AI$107,$D$4:$D$107,$D4,$B$4:$B$107,"&lt;="&amp;$B4)</f>
        <v>0</v>
      </c>
      <c r="AR4" s="39" t="n">
        <f aca="false">SUMIFS($AJ$4:$AJ$107,$D$4:$D$107,$D4,$B$4:$B$107,"&lt;="&amp;$B4)</f>
        <v>0</v>
      </c>
      <c r="AS4" s="36" t="n">
        <f aca="false">SUMIFS(Leads_Canal!$C$4:$C$503,Leads_Canal!$A$4:$A$503,$A4)</f>
        <v>0</v>
      </c>
      <c r="AT4" s="17" t="str">
        <f aca="false">IF(E4=0,"",IF(E4=AR4,"OK","Divergente"))</f>
        <v/>
      </c>
      <c r="AU4" s="17" t="str">
        <f aca="false">IF(N4=0,"",IF(N4=AD4,"OK","Divergente"))</f>
        <v/>
      </c>
    </row>
    <row r="5" customFormat="false" ht="15" hidden="false" customHeight="false" outlineLevel="0" collapsed="false">
      <c r="A5" s="17" t="str">
        <f aca="false">Base_Semanal!A5</f>
        <v>2026-S03</v>
      </c>
      <c r="B5" s="30" t="n">
        <f aca="false">Base_Semanal!B5</f>
        <v>46034</v>
      </c>
      <c r="C5" s="30" t="n">
        <f aca="false">Base_Semanal!C5</f>
        <v>46040</v>
      </c>
      <c r="D5" s="17" t="str">
        <f aca="false">Base_Semanal!D5</f>
        <v>2026-01</v>
      </c>
      <c r="E5" s="36" t="n">
        <f aca="false">Base_Semanal!E5</f>
        <v>0</v>
      </c>
      <c r="F5" s="36" t="n">
        <f aca="false">Base_Semanal!F5</f>
        <v>0</v>
      </c>
      <c r="G5" s="36" t="n">
        <f aca="false">Base_Semanal!G5</f>
        <v>0</v>
      </c>
      <c r="H5" s="36" t="n">
        <f aca="false">Base_Semanal!H5</f>
        <v>0</v>
      </c>
      <c r="I5" s="36" t="n">
        <f aca="false">Base_Semanal!I5</f>
        <v>0</v>
      </c>
      <c r="J5" s="36" t="n">
        <f aca="false">H5+I5</f>
        <v>0</v>
      </c>
      <c r="K5" s="37" t="str">
        <f aca="false">IF(F5=0,"",G5/F5)</f>
        <v/>
      </c>
      <c r="L5" s="36" t="n">
        <f aca="false">Base_Semanal!J5</f>
        <v>0</v>
      </c>
      <c r="M5" s="36" t="n">
        <f aca="false">Base_Semanal!K5</f>
        <v>0</v>
      </c>
      <c r="N5" s="36" t="n">
        <f aca="false">L5+M5</f>
        <v>0</v>
      </c>
      <c r="O5" s="37" t="str">
        <f aca="false">IF(J5=0,"",N5/J5)</f>
        <v/>
      </c>
      <c r="P5" s="36" t="n">
        <f aca="false">Base_Semanal!L5</f>
        <v>0</v>
      </c>
      <c r="Q5" s="36" t="n">
        <f aca="false">Base_Semanal!M5</f>
        <v>0</v>
      </c>
      <c r="R5" s="36" t="n">
        <f aca="false">P5+Q5</f>
        <v>0</v>
      </c>
      <c r="S5" s="36" t="n">
        <f aca="false">Base_Semanal!N5</f>
        <v>0</v>
      </c>
      <c r="T5" s="36" t="n">
        <f aca="false">Base_Semanal!O5</f>
        <v>0</v>
      </c>
      <c r="U5" s="37" t="str">
        <f aca="false">IF(Base_Semanal!P5=0,"",Base_Semanal!Q5/Base_Semanal!P5)</f>
        <v/>
      </c>
      <c r="V5" s="37" t="str">
        <f aca="false">IF(Base_Semanal!R5=0,"",Base_Semanal!S5/Base_Semanal!R5)</f>
        <v/>
      </c>
      <c r="W5" s="37" t="str">
        <f aca="false">IF(Base_Semanal!P5+Base_Semanal!R5=0,"",(Base_Semanal!Q5+Base_Semanal!S5)/(Base_Semanal!P5+Base_Semanal!R5))</f>
        <v/>
      </c>
      <c r="X5" s="38" t="n">
        <f aca="false">Base_Semanal!T5</f>
        <v>0</v>
      </c>
      <c r="Y5" s="38" t="n">
        <f aca="false">Base_Semanal!U5</f>
        <v>0</v>
      </c>
      <c r="Z5" s="38" t="n">
        <f aca="false">Base_Semanal!V5</f>
        <v>0</v>
      </c>
      <c r="AA5" s="38" t="n">
        <f aca="false">Base_Semanal!W5</f>
        <v>0</v>
      </c>
      <c r="AB5" s="36" t="n">
        <f aca="false">COUNTIFS(Contratos!$B$4:$B$503,$A5,Contratos!$E$4:$E$503,"Avaliação")</f>
        <v>0</v>
      </c>
      <c r="AC5" s="39" t="n">
        <f aca="false">SUMIFS(Contratos!$I$4:$I$503,Contratos!$B$4:$B$503,$A5,Contratos!$E$4:$E$503,"Avaliação")</f>
        <v>0</v>
      </c>
      <c r="AD5" s="36" t="n">
        <f aca="false">COUNTIFS(Contratos!$B$4:$B$503,$A5,Contratos!$E$4:$E$503,"Protocolo")</f>
        <v>0</v>
      </c>
      <c r="AE5" s="39" t="n">
        <f aca="false">SUMIFS(Contratos!$I$4:$I$503,Contratos!$B$4:$B$503,$A5,Contratos!$E$4:$E$503,"Protocolo")</f>
        <v>0</v>
      </c>
      <c r="AF5" s="39" t="n">
        <f aca="false">AC5+AE5</f>
        <v>0</v>
      </c>
      <c r="AG5" s="36" t="n">
        <f aca="false">COUNTIFS(Contratos!$B$4:$B$503,$A5,Contratos!$J$4:$J$503,"À vista")</f>
        <v>0</v>
      </c>
      <c r="AH5" s="36" t="n">
        <f aca="false">COUNTIFS(Contratos!$B$4:$B$503,$A5,Contratos!$J$4:$J$503,"Parcelado")</f>
        <v>0</v>
      </c>
      <c r="AI5" s="39" t="n">
        <f aca="false">SUMIFS(Financeiro!$G$4:$G$503,Financeiro!$B$4:$B$503,$A5,Financeiro!$D$4:$D$503,"Receita",Financeiro!$H$4:$H$503,"&lt;&gt;Cancelado")</f>
        <v>0</v>
      </c>
      <c r="AJ5" s="39" t="n">
        <f aca="false">SUMIFS(Financeiro!$G$4:$G$503,Financeiro!$B$4:$B$503,$A5,Financeiro!$D$4:$D$503,"Gasto",Financeiro!$H$4:$H$503,"&lt;&gt;Cancelado")</f>
        <v>0</v>
      </c>
      <c r="AK5" s="39" t="n">
        <f aca="false">SUMIFS(Financeiro!$G$4:$G$503,Financeiro!$B$4:$B$503,$A5,Financeiro!$D$4:$D$503,"Imposto",Financeiro!$H$4:$H$503,"&lt;&gt;Cancelado")</f>
        <v>0</v>
      </c>
      <c r="AL5" s="39" t="n">
        <f aca="false">SUMIFS(Financeiro!$G$4:$G$503,Financeiro!$B$4:$B$503,$A5,Financeiro!$D$4:$D$503,"Marketing",Financeiro!$H$4:$H$503,"&lt;&gt;Cancelado")</f>
        <v>0</v>
      </c>
      <c r="AM5" s="39" t="n">
        <f aca="false">AI5-AJ5-AK5-AL5</f>
        <v>0</v>
      </c>
      <c r="AN5" s="37" t="n">
        <f aca="false">IF(Config!$B$16=0,"",AI5/Config!$B$16)</f>
        <v>0</v>
      </c>
      <c r="AO5" s="37" t="n">
        <f aca="false">IF(Config!$B$17=0,"",AJ5/Config!$B$17)</f>
        <v>0</v>
      </c>
      <c r="AP5" s="39" t="str">
        <f aca="false">IF(T5=0,"",AL5/T5)</f>
        <v/>
      </c>
      <c r="AQ5" s="39" t="n">
        <f aca="false">SUMIFS($AI$4:$AI$107,$D$4:$D$107,$D5,$B$4:$B$107,"&lt;="&amp;$B5)</f>
        <v>0</v>
      </c>
      <c r="AR5" s="39" t="n">
        <f aca="false">SUMIFS($AJ$4:$AJ$107,$D$4:$D$107,$D5,$B$4:$B$107,"&lt;="&amp;$B5)</f>
        <v>0</v>
      </c>
      <c r="AS5" s="36" t="n">
        <f aca="false">SUMIFS(Leads_Canal!$C$4:$C$503,Leads_Canal!$A$4:$A$503,$A5)</f>
        <v>0</v>
      </c>
      <c r="AT5" s="17" t="str">
        <f aca="false">IF(E5=0,"",IF(E5=AR5,"OK","Divergente"))</f>
        <v/>
      </c>
      <c r="AU5" s="17" t="str">
        <f aca="false">IF(N5=0,"",IF(N5=AD5,"OK","Divergente"))</f>
        <v/>
      </c>
    </row>
    <row r="6" customFormat="false" ht="15" hidden="false" customHeight="false" outlineLevel="0" collapsed="false">
      <c r="A6" s="17" t="str">
        <f aca="false">Base_Semanal!A6</f>
        <v>2026-S04</v>
      </c>
      <c r="B6" s="30" t="n">
        <f aca="false">Base_Semanal!B6</f>
        <v>46041</v>
      </c>
      <c r="C6" s="30" t="n">
        <f aca="false">Base_Semanal!C6</f>
        <v>46047</v>
      </c>
      <c r="D6" s="17" t="str">
        <f aca="false">Base_Semanal!D6</f>
        <v>2026-01</v>
      </c>
      <c r="E6" s="36" t="n">
        <f aca="false">Base_Semanal!E6</f>
        <v>0</v>
      </c>
      <c r="F6" s="36" t="n">
        <f aca="false">Base_Semanal!F6</f>
        <v>0</v>
      </c>
      <c r="G6" s="36" t="n">
        <f aca="false">Base_Semanal!G6</f>
        <v>0</v>
      </c>
      <c r="H6" s="36" t="n">
        <f aca="false">Base_Semanal!H6</f>
        <v>0</v>
      </c>
      <c r="I6" s="36" t="n">
        <f aca="false">Base_Semanal!I6</f>
        <v>0</v>
      </c>
      <c r="J6" s="36" t="n">
        <f aca="false">H6+I6</f>
        <v>0</v>
      </c>
      <c r="K6" s="37" t="str">
        <f aca="false">IF(F6=0,"",G6/F6)</f>
        <v/>
      </c>
      <c r="L6" s="36" t="n">
        <f aca="false">Base_Semanal!J6</f>
        <v>0</v>
      </c>
      <c r="M6" s="36" t="n">
        <f aca="false">Base_Semanal!K6</f>
        <v>0</v>
      </c>
      <c r="N6" s="36" t="n">
        <f aca="false">L6+M6</f>
        <v>0</v>
      </c>
      <c r="O6" s="37" t="str">
        <f aca="false">IF(J6=0,"",N6/J6)</f>
        <v/>
      </c>
      <c r="P6" s="36" t="n">
        <f aca="false">Base_Semanal!L6</f>
        <v>0</v>
      </c>
      <c r="Q6" s="36" t="n">
        <f aca="false">Base_Semanal!M6</f>
        <v>0</v>
      </c>
      <c r="R6" s="36" t="n">
        <f aca="false">P6+Q6</f>
        <v>0</v>
      </c>
      <c r="S6" s="36" t="n">
        <f aca="false">Base_Semanal!N6</f>
        <v>0</v>
      </c>
      <c r="T6" s="36" t="n">
        <f aca="false">Base_Semanal!O6</f>
        <v>0</v>
      </c>
      <c r="U6" s="37" t="str">
        <f aca="false">IF(Base_Semanal!P6=0,"",Base_Semanal!Q6/Base_Semanal!P6)</f>
        <v/>
      </c>
      <c r="V6" s="37" t="str">
        <f aca="false">IF(Base_Semanal!R6=0,"",Base_Semanal!S6/Base_Semanal!R6)</f>
        <v/>
      </c>
      <c r="W6" s="37" t="str">
        <f aca="false">IF(Base_Semanal!P6+Base_Semanal!R6=0,"",(Base_Semanal!Q6+Base_Semanal!S6)/(Base_Semanal!P6+Base_Semanal!R6))</f>
        <v/>
      </c>
      <c r="X6" s="38" t="n">
        <f aca="false">Base_Semanal!T6</f>
        <v>0</v>
      </c>
      <c r="Y6" s="38" t="n">
        <f aca="false">Base_Semanal!U6</f>
        <v>0</v>
      </c>
      <c r="Z6" s="38" t="n">
        <f aca="false">Base_Semanal!V6</f>
        <v>0</v>
      </c>
      <c r="AA6" s="38" t="n">
        <f aca="false">Base_Semanal!W6</f>
        <v>0</v>
      </c>
      <c r="AB6" s="36" t="n">
        <f aca="false">COUNTIFS(Contratos!$B$4:$B$503,$A6,Contratos!$E$4:$E$503,"Avaliação")</f>
        <v>0</v>
      </c>
      <c r="AC6" s="39" t="n">
        <f aca="false">SUMIFS(Contratos!$I$4:$I$503,Contratos!$B$4:$B$503,$A6,Contratos!$E$4:$E$503,"Avaliação")</f>
        <v>0</v>
      </c>
      <c r="AD6" s="36" t="n">
        <f aca="false">COUNTIFS(Contratos!$B$4:$B$503,$A6,Contratos!$E$4:$E$503,"Protocolo")</f>
        <v>0</v>
      </c>
      <c r="AE6" s="39" t="n">
        <f aca="false">SUMIFS(Contratos!$I$4:$I$503,Contratos!$B$4:$B$503,$A6,Contratos!$E$4:$E$503,"Protocolo")</f>
        <v>0</v>
      </c>
      <c r="AF6" s="39" t="n">
        <f aca="false">AC6+AE6</f>
        <v>0</v>
      </c>
      <c r="AG6" s="36" t="n">
        <f aca="false">COUNTIFS(Contratos!$B$4:$B$503,$A6,Contratos!$J$4:$J$503,"À vista")</f>
        <v>0</v>
      </c>
      <c r="AH6" s="36" t="n">
        <f aca="false">COUNTIFS(Contratos!$B$4:$B$503,$A6,Contratos!$J$4:$J$503,"Parcelado")</f>
        <v>0</v>
      </c>
      <c r="AI6" s="39" t="n">
        <f aca="false">SUMIFS(Financeiro!$G$4:$G$503,Financeiro!$B$4:$B$503,$A6,Financeiro!$D$4:$D$503,"Receita",Financeiro!$H$4:$H$503,"&lt;&gt;Cancelado")</f>
        <v>0</v>
      </c>
      <c r="AJ6" s="39" t="n">
        <f aca="false">SUMIFS(Financeiro!$G$4:$G$503,Financeiro!$B$4:$B$503,$A6,Financeiro!$D$4:$D$503,"Gasto",Financeiro!$H$4:$H$503,"&lt;&gt;Cancelado")</f>
        <v>0</v>
      </c>
      <c r="AK6" s="39" t="n">
        <f aca="false">SUMIFS(Financeiro!$G$4:$G$503,Financeiro!$B$4:$B$503,$A6,Financeiro!$D$4:$D$503,"Imposto",Financeiro!$H$4:$H$503,"&lt;&gt;Cancelado")</f>
        <v>0</v>
      </c>
      <c r="AL6" s="39" t="n">
        <f aca="false">SUMIFS(Financeiro!$G$4:$G$503,Financeiro!$B$4:$B$503,$A6,Financeiro!$D$4:$D$503,"Marketing",Financeiro!$H$4:$H$503,"&lt;&gt;Cancelado")</f>
        <v>0</v>
      </c>
      <c r="AM6" s="39" t="n">
        <f aca="false">AI6-AJ6-AK6-AL6</f>
        <v>0</v>
      </c>
      <c r="AN6" s="37" t="n">
        <f aca="false">IF(Config!$B$16=0,"",AI6/Config!$B$16)</f>
        <v>0</v>
      </c>
      <c r="AO6" s="37" t="n">
        <f aca="false">IF(Config!$B$17=0,"",AJ6/Config!$B$17)</f>
        <v>0</v>
      </c>
      <c r="AP6" s="39" t="str">
        <f aca="false">IF(T6=0,"",AL6/T6)</f>
        <v/>
      </c>
      <c r="AQ6" s="39" t="n">
        <f aca="false">SUMIFS($AI$4:$AI$107,$D$4:$D$107,$D6,$B$4:$B$107,"&lt;="&amp;$B6)</f>
        <v>0</v>
      </c>
      <c r="AR6" s="39" t="n">
        <f aca="false">SUMIFS($AJ$4:$AJ$107,$D$4:$D$107,$D6,$B$4:$B$107,"&lt;="&amp;$B6)</f>
        <v>0</v>
      </c>
      <c r="AS6" s="36" t="n">
        <f aca="false">SUMIFS(Leads_Canal!$C$4:$C$503,Leads_Canal!$A$4:$A$503,$A6)</f>
        <v>0</v>
      </c>
      <c r="AT6" s="17" t="str">
        <f aca="false">IF(E6=0,"",IF(E6=AR6,"OK","Divergente"))</f>
        <v/>
      </c>
      <c r="AU6" s="17" t="str">
        <f aca="false">IF(N6=0,"",IF(N6=AD6,"OK","Divergente"))</f>
        <v/>
      </c>
    </row>
    <row r="7" customFormat="false" ht="15" hidden="false" customHeight="false" outlineLevel="0" collapsed="false">
      <c r="A7" s="17" t="str">
        <f aca="false">Base_Semanal!A7</f>
        <v>2026-S05</v>
      </c>
      <c r="B7" s="30" t="n">
        <f aca="false">Base_Semanal!B7</f>
        <v>46048</v>
      </c>
      <c r="C7" s="30" t="n">
        <f aca="false">Base_Semanal!C7</f>
        <v>46054</v>
      </c>
      <c r="D7" s="17" t="str">
        <f aca="false">Base_Semanal!D7</f>
        <v>2026-01</v>
      </c>
      <c r="E7" s="36" t="n">
        <f aca="false">Base_Semanal!E7</f>
        <v>0</v>
      </c>
      <c r="F7" s="36" t="n">
        <f aca="false">Base_Semanal!F7</f>
        <v>0</v>
      </c>
      <c r="G7" s="36" t="n">
        <f aca="false">Base_Semanal!G7</f>
        <v>0</v>
      </c>
      <c r="H7" s="36" t="n">
        <f aca="false">Base_Semanal!H7</f>
        <v>0</v>
      </c>
      <c r="I7" s="36" t="n">
        <f aca="false">Base_Semanal!I7</f>
        <v>0</v>
      </c>
      <c r="J7" s="36" t="n">
        <f aca="false">H7+I7</f>
        <v>0</v>
      </c>
      <c r="K7" s="37" t="str">
        <f aca="false">IF(F7=0,"",G7/F7)</f>
        <v/>
      </c>
      <c r="L7" s="36" t="n">
        <f aca="false">Base_Semanal!J7</f>
        <v>0</v>
      </c>
      <c r="M7" s="36" t="n">
        <f aca="false">Base_Semanal!K7</f>
        <v>0</v>
      </c>
      <c r="N7" s="36" t="n">
        <f aca="false">L7+M7</f>
        <v>0</v>
      </c>
      <c r="O7" s="37" t="str">
        <f aca="false">IF(J7=0,"",N7/J7)</f>
        <v/>
      </c>
      <c r="P7" s="36" t="n">
        <f aca="false">Base_Semanal!L7</f>
        <v>0</v>
      </c>
      <c r="Q7" s="36" t="n">
        <f aca="false">Base_Semanal!M7</f>
        <v>0</v>
      </c>
      <c r="R7" s="36" t="n">
        <f aca="false">P7+Q7</f>
        <v>0</v>
      </c>
      <c r="S7" s="36" t="n">
        <f aca="false">Base_Semanal!N7</f>
        <v>0</v>
      </c>
      <c r="T7" s="36" t="n">
        <f aca="false">Base_Semanal!O7</f>
        <v>0</v>
      </c>
      <c r="U7" s="37" t="str">
        <f aca="false">IF(Base_Semanal!P7=0,"",Base_Semanal!Q7/Base_Semanal!P7)</f>
        <v/>
      </c>
      <c r="V7" s="37" t="str">
        <f aca="false">IF(Base_Semanal!R7=0,"",Base_Semanal!S7/Base_Semanal!R7)</f>
        <v/>
      </c>
      <c r="W7" s="37" t="str">
        <f aca="false">IF(Base_Semanal!P7+Base_Semanal!R7=0,"",(Base_Semanal!Q7+Base_Semanal!S7)/(Base_Semanal!P7+Base_Semanal!R7))</f>
        <v/>
      </c>
      <c r="X7" s="38" t="n">
        <f aca="false">Base_Semanal!T7</f>
        <v>0</v>
      </c>
      <c r="Y7" s="38" t="n">
        <f aca="false">Base_Semanal!U7</f>
        <v>0</v>
      </c>
      <c r="Z7" s="38" t="n">
        <f aca="false">Base_Semanal!V7</f>
        <v>0</v>
      </c>
      <c r="AA7" s="38" t="n">
        <f aca="false">Base_Semanal!W7</f>
        <v>0</v>
      </c>
      <c r="AB7" s="36" t="n">
        <f aca="false">COUNTIFS(Contratos!$B$4:$B$503,$A7,Contratos!$E$4:$E$503,"Avaliação")</f>
        <v>0</v>
      </c>
      <c r="AC7" s="39" t="n">
        <f aca="false">SUMIFS(Contratos!$I$4:$I$503,Contratos!$B$4:$B$503,$A7,Contratos!$E$4:$E$503,"Avaliação")</f>
        <v>0</v>
      </c>
      <c r="AD7" s="36" t="n">
        <f aca="false">COUNTIFS(Contratos!$B$4:$B$503,$A7,Contratos!$E$4:$E$503,"Protocolo")</f>
        <v>0</v>
      </c>
      <c r="AE7" s="39" t="n">
        <f aca="false">SUMIFS(Contratos!$I$4:$I$503,Contratos!$B$4:$B$503,$A7,Contratos!$E$4:$E$503,"Protocolo")</f>
        <v>0</v>
      </c>
      <c r="AF7" s="39" t="n">
        <f aca="false">AC7+AE7</f>
        <v>0</v>
      </c>
      <c r="AG7" s="36" t="n">
        <f aca="false">COUNTIFS(Contratos!$B$4:$B$503,$A7,Contratos!$J$4:$J$503,"À vista")</f>
        <v>0</v>
      </c>
      <c r="AH7" s="36" t="n">
        <f aca="false">COUNTIFS(Contratos!$B$4:$B$503,$A7,Contratos!$J$4:$J$503,"Parcelado")</f>
        <v>0</v>
      </c>
      <c r="AI7" s="39" t="n">
        <f aca="false">SUMIFS(Financeiro!$G$4:$G$503,Financeiro!$B$4:$B$503,$A7,Financeiro!$D$4:$D$503,"Receita",Financeiro!$H$4:$H$503,"&lt;&gt;Cancelado")</f>
        <v>0</v>
      </c>
      <c r="AJ7" s="39" t="n">
        <f aca="false">SUMIFS(Financeiro!$G$4:$G$503,Financeiro!$B$4:$B$503,$A7,Financeiro!$D$4:$D$503,"Gasto",Financeiro!$H$4:$H$503,"&lt;&gt;Cancelado")</f>
        <v>0</v>
      </c>
      <c r="AK7" s="39" t="n">
        <f aca="false">SUMIFS(Financeiro!$G$4:$G$503,Financeiro!$B$4:$B$503,$A7,Financeiro!$D$4:$D$503,"Imposto",Financeiro!$H$4:$H$503,"&lt;&gt;Cancelado")</f>
        <v>0</v>
      </c>
      <c r="AL7" s="39" t="n">
        <f aca="false">SUMIFS(Financeiro!$G$4:$G$503,Financeiro!$B$4:$B$503,$A7,Financeiro!$D$4:$D$503,"Marketing",Financeiro!$H$4:$H$503,"&lt;&gt;Cancelado")</f>
        <v>0</v>
      </c>
      <c r="AM7" s="39" t="n">
        <f aca="false">AI7-AJ7-AK7-AL7</f>
        <v>0</v>
      </c>
      <c r="AN7" s="37" t="n">
        <f aca="false">IF(Config!$B$16=0,"",AI7/Config!$B$16)</f>
        <v>0</v>
      </c>
      <c r="AO7" s="37" t="n">
        <f aca="false">IF(Config!$B$17=0,"",AJ7/Config!$B$17)</f>
        <v>0</v>
      </c>
      <c r="AP7" s="39" t="str">
        <f aca="false">IF(T7=0,"",AL7/T7)</f>
        <v/>
      </c>
      <c r="AQ7" s="39" t="n">
        <f aca="false">SUMIFS($AI$4:$AI$107,$D$4:$D$107,$D7,$B$4:$B$107,"&lt;="&amp;$B7)</f>
        <v>0</v>
      </c>
      <c r="AR7" s="39" t="n">
        <f aca="false">SUMIFS($AJ$4:$AJ$107,$D$4:$D$107,$D7,$B$4:$B$107,"&lt;="&amp;$B7)</f>
        <v>0</v>
      </c>
      <c r="AS7" s="36" t="n">
        <f aca="false">SUMIFS(Leads_Canal!$C$4:$C$503,Leads_Canal!$A$4:$A$503,$A7)</f>
        <v>0</v>
      </c>
      <c r="AT7" s="17" t="str">
        <f aca="false">IF(E7=0,"",IF(E7=AR7,"OK","Divergente"))</f>
        <v/>
      </c>
      <c r="AU7" s="17" t="str">
        <f aca="false">IF(N7=0,"",IF(N7=AD7,"OK","Divergente"))</f>
        <v/>
      </c>
    </row>
    <row r="8" customFormat="false" ht="15" hidden="false" customHeight="false" outlineLevel="0" collapsed="false">
      <c r="A8" s="17" t="str">
        <f aca="false">Base_Semanal!A8</f>
        <v>2026-S06</v>
      </c>
      <c r="B8" s="30" t="n">
        <f aca="false">Base_Semanal!B8</f>
        <v>46055</v>
      </c>
      <c r="C8" s="30" t="n">
        <f aca="false">Base_Semanal!C8</f>
        <v>46061</v>
      </c>
      <c r="D8" s="17" t="str">
        <f aca="false">Base_Semanal!D8</f>
        <v>2026-02</v>
      </c>
      <c r="E8" s="36" t="n">
        <f aca="false">Base_Semanal!E8</f>
        <v>0</v>
      </c>
      <c r="F8" s="36" t="n">
        <f aca="false">Base_Semanal!F8</f>
        <v>0</v>
      </c>
      <c r="G8" s="36" t="n">
        <f aca="false">Base_Semanal!G8</f>
        <v>0</v>
      </c>
      <c r="H8" s="36" t="n">
        <f aca="false">Base_Semanal!H8</f>
        <v>0</v>
      </c>
      <c r="I8" s="36" t="n">
        <f aca="false">Base_Semanal!I8</f>
        <v>0</v>
      </c>
      <c r="J8" s="36" t="n">
        <f aca="false">H8+I8</f>
        <v>0</v>
      </c>
      <c r="K8" s="37" t="str">
        <f aca="false">IF(F8=0,"",G8/F8)</f>
        <v/>
      </c>
      <c r="L8" s="36" t="n">
        <f aca="false">Base_Semanal!J8</f>
        <v>0</v>
      </c>
      <c r="M8" s="36" t="n">
        <f aca="false">Base_Semanal!K8</f>
        <v>0</v>
      </c>
      <c r="N8" s="36" t="n">
        <f aca="false">L8+M8</f>
        <v>0</v>
      </c>
      <c r="O8" s="37" t="str">
        <f aca="false">IF(J8=0,"",N8/J8)</f>
        <v/>
      </c>
      <c r="P8" s="36" t="n">
        <f aca="false">Base_Semanal!L8</f>
        <v>0</v>
      </c>
      <c r="Q8" s="36" t="n">
        <f aca="false">Base_Semanal!M8</f>
        <v>0</v>
      </c>
      <c r="R8" s="36" t="n">
        <f aca="false">P8+Q8</f>
        <v>0</v>
      </c>
      <c r="S8" s="36" t="n">
        <f aca="false">Base_Semanal!N8</f>
        <v>0</v>
      </c>
      <c r="T8" s="36" t="n">
        <f aca="false">Base_Semanal!O8</f>
        <v>0</v>
      </c>
      <c r="U8" s="37" t="str">
        <f aca="false">IF(Base_Semanal!P8=0,"",Base_Semanal!Q8/Base_Semanal!P8)</f>
        <v/>
      </c>
      <c r="V8" s="37" t="str">
        <f aca="false">IF(Base_Semanal!R8=0,"",Base_Semanal!S8/Base_Semanal!R8)</f>
        <v/>
      </c>
      <c r="W8" s="37" t="str">
        <f aca="false">IF(Base_Semanal!P8+Base_Semanal!R8=0,"",(Base_Semanal!Q8+Base_Semanal!S8)/(Base_Semanal!P8+Base_Semanal!R8))</f>
        <v/>
      </c>
      <c r="X8" s="38" t="n">
        <f aca="false">Base_Semanal!T8</f>
        <v>0</v>
      </c>
      <c r="Y8" s="38" t="n">
        <f aca="false">Base_Semanal!U8</f>
        <v>0</v>
      </c>
      <c r="Z8" s="38" t="n">
        <f aca="false">Base_Semanal!V8</f>
        <v>0</v>
      </c>
      <c r="AA8" s="38" t="n">
        <f aca="false">Base_Semanal!W8</f>
        <v>0</v>
      </c>
      <c r="AB8" s="36" t="n">
        <f aca="false">COUNTIFS(Contratos!$B$4:$B$503,$A8,Contratos!$E$4:$E$503,"Avaliação")</f>
        <v>0</v>
      </c>
      <c r="AC8" s="39" t="n">
        <f aca="false">SUMIFS(Contratos!$I$4:$I$503,Contratos!$B$4:$B$503,$A8,Contratos!$E$4:$E$503,"Avaliação")</f>
        <v>0</v>
      </c>
      <c r="AD8" s="36" t="n">
        <f aca="false">COUNTIFS(Contratos!$B$4:$B$503,$A8,Contratos!$E$4:$E$503,"Protocolo")</f>
        <v>0</v>
      </c>
      <c r="AE8" s="39" t="n">
        <f aca="false">SUMIFS(Contratos!$I$4:$I$503,Contratos!$B$4:$B$503,$A8,Contratos!$E$4:$E$503,"Protocolo")</f>
        <v>0</v>
      </c>
      <c r="AF8" s="39" t="n">
        <f aca="false">AC8+AE8</f>
        <v>0</v>
      </c>
      <c r="AG8" s="36" t="n">
        <f aca="false">COUNTIFS(Contratos!$B$4:$B$503,$A8,Contratos!$J$4:$J$503,"À vista")</f>
        <v>0</v>
      </c>
      <c r="AH8" s="36" t="n">
        <f aca="false">COUNTIFS(Contratos!$B$4:$B$503,$A8,Contratos!$J$4:$J$503,"Parcelado")</f>
        <v>0</v>
      </c>
      <c r="AI8" s="39" t="n">
        <f aca="false">SUMIFS(Financeiro!$G$4:$G$503,Financeiro!$B$4:$B$503,$A8,Financeiro!$D$4:$D$503,"Receita",Financeiro!$H$4:$H$503,"&lt;&gt;Cancelado")</f>
        <v>0</v>
      </c>
      <c r="AJ8" s="39" t="n">
        <f aca="false">SUMIFS(Financeiro!$G$4:$G$503,Financeiro!$B$4:$B$503,$A8,Financeiro!$D$4:$D$503,"Gasto",Financeiro!$H$4:$H$503,"&lt;&gt;Cancelado")</f>
        <v>0</v>
      </c>
      <c r="AK8" s="39" t="n">
        <f aca="false">SUMIFS(Financeiro!$G$4:$G$503,Financeiro!$B$4:$B$503,$A8,Financeiro!$D$4:$D$503,"Imposto",Financeiro!$H$4:$H$503,"&lt;&gt;Cancelado")</f>
        <v>0</v>
      </c>
      <c r="AL8" s="39" t="n">
        <f aca="false">SUMIFS(Financeiro!$G$4:$G$503,Financeiro!$B$4:$B$503,$A8,Financeiro!$D$4:$D$503,"Marketing",Financeiro!$H$4:$H$503,"&lt;&gt;Cancelado")</f>
        <v>0</v>
      </c>
      <c r="AM8" s="39" t="n">
        <f aca="false">AI8-AJ8-AK8-AL8</f>
        <v>0</v>
      </c>
      <c r="AN8" s="37" t="n">
        <f aca="false">IF(Config!$B$16=0,"",AI8/Config!$B$16)</f>
        <v>0</v>
      </c>
      <c r="AO8" s="37" t="n">
        <f aca="false">IF(Config!$B$17=0,"",AJ8/Config!$B$17)</f>
        <v>0</v>
      </c>
      <c r="AP8" s="39" t="str">
        <f aca="false">IF(T8=0,"",AL8/T8)</f>
        <v/>
      </c>
      <c r="AQ8" s="39" t="n">
        <f aca="false">SUMIFS($AI$4:$AI$107,$D$4:$D$107,$D8,$B$4:$B$107,"&lt;="&amp;$B8)</f>
        <v>0</v>
      </c>
      <c r="AR8" s="39" t="n">
        <f aca="false">SUMIFS($AJ$4:$AJ$107,$D$4:$D$107,$D8,$B$4:$B$107,"&lt;="&amp;$B8)</f>
        <v>0</v>
      </c>
      <c r="AS8" s="36" t="n">
        <f aca="false">SUMIFS(Leads_Canal!$C$4:$C$503,Leads_Canal!$A$4:$A$503,$A8)</f>
        <v>0</v>
      </c>
      <c r="AT8" s="17" t="str">
        <f aca="false">IF(E8=0,"",IF(E8=AR8,"OK","Divergente"))</f>
        <v/>
      </c>
      <c r="AU8" s="17" t="str">
        <f aca="false">IF(N8=0,"",IF(N8=AD8,"OK","Divergente"))</f>
        <v/>
      </c>
    </row>
    <row r="9" customFormat="false" ht="15" hidden="false" customHeight="false" outlineLevel="0" collapsed="false">
      <c r="A9" s="17" t="str">
        <f aca="false">Base_Semanal!A9</f>
        <v>2026-S07</v>
      </c>
      <c r="B9" s="30" t="n">
        <f aca="false">Base_Semanal!B9</f>
        <v>46062</v>
      </c>
      <c r="C9" s="30" t="n">
        <f aca="false">Base_Semanal!C9</f>
        <v>46068</v>
      </c>
      <c r="D9" s="17" t="str">
        <f aca="false">Base_Semanal!D9</f>
        <v>2026-02</v>
      </c>
      <c r="E9" s="36" t="n">
        <f aca="false">Base_Semanal!E9</f>
        <v>0</v>
      </c>
      <c r="F9" s="36" t="n">
        <f aca="false">Base_Semanal!F9</f>
        <v>0</v>
      </c>
      <c r="G9" s="36" t="n">
        <f aca="false">Base_Semanal!G9</f>
        <v>0</v>
      </c>
      <c r="H9" s="36" t="n">
        <f aca="false">Base_Semanal!H9</f>
        <v>0</v>
      </c>
      <c r="I9" s="36" t="n">
        <f aca="false">Base_Semanal!I9</f>
        <v>0</v>
      </c>
      <c r="J9" s="36" t="n">
        <f aca="false">H9+I9</f>
        <v>0</v>
      </c>
      <c r="K9" s="37" t="str">
        <f aca="false">IF(F9=0,"",G9/F9)</f>
        <v/>
      </c>
      <c r="L9" s="36" t="n">
        <f aca="false">Base_Semanal!J9</f>
        <v>0</v>
      </c>
      <c r="M9" s="36" t="n">
        <f aca="false">Base_Semanal!K9</f>
        <v>0</v>
      </c>
      <c r="N9" s="36" t="n">
        <f aca="false">L9+M9</f>
        <v>0</v>
      </c>
      <c r="O9" s="37" t="str">
        <f aca="false">IF(J9=0,"",N9/J9)</f>
        <v/>
      </c>
      <c r="P9" s="36" t="n">
        <f aca="false">Base_Semanal!L9</f>
        <v>0</v>
      </c>
      <c r="Q9" s="36" t="n">
        <f aca="false">Base_Semanal!M9</f>
        <v>0</v>
      </c>
      <c r="R9" s="36" t="n">
        <f aca="false">P9+Q9</f>
        <v>0</v>
      </c>
      <c r="S9" s="36" t="n">
        <f aca="false">Base_Semanal!N9</f>
        <v>0</v>
      </c>
      <c r="T9" s="36" t="n">
        <f aca="false">Base_Semanal!O9</f>
        <v>0</v>
      </c>
      <c r="U9" s="37" t="str">
        <f aca="false">IF(Base_Semanal!P9=0,"",Base_Semanal!Q9/Base_Semanal!P9)</f>
        <v/>
      </c>
      <c r="V9" s="37" t="str">
        <f aca="false">IF(Base_Semanal!R9=0,"",Base_Semanal!S9/Base_Semanal!R9)</f>
        <v/>
      </c>
      <c r="W9" s="37" t="str">
        <f aca="false">IF(Base_Semanal!P9+Base_Semanal!R9=0,"",(Base_Semanal!Q9+Base_Semanal!S9)/(Base_Semanal!P9+Base_Semanal!R9))</f>
        <v/>
      </c>
      <c r="X9" s="38" t="n">
        <f aca="false">Base_Semanal!T9</f>
        <v>0</v>
      </c>
      <c r="Y9" s="38" t="n">
        <f aca="false">Base_Semanal!U9</f>
        <v>0</v>
      </c>
      <c r="Z9" s="38" t="n">
        <f aca="false">Base_Semanal!V9</f>
        <v>0</v>
      </c>
      <c r="AA9" s="38" t="n">
        <f aca="false">Base_Semanal!W9</f>
        <v>0</v>
      </c>
      <c r="AB9" s="36" t="n">
        <f aca="false">COUNTIFS(Contratos!$B$4:$B$503,$A9,Contratos!$E$4:$E$503,"Avaliação")</f>
        <v>0</v>
      </c>
      <c r="AC9" s="39" t="n">
        <f aca="false">SUMIFS(Contratos!$I$4:$I$503,Contratos!$B$4:$B$503,$A9,Contratos!$E$4:$E$503,"Avaliação")</f>
        <v>0</v>
      </c>
      <c r="AD9" s="36" t="n">
        <f aca="false">COUNTIFS(Contratos!$B$4:$B$503,$A9,Contratos!$E$4:$E$503,"Protocolo")</f>
        <v>0</v>
      </c>
      <c r="AE9" s="39" t="n">
        <f aca="false">SUMIFS(Contratos!$I$4:$I$503,Contratos!$B$4:$B$503,$A9,Contratos!$E$4:$E$503,"Protocolo")</f>
        <v>0</v>
      </c>
      <c r="AF9" s="39" t="n">
        <f aca="false">AC9+AE9</f>
        <v>0</v>
      </c>
      <c r="AG9" s="36" t="n">
        <f aca="false">COUNTIFS(Contratos!$B$4:$B$503,$A9,Contratos!$J$4:$J$503,"À vista")</f>
        <v>0</v>
      </c>
      <c r="AH9" s="36" t="n">
        <f aca="false">COUNTIFS(Contratos!$B$4:$B$503,$A9,Contratos!$J$4:$J$503,"Parcelado")</f>
        <v>0</v>
      </c>
      <c r="AI9" s="39" t="n">
        <f aca="false">SUMIFS(Financeiro!$G$4:$G$503,Financeiro!$B$4:$B$503,$A9,Financeiro!$D$4:$D$503,"Receita",Financeiro!$H$4:$H$503,"&lt;&gt;Cancelado")</f>
        <v>0</v>
      </c>
      <c r="AJ9" s="39" t="n">
        <f aca="false">SUMIFS(Financeiro!$G$4:$G$503,Financeiro!$B$4:$B$503,$A9,Financeiro!$D$4:$D$503,"Gasto",Financeiro!$H$4:$H$503,"&lt;&gt;Cancelado")</f>
        <v>0</v>
      </c>
      <c r="AK9" s="39" t="n">
        <f aca="false">SUMIFS(Financeiro!$G$4:$G$503,Financeiro!$B$4:$B$503,$A9,Financeiro!$D$4:$D$503,"Imposto",Financeiro!$H$4:$H$503,"&lt;&gt;Cancelado")</f>
        <v>0</v>
      </c>
      <c r="AL9" s="39" t="n">
        <f aca="false">SUMIFS(Financeiro!$G$4:$G$503,Financeiro!$B$4:$B$503,$A9,Financeiro!$D$4:$D$503,"Marketing",Financeiro!$H$4:$H$503,"&lt;&gt;Cancelado")</f>
        <v>0</v>
      </c>
      <c r="AM9" s="39" t="n">
        <f aca="false">AI9-AJ9-AK9-AL9</f>
        <v>0</v>
      </c>
      <c r="AN9" s="37" t="n">
        <f aca="false">IF(Config!$B$16=0,"",AI9/Config!$B$16)</f>
        <v>0</v>
      </c>
      <c r="AO9" s="37" t="n">
        <f aca="false">IF(Config!$B$17=0,"",AJ9/Config!$B$17)</f>
        <v>0</v>
      </c>
      <c r="AP9" s="39" t="str">
        <f aca="false">IF(T9=0,"",AL9/T9)</f>
        <v/>
      </c>
      <c r="AQ9" s="39" t="n">
        <f aca="false">SUMIFS($AI$4:$AI$107,$D$4:$D$107,$D9,$B$4:$B$107,"&lt;="&amp;$B9)</f>
        <v>0</v>
      </c>
      <c r="AR9" s="39" t="n">
        <f aca="false">SUMIFS($AJ$4:$AJ$107,$D$4:$D$107,$D9,$B$4:$B$107,"&lt;="&amp;$B9)</f>
        <v>0</v>
      </c>
      <c r="AS9" s="36" t="n">
        <f aca="false">SUMIFS(Leads_Canal!$C$4:$C$503,Leads_Canal!$A$4:$A$503,$A9)</f>
        <v>0</v>
      </c>
      <c r="AT9" s="17" t="str">
        <f aca="false">IF(E9=0,"",IF(E9=AR9,"OK","Divergente"))</f>
        <v/>
      </c>
      <c r="AU9" s="17" t="str">
        <f aca="false">IF(N9=0,"",IF(N9=AD9,"OK","Divergente"))</f>
        <v/>
      </c>
    </row>
    <row r="10" customFormat="false" ht="15" hidden="false" customHeight="false" outlineLevel="0" collapsed="false">
      <c r="A10" s="17" t="str">
        <f aca="false">Base_Semanal!A10</f>
        <v>2026-S08</v>
      </c>
      <c r="B10" s="30" t="n">
        <f aca="false">Base_Semanal!B10</f>
        <v>46069</v>
      </c>
      <c r="C10" s="30" t="n">
        <f aca="false">Base_Semanal!C10</f>
        <v>46075</v>
      </c>
      <c r="D10" s="17" t="str">
        <f aca="false">Base_Semanal!D10</f>
        <v>2026-02</v>
      </c>
      <c r="E10" s="36" t="n">
        <f aca="false">Base_Semanal!E10</f>
        <v>0</v>
      </c>
      <c r="F10" s="36" t="n">
        <f aca="false">Base_Semanal!F10</f>
        <v>0</v>
      </c>
      <c r="G10" s="36" t="n">
        <f aca="false">Base_Semanal!G10</f>
        <v>0</v>
      </c>
      <c r="H10" s="36" t="n">
        <f aca="false">Base_Semanal!H10</f>
        <v>0</v>
      </c>
      <c r="I10" s="36" t="n">
        <f aca="false">Base_Semanal!I10</f>
        <v>0</v>
      </c>
      <c r="J10" s="36" t="n">
        <f aca="false">H10+I10</f>
        <v>0</v>
      </c>
      <c r="K10" s="37" t="str">
        <f aca="false">IF(F10=0,"",G10/F10)</f>
        <v/>
      </c>
      <c r="L10" s="36" t="n">
        <f aca="false">Base_Semanal!J10</f>
        <v>0</v>
      </c>
      <c r="M10" s="36" t="n">
        <f aca="false">Base_Semanal!K10</f>
        <v>0</v>
      </c>
      <c r="N10" s="36" t="n">
        <f aca="false">L10+M10</f>
        <v>0</v>
      </c>
      <c r="O10" s="37" t="str">
        <f aca="false">IF(J10=0,"",N10/J10)</f>
        <v/>
      </c>
      <c r="P10" s="36" t="n">
        <f aca="false">Base_Semanal!L10</f>
        <v>0</v>
      </c>
      <c r="Q10" s="36" t="n">
        <f aca="false">Base_Semanal!M10</f>
        <v>0</v>
      </c>
      <c r="R10" s="36" t="n">
        <f aca="false">P10+Q10</f>
        <v>0</v>
      </c>
      <c r="S10" s="36" t="n">
        <f aca="false">Base_Semanal!N10</f>
        <v>0</v>
      </c>
      <c r="T10" s="36" t="n">
        <f aca="false">Base_Semanal!O10</f>
        <v>0</v>
      </c>
      <c r="U10" s="37" t="str">
        <f aca="false">IF(Base_Semanal!P10=0,"",Base_Semanal!Q10/Base_Semanal!P10)</f>
        <v/>
      </c>
      <c r="V10" s="37" t="str">
        <f aca="false">IF(Base_Semanal!R10=0,"",Base_Semanal!S10/Base_Semanal!R10)</f>
        <v/>
      </c>
      <c r="W10" s="37" t="str">
        <f aca="false">IF(Base_Semanal!P10+Base_Semanal!R10=0,"",(Base_Semanal!Q10+Base_Semanal!S10)/(Base_Semanal!P10+Base_Semanal!R10))</f>
        <v/>
      </c>
      <c r="X10" s="38" t="n">
        <f aca="false">Base_Semanal!T10</f>
        <v>0</v>
      </c>
      <c r="Y10" s="38" t="n">
        <f aca="false">Base_Semanal!U10</f>
        <v>0</v>
      </c>
      <c r="Z10" s="38" t="n">
        <f aca="false">Base_Semanal!V10</f>
        <v>0</v>
      </c>
      <c r="AA10" s="38" t="n">
        <f aca="false">Base_Semanal!W10</f>
        <v>0</v>
      </c>
      <c r="AB10" s="36" t="n">
        <f aca="false">COUNTIFS(Contratos!$B$4:$B$503,$A10,Contratos!$E$4:$E$503,"Avaliação")</f>
        <v>0</v>
      </c>
      <c r="AC10" s="39" t="n">
        <f aca="false">SUMIFS(Contratos!$I$4:$I$503,Contratos!$B$4:$B$503,$A10,Contratos!$E$4:$E$503,"Avaliação")</f>
        <v>0</v>
      </c>
      <c r="AD10" s="36" t="n">
        <f aca="false">COUNTIFS(Contratos!$B$4:$B$503,$A10,Contratos!$E$4:$E$503,"Protocolo")</f>
        <v>0</v>
      </c>
      <c r="AE10" s="39" t="n">
        <f aca="false">SUMIFS(Contratos!$I$4:$I$503,Contratos!$B$4:$B$503,$A10,Contratos!$E$4:$E$503,"Protocolo")</f>
        <v>0</v>
      </c>
      <c r="AF10" s="39" t="n">
        <f aca="false">AC10+AE10</f>
        <v>0</v>
      </c>
      <c r="AG10" s="36" t="n">
        <f aca="false">COUNTIFS(Contratos!$B$4:$B$503,$A10,Contratos!$J$4:$J$503,"À vista")</f>
        <v>0</v>
      </c>
      <c r="AH10" s="36" t="n">
        <f aca="false">COUNTIFS(Contratos!$B$4:$B$503,$A10,Contratos!$J$4:$J$503,"Parcelado")</f>
        <v>0</v>
      </c>
      <c r="AI10" s="39" t="n">
        <f aca="false">SUMIFS(Financeiro!$G$4:$G$503,Financeiro!$B$4:$B$503,$A10,Financeiro!$D$4:$D$503,"Receita",Financeiro!$H$4:$H$503,"&lt;&gt;Cancelado")</f>
        <v>0</v>
      </c>
      <c r="AJ10" s="39" t="n">
        <f aca="false">SUMIFS(Financeiro!$G$4:$G$503,Financeiro!$B$4:$B$503,$A10,Financeiro!$D$4:$D$503,"Gasto",Financeiro!$H$4:$H$503,"&lt;&gt;Cancelado")</f>
        <v>0</v>
      </c>
      <c r="AK10" s="39" t="n">
        <f aca="false">SUMIFS(Financeiro!$G$4:$G$503,Financeiro!$B$4:$B$503,$A10,Financeiro!$D$4:$D$503,"Imposto",Financeiro!$H$4:$H$503,"&lt;&gt;Cancelado")</f>
        <v>0</v>
      </c>
      <c r="AL10" s="39" t="n">
        <f aca="false">SUMIFS(Financeiro!$G$4:$G$503,Financeiro!$B$4:$B$503,$A10,Financeiro!$D$4:$D$503,"Marketing",Financeiro!$H$4:$H$503,"&lt;&gt;Cancelado")</f>
        <v>0</v>
      </c>
      <c r="AM10" s="39" t="n">
        <f aca="false">AI10-AJ10-AK10-AL10</f>
        <v>0</v>
      </c>
      <c r="AN10" s="37" t="n">
        <f aca="false">IF(Config!$B$16=0,"",AI10/Config!$B$16)</f>
        <v>0</v>
      </c>
      <c r="AO10" s="37" t="n">
        <f aca="false">IF(Config!$B$17=0,"",AJ10/Config!$B$17)</f>
        <v>0</v>
      </c>
      <c r="AP10" s="39" t="str">
        <f aca="false">IF(T10=0,"",AL10/T10)</f>
        <v/>
      </c>
      <c r="AQ10" s="39" t="n">
        <f aca="false">SUMIFS($AI$4:$AI$107,$D$4:$D$107,$D10,$B$4:$B$107,"&lt;="&amp;$B10)</f>
        <v>0</v>
      </c>
      <c r="AR10" s="39" t="n">
        <f aca="false">SUMIFS($AJ$4:$AJ$107,$D$4:$D$107,$D10,$B$4:$B$107,"&lt;="&amp;$B10)</f>
        <v>0</v>
      </c>
      <c r="AS10" s="36" t="n">
        <f aca="false">SUMIFS(Leads_Canal!$C$4:$C$503,Leads_Canal!$A$4:$A$503,$A10)</f>
        <v>0</v>
      </c>
      <c r="AT10" s="17" t="str">
        <f aca="false">IF(E10=0,"",IF(E10=AR10,"OK","Divergente"))</f>
        <v/>
      </c>
      <c r="AU10" s="17" t="str">
        <f aca="false">IF(N10=0,"",IF(N10=AD10,"OK","Divergente"))</f>
        <v/>
      </c>
    </row>
    <row r="11" customFormat="false" ht="15" hidden="false" customHeight="false" outlineLevel="0" collapsed="false">
      <c r="A11" s="17" t="str">
        <f aca="false">Base_Semanal!A11</f>
        <v>2026-S09</v>
      </c>
      <c r="B11" s="30" t="n">
        <f aca="false">Base_Semanal!B11</f>
        <v>46076</v>
      </c>
      <c r="C11" s="30" t="n">
        <f aca="false">Base_Semanal!C11</f>
        <v>46082</v>
      </c>
      <c r="D11" s="17" t="str">
        <f aca="false">Base_Semanal!D11</f>
        <v>2026-02</v>
      </c>
      <c r="E11" s="36" t="n">
        <f aca="false">Base_Semanal!E11</f>
        <v>0</v>
      </c>
      <c r="F11" s="36" t="n">
        <f aca="false">Base_Semanal!F11</f>
        <v>0</v>
      </c>
      <c r="G11" s="36" t="n">
        <f aca="false">Base_Semanal!G11</f>
        <v>0</v>
      </c>
      <c r="H11" s="36" t="n">
        <f aca="false">Base_Semanal!H11</f>
        <v>0</v>
      </c>
      <c r="I11" s="36" t="n">
        <f aca="false">Base_Semanal!I11</f>
        <v>0</v>
      </c>
      <c r="J11" s="36" t="n">
        <f aca="false">H11+I11</f>
        <v>0</v>
      </c>
      <c r="K11" s="37" t="str">
        <f aca="false">IF(F11=0,"",G11/F11)</f>
        <v/>
      </c>
      <c r="L11" s="36" t="n">
        <f aca="false">Base_Semanal!J11</f>
        <v>0</v>
      </c>
      <c r="M11" s="36" t="n">
        <f aca="false">Base_Semanal!K11</f>
        <v>0</v>
      </c>
      <c r="N11" s="36" t="n">
        <f aca="false">L11+M11</f>
        <v>0</v>
      </c>
      <c r="O11" s="37" t="str">
        <f aca="false">IF(J11=0,"",N11/J11)</f>
        <v/>
      </c>
      <c r="P11" s="36" t="n">
        <f aca="false">Base_Semanal!L11</f>
        <v>0</v>
      </c>
      <c r="Q11" s="36" t="n">
        <f aca="false">Base_Semanal!M11</f>
        <v>0</v>
      </c>
      <c r="R11" s="36" t="n">
        <f aca="false">P11+Q11</f>
        <v>0</v>
      </c>
      <c r="S11" s="36" t="n">
        <f aca="false">Base_Semanal!N11</f>
        <v>0</v>
      </c>
      <c r="T11" s="36" t="n">
        <f aca="false">Base_Semanal!O11</f>
        <v>0</v>
      </c>
      <c r="U11" s="37" t="str">
        <f aca="false">IF(Base_Semanal!P11=0,"",Base_Semanal!Q11/Base_Semanal!P11)</f>
        <v/>
      </c>
      <c r="V11" s="37" t="str">
        <f aca="false">IF(Base_Semanal!R11=0,"",Base_Semanal!S11/Base_Semanal!R11)</f>
        <v/>
      </c>
      <c r="W11" s="37" t="str">
        <f aca="false">IF(Base_Semanal!P11+Base_Semanal!R11=0,"",(Base_Semanal!Q11+Base_Semanal!S11)/(Base_Semanal!P11+Base_Semanal!R11))</f>
        <v/>
      </c>
      <c r="X11" s="38" t="n">
        <f aca="false">Base_Semanal!T11</f>
        <v>0</v>
      </c>
      <c r="Y11" s="38" t="n">
        <f aca="false">Base_Semanal!U11</f>
        <v>0</v>
      </c>
      <c r="Z11" s="38" t="n">
        <f aca="false">Base_Semanal!V11</f>
        <v>0</v>
      </c>
      <c r="AA11" s="38" t="n">
        <f aca="false">Base_Semanal!W11</f>
        <v>0</v>
      </c>
      <c r="AB11" s="36" t="n">
        <f aca="false">COUNTIFS(Contratos!$B$4:$B$503,$A11,Contratos!$E$4:$E$503,"Avaliação")</f>
        <v>0</v>
      </c>
      <c r="AC11" s="39" t="n">
        <f aca="false">SUMIFS(Contratos!$I$4:$I$503,Contratos!$B$4:$B$503,$A11,Contratos!$E$4:$E$503,"Avaliação")</f>
        <v>0</v>
      </c>
      <c r="AD11" s="36" t="n">
        <f aca="false">COUNTIFS(Contratos!$B$4:$B$503,$A11,Contratos!$E$4:$E$503,"Protocolo")</f>
        <v>0</v>
      </c>
      <c r="AE11" s="39" t="n">
        <f aca="false">SUMIFS(Contratos!$I$4:$I$503,Contratos!$B$4:$B$503,$A11,Contratos!$E$4:$E$503,"Protocolo")</f>
        <v>0</v>
      </c>
      <c r="AF11" s="39" t="n">
        <f aca="false">AC11+AE11</f>
        <v>0</v>
      </c>
      <c r="AG11" s="36" t="n">
        <f aca="false">COUNTIFS(Contratos!$B$4:$B$503,$A11,Contratos!$J$4:$J$503,"À vista")</f>
        <v>0</v>
      </c>
      <c r="AH11" s="36" t="n">
        <f aca="false">COUNTIFS(Contratos!$B$4:$B$503,$A11,Contratos!$J$4:$J$503,"Parcelado")</f>
        <v>0</v>
      </c>
      <c r="AI11" s="39" t="n">
        <f aca="false">SUMIFS(Financeiro!$G$4:$G$503,Financeiro!$B$4:$B$503,$A11,Financeiro!$D$4:$D$503,"Receita",Financeiro!$H$4:$H$503,"&lt;&gt;Cancelado")</f>
        <v>0</v>
      </c>
      <c r="AJ11" s="39" t="n">
        <f aca="false">SUMIFS(Financeiro!$G$4:$G$503,Financeiro!$B$4:$B$503,$A11,Financeiro!$D$4:$D$503,"Gasto",Financeiro!$H$4:$H$503,"&lt;&gt;Cancelado")</f>
        <v>0</v>
      </c>
      <c r="AK11" s="39" t="n">
        <f aca="false">SUMIFS(Financeiro!$G$4:$G$503,Financeiro!$B$4:$B$503,$A11,Financeiro!$D$4:$D$503,"Imposto",Financeiro!$H$4:$H$503,"&lt;&gt;Cancelado")</f>
        <v>0</v>
      </c>
      <c r="AL11" s="39" t="n">
        <f aca="false">SUMIFS(Financeiro!$G$4:$G$503,Financeiro!$B$4:$B$503,$A11,Financeiro!$D$4:$D$503,"Marketing",Financeiro!$H$4:$H$503,"&lt;&gt;Cancelado")</f>
        <v>0</v>
      </c>
      <c r="AM11" s="39" t="n">
        <f aca="false">AI11-AJ11-AK11-AL11</f>
        <v>0</v>
      </c>
      <c r="AN11" s="37" t="n">
        <f aca="false">IF(Config!$B$16=0,"",AI11/Config!$B$16)</f>
        <v>0</v>
      </c>
      <c r="AO11" s="37" t="n">
        <f aca="false">IF(Config!$B$17=0,"",AJ11/Config!$B$17)</f>
        <v>0</v>
      </c>
      <c r="AP11" s="39" t="str">
        <f aca="false">IF(T11=0,"",AL11/T11)</f>
        <v/>
      </c>
      <c r="AQ11" s="39" t="n">
        <f aca="false">SUMIFS($AI$4:$AI$107,$D$4:$D$107,$D11,$B$4:$B$107,"&lt;="&amp;$B11)</f>
        <v>0</v>
      </c>
      <c r="AR11" s="39" t="n">
        <f aca="false">SUMIFS($AJ$4:$AJ$107,$D$4:$D$107,$D11,$B$4:$B$107,"&lt;="&amp;$B11)</f>
        <v>0</v>
      </c>
      <c r="AS11" s="36" t="n">
        <f aca="false">SUMIFS(Leads_Canal!$C$4:$C$503,Leads_Canal!$A$4:$A$503,$A11)</f>
        <v>0</v>
      </c>
      <c r="AT11" s="17" t="str">
        <f aca="false">IF(E11=0,"",IF(E11=AR11,"OK","Divergente"))</f>
        <v/>
      </c>
      <c r="AU11" s="17" t="str">
        <f aca="false">IF(N11=0,"",IF(N11=AD11,"OK","Divergente"))</f>
        <v/>
      </c>
    </row>
    <row r="12" customFormat="false" ht="15" hidden="false" customHeight="false" outlineLevel="0" collapsed="false">
      <c r="A12" s="17" t="str">
        <f aca="false">Base_Semanal!A12</f>
        <v>2026-S10</v>
      </c>
      <c r="B12" s="30" t="n">
        <f aca="false">Base_Semanal!B12</f>
        <v>46083</v>
      </c>
      <c r="C12" s="30" t="n">
        <f aca="false">Base_Semanal!C12</f>
        <v>46089</v>
      </c>
      <c r="D12" s="17" t="str">
        <f aca="false">Base_Semanal!D12</f>
        <v>2026-03</v>
      </c>
      <c r="E12" s="36" t="n">
        <f aca="false">Base_Semanal!E12</f>
        <v>0</v>
      </c>
      <c r="F12" s="36" t="n">
        <f aca="false">Base_Semanal!F12</f>
        <v>0</v>
      </c>
      <c r="G12" s="36" t="n">
        <f aca="false">Base_Semanal!G12</f>
        <v>0</v>
      </c>
      <c r="H12" s="36" t="n">
        <f aca="false">Base_Semanal!H12</f>
        <v>0</v>
      </c>
      <c r="I12" s="36" t="n">
        <f aca="false">Base_Semanal!I12</f>
        <v>0</v>
      </c>
      <c r="J12" s="36" t="n">
        <f aca="false">H12+I12</f>
        <v>0</v>
      </c>
      <c r="K12" s="37" t="str">
        <f aca="false">IF(F12=0,"",G12/F12)</f>
        <v/>
      </c>
      <c r="L12" s="36" t="n">
        <f aca="false">Base_Semanal!J12</f>
        <v>0</v>
      </c>
      <c r="M12" s="36" t="n">
        <f aca="false">Base_Semanal!K12</f>
        <v>0</v>
      </c>
      <c r="N12" s="36" t="n">
        <f aca="false">L12+M12</f>
        <v>0</v>
      </c>
      <c r="O12" s="37" t="str">
        <f aca="false">IF(J12=0,"",N12/J12)</f>
        <v/>
      </c>
      <c r="P12" s="36" t="n">
        <f aca="false">Base_Semanal!L12</f>
        <v>0</v>
      </c>
      <c r="Q12" s="36" t="n">
        <f aca="false">Base_Semanal!M12</f>
        <v>0</v>
      </c>
      <c r="R12" s="36" t="n">
        <f aca="false">P12+Q12</f>
        <v>0</v>
      </c>
      <c r="S12" s="36" t="n">
        <f aca="false">Base_Semanal!N12</f>
        <v>0</v>
      </c>
      <c r="T12" s="36" t="n">
        <f aca="false">Base_Semanal!O12</f>
        <v>0</v>
      </c>
      <c r="U12" s="37" t="str">
        <f aca="false">IF(Base_Semanal!P12=0,"",Base_Semanal!Q12/Base_Semanal!P12)</f>
        <v/>
      </c>
      <c r="V12" s="37" t="str">
        <f aca="false">IF(Base_Semanal!R12=0,"",Base_Semanal!S12/Base_Semanal!R12)</f>
        <v/>
      </c>
      <c r="W12" s="37" t="str">
        <f aca="false">IF(Base_Semanal!P12+Base_Semanal!R12=0,"",(Base_Semanal!Q12+Base_Semanal!S12)/(Base_Semanal!P12+Base_Semanal!R12))</f>
        <v/>
      </c>
      <c r="X12" s="38" t="n">
        <f aca="false">Base_Semanal!T12</f>
        <v>0</v>
      </c>
      <c r="Y12" s="38" t="n">
        <f aca="false">Base_Semanal!U12</f>
        <v>0</v>
      </c>
      <c r="Z12" s="38" t="n">
        <f aca="false">Base_Semanal!V12</f>
        <v>0</v>
      </c>
      <c r="AA12" s="38" t="n">
        <f aca="false">Base_Semanal!W12</f>
        <v>0</v>
      </c>
      <c r="AB12" s="36" t="n">
        <f aca="false">COUNTIFS(Contratos!$B$4:$B$503,$A12,Contratos!$E$4:$E$503,"Avaliação")</f>
        <v>0</v>
      </c>
      <c r="AC12" s="39" t="n">
        <f aca="false">SUMIFS(Contratos!$I$4:$I$503,Contratos!$B$4:$B$503,$A12,Contratos!$E$4:$E$503,"Avaliação")</f>
        <v>0</v>
      </c>
      <c r="AD12" s="36" t="n">
        <f aca="false">COUNTIFS(Contratos!$B$4:$B$503,$A12,Contratos!$E$4:$E$503,"Protocolo")</f>
        <v>0</v>
      </c>
      <c r="AE12" s="39" t="n">
        <f aca="false">SUMIFS(Contratos!$I$4:$I$503,Contratos!$B$4:$B$503,$A12,Contratos!$E$4:$E$503,"Protocolo")</f>
        <v>0</v>
      </c>
      <c r="AF12" s="39" t="n">
        <f aca="false">AC12+AE12</f>
        <v>0</v>
      </c>
      <c r="AG12" s="36" t="n">
        <f aca="false">COUNTIFS(Contratos!$B$4:$B$503,$A12,Contratos!$J$4:$J$503,"À vista")</f>
        <v>0</v>
      </c>
      <c r="AH12" s="36" t="n">
        <f aca="false">COUNTIFS(Contratos!$B$4:$B$503,$A12,Contratos!$J$4:$J$503,"Parcelado")</f>
        <v>0</v>
      </c>
      <c r="AI12" s="39" t="n">
        <f aca="false">SUMIFS(Financeiro!$G$4:$G$503,Financeiro!$B$4:$B$503,$A12,Financeiro!$D$4:$D$503,"Receita",Financeiro!$H$4:$H$503,"&lt;&gt;Cancelado")</f>
        <v>0</v>
      </c>
      <c r="AJ12" s="39" t="n">
        <f aca="false">SUMIFS(Financeiro!$G$4:$G$503,Financeiro!$B$4:$B$503,$A12,Financeiro!$D$4:$D$503,"Gasto",Financeiro!$H$4:$H$503,"&lt;&gt;Cancelado")</f>
        <v>0</v>
      </c>
      <c r="AK12" s="39" t="n">
        <f aca="false">SUMIFS(Financeiro!$G$4:$G$503,Financeiro!$B$4:$B$503,$A12,Financeiro!$D$4:$D$503,"Imposto",Financeiro!$H$4:$H$503,"&lt;&gt;Cancelado")</f>
        <v>0</v>
      </c>
      <c r="AL12" s="39" t="n">
        <f aca="false">SUMIFS(Financeiro!$G$4:$G$503,Financeiro!$B$4:$B$503,$A12,Financeiro!$D$4:$D$503,"Marketing",Financeiro!$H$4:$H$503,"&lt;&gt;Cancelado")</f>
        <v>0</v>
      </c>
      <c r="AM12" s="39" t="n">
        <f aca="false">AI12-AJ12-AK12-AL12</f>
        <v>0</v>
      </c>
      <c r="AN12" s="37" t="n">
        <f aca="false">IF(Config!$B$16=0,"",AI12/Config!$B$16)</f>
        <v>0</v>
      </c>
      <c r="AO12" s="37" t="n">
        <f aca="false">IF(Config!$B$17=0,"",AJ12/Config!$B$17)</f>
        <v>0</v>
      </c>
      <c r="AP12" s="39" t="str">
        <f aca="false">IF(T12=0,"",AL12/T12)</f>
        <v/>
      </c>
      <c r="AQ12" s="39" t="n">
        <f aca="false">SUMIFS($AI$4:$AI$107,$D$4:$D$107,$D12,$B$4:$B$107,"&lt;="&amp;$B12)</f>
        <v>0</v>
      </c>
      <c r="AR12" s="39" t="n">
        <f aca="false">SUMIFS($AJ$4:$AJ$107,$D$4:$D$107,$D12,$B$4:$B$107,"&lt;="&amp;$B12)</f>
        <v>0</v>
      </c>
      <c r="AS12" s="36" t="n">
        <f aca="false">SUMIFS(Leads_Canal!$C$4:$C$503,Leads_Canal!$A$4:$A$503,$A12)</f>
        <v>0</v>
      </c>
      <c r="AT12" s="17" t="str">
        <f aca="false">IF(E12=0,"",IF(E12=AR12,"OK","Divergente"))</f>
        <v/>
      </c>
      <c r="AU12" s="17" t="str">
        <f aca="false">IF(N12=0,"",IF(N12=AD12,"OK","Divergente"))</f>
        <v/>
      </c>
    </row>
    <row r="13" customFormat="false" ht="15" hidden="false" customHeight="false" outlineLevel="0" collapsed="false">
      <c r="A13" s="17" t="str">
        <f aca="false">Base_Semanal!A13</f>
        <v>2026-S11</v>
      </c>
      <c r="B13" s="30" t="n">
        <f aca="false">Base_Semanal!B13</f>
        <v>46090</v>
      </c>
      <c r="C13" s="30" t="n">
        <f aca="false">Base_Semanal!C13</f>
        <v>46096</v>
      </c>
      <c r="D13" s="17" t="str">
        <f aca="false">Base_Semanal!D13</f>
        <v>2026-03</v>
      </c>
      <c r="E13" s="36" t="n">
        <f aca="false">Base_Semanal!E13</f>
        <v>0</v>
      </c>
      <c r="F13" s="36" t="n">
        <f aca="false">Base_Semanal!F13</f>
        <v>0</v>
      </c>
      <c r="G13" s="36" t="n">
        <f aca="false">Base_Semanal!G13</f>
        <v>0</v>
      </c>
      <c r="H13" s="36" t="n">
        <f aca="false">Base_Semanal!H13</f>
        <v>0</v>
      </c>
      <c r="I13" s="36" t="n">
        <f aca="false">Base_Semanal!I13</f>
        <v>0</v>
      </c>
      <c r="J13" s="36" t="n">
        <f aca="false">H13+I13</f>
        <v>0</v>
      </c>
      <c r="K13" s="37" t="str">
        <f aca="false">IF(F13=0,"",G13/F13)</f>
        <v/>
      </c>
      <c r="L13" s="36" t="n">
        <f aca="false">Base_Semanal!J13</f>
        <v>0</v>
      </c>
      <c r="M13" s="36" t="n">
        <f aca="false">Base_Semanal!K13</f>
        <v>0</v>
      </c>
      <c r="N13" s="36" t="n">
        <f aca="false">L13+M13</f>
        <v>0</v>
      </c>
      <c r="O13" s="37" t="str">
        <f aca="false">IF(J13=0,"",N13/J13)</f>
        <v/>
      </c>
      <c r="P13" s="36" t="n">
        <f aca="false">Base_Semanal!L13</f>
        <v>0</v>
      </c>
      <c r="Q13" s="36" t="n">
        <f aca="false">Base_Semanal!M13</f>
        <v>0</v>
      </c>
      <c r="R13" s="36" t="n">
        <f aca="false">P13+Q13</f>
        <v>0</v>
      </c>
      <c r="S13" s="36" t="n">
        <f aca="false">Base_Semanal!N13</f>
        <v>0</v>
      </c>
      <c r="T13" s="36" t="n">
        <f aca="false">Base_Semanal!O13</f>
        <v>0</v>
      </c>
      <c r="U13" s="37" t="str">
        <f aca="false">IF(Base_Semanal!P13=0,"",Base_Semanal!Q13/Base_Semanal!P13)</f>
        <v/>
      </c>
      <c r="V13" s="37" t="str">
        <f aca="false">IF(Base_Semanal!R13=0,"",Base_Semanal!S13/Base_Semanal!R13)</f>
        <v/>
      </c>
      <c r="W13" s="37" t="str">
        <f aca="false">IF(Base_Semanal!P13+Base_Semanal!R13=0,"",(Base_Semanal!Q13+Base_Semanal!S13)/(Base_Semanal!P13+Base_Semanal!R13))</f>
        <v/>
      </c>
      <c r="X13" s="38" t="n">
        <f aca="false">Base_Semanal!T13</f>
        <v>0</v>
      </c>
      <c r="Y13" s="38" t="n">
        <f aca="false">Base_Semanal!U13</f>
        <v>0</v>
      </c>
      <c r="Z13" s="38" t="n">
        <f aca="false">Base_Semanal!V13</f>
        <v>0</v>
      </c>
      <c r="AA13" s="38" t="n">
        <f aca="false">Base_Semanal!W13</f>
        <v>0</v>
      </c>
      <c r="AB13" s="36" t="n">
        <f aca="false">COUNTIFS(Contratos!$B$4:$B$503,$A13,Contratos!$E$4:$E$503,"Avaliação")</f>
        <v>0</v>
      </c>
      <c r="AC13" s="39" t="n">
        <f aca="false">SUMIFS(Contratos!$I$4:$I$503,Contratos!$B$4:$B$503,$A13,Contratos!$E$4:$E$503,"Avaliação")</f>
        <v>0</v>
      </c>
      <c r="AD13" s="36" t="n">
        <f aca="false">COUNTIFS(Contratos!$B$4:$B$503,$A13,Contratos!$E$4:$E$503,"Protocolo")</f>
        <v>0</v>
      </c>
      <c r="AE13" s="39" t="n">
        <f aca="false">SUMIFS(Contratos!$I$4:$I$503,Contratos!$B$4:$B$503,$A13,Contratos!$E$4:$E$503,"Protocolo")</f>
        <v>0</v>
      </c>
      <c r="AF13" s="39" t="n">
        <f aca="false">AC13+AE13</f>
        <v>0</v>
      </c>
      <c r="AG13" s="36" t="n">
        <f aca="false">COUNTIFS(Contratos!$B$4:$B$503,$A13,Contratos!$J$4:$J$503,"À vista")</f>
        <v>0</v>
      </c>
      <c r="AH13" s="36" t="n">
        <f aca="false">COUNTIFS(Contratos!$B$4:$B$503,$A13,Contratos!$J$4:$J$503,"Parcelado")</f>
        <v>0</v>
      </c>
      <c r="AI13" s="39" t="n">
        <f aca="false">SUMIFS(Financeiro!$G$4:$G$503,Financeiro!$B$4:$B$503,$A13,Financeiro!$D$4:$D$503,"Receita",Financeiro!$H$4:$H$503,"&lt;&gt;Cancelado")</f>
        <v>0</v>
      </c>
      <c r="AJ13" s="39" t="n">
        <f aca="false">SUMIFS(Financeiro!$G$4:$G$503,Financeiro!$B$4:$B$503,$A13,Financeiro!$D$4:$D$503,"Gasto",Financeiro!$H$4:$H$503,"&lt;&gt;Cancelado")</f>
        <v>0</v>
      </c>
      <c r="AK13" s="39" t="n">
        <f aca="false">SUMIFS(Financeiro!$G$4:$G$503,Financeiro!$B$4:$B$503,$A13,Financeiro!$D$4:$D$503,"Imposto",Financeiro!$H$4:$H$503,"&lt;&gt;Cancelado")</f>
        <v>0</v>
      </c>
      <c r="AL13" s="39" t="n">
        <f aca="false">SUMIFS(Financeiro!$G$4:$G$503,Financeiro!$B$4:$B$503,$A13,Financeiro!$D$4:$D$503,"Marketing",Financeiro!$H$4:$H$503,"&lt;&gt;Cancelado")</f>
        <v>0</v>
      </c>
      <c r="AM13" s="39" t="n">
        <f aca="false">AI13-AJ13-AK13-AL13</f>
        <v>0</v>
      </c>
      <c r="AN13" s="37" t="n">
        <f aca="false">IF(Config!$B$16=0,"",AI13/Config!$B$16)</f>
        <v>0</v>
      </c>
      <c r="AO13" s="37" t="n">
        <f aca="false">IF(Config!$B$17=0,"",AJ13/Config!$B$17)</f>
        <v>0</v>
      </c>
      <c r="AP13" s="39" t="str">
        <f aca="false">IF(T13=0,"",AL13/T13)</f>
        <v/>
      </c>
      <c r="AQ13" s="39" t="n">
        <f aca="false">SUMIFS($AI$4:$AI$107,$D$4:$D$107,$D13,$B$4:$B$107,"&lt;="&amp;$B13)</f>
        <v>0</v>
      </c>
      <c r="AR13" s="39" t="n">
        <f aca="false">SUMIFS($AJ$4:$AJ$107,$D$4:$D$107,$D13,$B$4:$B$107,"&lt;="&amp;$B13)</f>
        <v>0</v>
      </c>
      <c r="AS13" s="36" t="n">
        <f aca="false">SUMIFS(Leads_Canal!$C$4:$C$503,Leads_Canal!$A$4:$A$503,$A13)</f>
        <v>0</v>
      </c>
      <c r="AT13" s="17" t="str">
        <f aca="false">IF(E13=0,"",IF(E13=AR13,"OK","Divergente"))</f>
        <v/>
      </c>
      <c r="AU13" s="17" t="str">
        <f aca="false">IF(N13=0,"",IF(N13=AD13,"OK","Divergente"))</f>
        <v/>
      </c>
    </row>
    <row r="14" customFormat="false" ht="15" hidden="false" customHeight="false" outlineLevel="0" collapsed="false">
      <c r="A14" s="17" t="str">
        <f aca="false">Base_Semanal!A14</f>
        <v>2026-S12</v>
      </c>
      <c r="B14" s="30" t="n">
        <f aca="false">Base_Semanal!B14</f>
        <v>46097</v>
      </c>
      <c r="C14" s="30" t="n">
        <f aca="false">Base_Semanal!C14</f>
        <v>46103</v>
      </c>
      <c r="D14" s="17" t="str">
        <f aca="false">Base_Semanal!D14</f>
        <v>2026-03</v>
      </c>
      <c r="E14" s="36" t="n">
        <f aca="false">Base_Semanal!E14</f>
        <v>0</v>
      </c>
      <c r="F14" s="36" t="n">
        <f aca="false">Base_Semanal!F14</f>
        <v>0</v>
      </c>
      <c r="G14" s="36" t="n">
        <f aca="false">Base_Semanal!G14</f>
        <v>0</v>
      </c>
      <c r="H14" s="36" t="n">
        <f aca="false">Base_Semanal!H14</f>
        <v>0</v>
      </c>
      <c r="I14" s="36" t="n">
        <f aca="false">Base_Semanal!I14</f>
        <v>0</v>
      </c>
      <c r="J14" s="36" t="n">
        <f aca="false">H14+I14</f>
        <v>0</v>
      </c>
      <c r="K14" s="37" t="str">
        <f aca="false">IF(F14=0,"",G14/F14)</f>
        <v/>
      </c>
      <c r="L14" s="36" t="n">
        <f aca="false">Base_Semanal!J14</f>
        <v>0</v>
      </c>
      <c r="M14" s="36" t="n">
        <f aca="false">Base_Semanal!K14</f>
        <v>0</v>
      </c>
      <c r="N14" s="36" t="n">
        <f aca="false">L14+M14</f>
        <v>0</v>
      </c>
      <c r="O14" s="37" t="str">
        <f aca="false">IF(J14=0,"",N14/J14)</f>
        <v/>
      </c>
      <c r="P14" s="36" t="n">
        <f aca="false">Base_Semanal!L14</f>
        <v>0</v>
      </c>
      <c r="Q14" s="36" t="n">
        <f aca="false">Base_Semanal!M14</f>
        <v>0</v>
      </c>
      <c r="R14" s="36" t="n">
        <f aca="false">P14+Q14</f>
        <v>0</v>
      </c>
      <c r="S14" s="36" t="n">
        <f aca="false">Base_Semanal!N14</f>
        <v>0</v>
      </c>
      <c r="T14" s="36" t="n">
        <f aca="false">Base_Semanal!O14</f>
        <v>0</v>
      </c>
      <c r="U14" s="37" t="str">
        <f aca="false">IF(Base_Semanal!P14=0,"",Base_Semanal!Q14/Base_Semanal!P14)</f>
        <v/>
      </c>
      <c r="V14" s="37" t="str">
        <f aca="false">IF(Base_Semanal!R14=0,"",Base_Semanal!S14/Base_Semanal!R14)</f>
        <v/>
      </c>
      <c r="W14" s="37" t="str">
        <f aca="false">IF(Base_Semanal!P14+Base_Semanal!R14=0,"",(Base_Semanal!Q14+Base_Semanal!S14)/(Base_Semanal!P14+Base_Semanal!R14))</f>
        <v/>
      </c>
      <c r="X14" s="38" t="n">
        <f aca="false">Base_Semanal!T14</f>
        <v>0</v>
      </c>
      <c r="Y14" s="38" t="n">
        <f aca="false">Base_Semanal!U14</f>
        <v>0</v>
      </c>
      <c r="Z14" s="38" t="n">
        <f aca="false">Base_Semanal!V14</f>
        <v>0</v>
      </c>
      <c r="AA14" s="38" t="n">
        <f aca="false">Base_Semanal!W14</f>
        <v>0</v>
      </c>
      <c r="AB14" s="36" t="n">
        <f aca="false">COUNTIFS(Contratos!$B$4:$B$503,$A14,Contratos!$E$4:$E$503,"Avaliação")</f>
        <v>0</v>
      </c>
      <c r="AC14" s="39" t="n">
        <f aca="false">SUMIFS(Contratos!$I$4:$I$503,Contratos!$B$4:$B$503,$A14,Contratos!$E$4:$E$503,"Avaliação")</f>
        <v>0</v>
      </c>
      <c r="AD14" s="36" t="n">
        <f aca="false">COUNTIFS(Contratos!$B$4:$B$503,$A14,Contratos!$E$4:$E$503,"Protocolo")</f>
        <v>0</v>
      </c>
      <c r="AE14" s="39" t="n">
        <f aca="false">SUMIFS(Contratos!$I$4:$I$503,Contratos!$B$4:$B$503,$A14,Contratos!$E$4:$E$503,"Protocolo")</f>
        <v>0</v>
      </c>
      <c r="AF14" s="39" t="n">
        <f aca="false">AC14+AE14</f>
        <v>0</v>
      </c>
      <c r="AG14" s="36" t="n">
        <f aca="false">COUNTIFS(Contratos!$B$4:$B$503,$A14,Contratos!$J$4:$J$503,"À vista")</f>
        <v>0</v>
      </c>
      <c r="AH14" s="36" t="n">
        <f aca="false">COUNTIFS(Contratos!$B$4:$B$503,$A14,Contratos!$J$4:$J$503,"Parcelado")</f>
        <v>0</v>
      </c>
      <c r="AI14" s="39" t="n">
        <f aca="false">SUMIFS(Financeiro!$G$4:$G$503,Financeiro!$B$4:$B$503,$A14,Financeiro!$D$4:$D$503,"Receita",Financeiro!$H$4:$H$503,"&lt;&gt;Cancelado")</f>
        <v>0</v>
      </c>
      <c r="AJ14" s="39" t="n">
        <f aca="false">SUMIFS(Financeiro!$G$4:$G$503,Financeiro!$B$4:$B$503,$A14,Financeiro!$D$4:$D$503,"Gasto",Financeiro!$H$4:$H$503,"&lt;&gt;Cancelado")</f>
        <v>0</v>
      </c>
      <c r="AK14" s="39" t="n">
        <f aca="false">SUMIFS(Financeiro!$G$4:$G$503,Financeiro!$B$4:$B$503,$A14,Financeiro!$D$4:$D$503,"Imposto",Financeiro!$H$4:$H$503,"&lt;&gt;Cancelado")</f>
        <v>0</v>
      </c>
      <c r="AL14" s="39" t="n">
        <f aca="false">SUMIFS(Financeiro!$G$4:$G$503,Financeiro!$B$4:$B$503,$A14,Financeiro!$D$4:$D$503,"Marketing",Financeiro!$H$4:$H$503,"&lt;&gt;Cancelado")</f>
        <v>0</v>
      </c>
      <c r="AM14" s="39" t="n">
        <f aca="false">AI14-AJ14-AK14-AL14</f>
        <v>0</v>
      </c>
      <c r="AN14" s="37" t="n">
        <f aca="false">IF(Config!$B$16=0,"",AI14/Config!$B$16)</f>
        <v>0</v>
      </c>
      <c r="AO14" s="37" t="n">
        <f aca="false">IF(Config!$B$17=0,"",AJ14/Config!$B$17)</f>
        <v>0</v>
      </c>
      <c r="AP14" s="39" t="str">
        <f aca="false">IF(T14=0,"",AL14/T14)</f>
        <v/>
      </c>
      <c r="AQ14" s="39" t="n">
        <f aca="false">SUMIFS($AI$4:$AI$107,$D$4:$D$107,$D14,$B$4:$B$107,"&lt;="&amp;$B14)</f>
        <v>0</v>
      </c>
      <c r="AR14" s="39" t="n">
        <f aca="false">SUMIFS($AJ$4:$AJ$107,$D$4:$D$107,$D14,$B$4:$B$107,"&lt;="&amp;$B14)</f>
        <v>0</v>
      </c>
      <c r="AS14" s="36" t="n">
        <f aca="false">SUMIFS(Leads_Canal!$C$4:$C$503,Leads_Canal!$A$4:$A$503,$A14)</f>
        <v>0</v>
      </c>
      <c r="AT14" s="17" t="str">
        <f aca="false">IF(E14=0,"",IF(E14=AR14,"OK","Divergente"))</f>
        <v/>
      </c>
      <c r="AU14" s="17" t="str">
        <f aca="false">IF(N14=0,"",IF(N14=AD14,"OK","Divergente"))</f>
        <v/>
      </c>
    </row>
    <row r="15" customFormat="false" ht="15" hidden="false" customHeight="false" outlineLevel="0" collapsed="false">
      <c r="A15" s="17" t="str">
        <f aca="false">Base_Semanal!A15</f>
        <v>2026-S13</v>
      </c>
      <c r="B15" s="30" t="n">
        <f aca="false">Base_Semanal!B15</f>
        <v>46104</v>
      </c>
      <c r="C15" s="30" t="n">
        <f aca="false">Base_Semanal!C15</f>
        <v>46110</v>
      </c>
      <c r="D15" s="17" t="str">
        <f aca="false">Base_Semanal!D15</f>
        <v>2026-03</v>
      </c>
      <c r="E15" s="36" t="n">
        <f aca="false">Base_Semanal!E15</f>
        <v>0</v>
      </c>
      <c r="F15" s="36" t="n">
        <f aca="false">Base_Semanal!F15</f>
        <v>0</v>
      </c>
      <c r="G15" s="36" t="n">
        <f aca="false">Base_Semanal!G15</f>
        <v>0</v>
      </c>
      <c r="H15" s="36" t="n">
        <f aca="false">Base_Semanal!H15</f>
        <v>0</v>
      </c>
      <c r="I15" s="36" t="n">
        <f aca="false">Base_Semanal!I15</f>
        <v>0</v>
      </c>
      <c r="J15" s="36" t="n">
        <f aca="false">H15+I15</f>
        <v>0</v>
      </c>
      <c r="K15" s="37" t="str">
        <f aca="false">IF(F15=0,"",G15/F15)</f>
        <v/>
      </c>
      <c r="L15" s="36" t="n">
        <f aca="false">Base_Semanal!J15</f>
        <v>0</v>
      </c>
      <c r="M15" s="36" t="n">
        <f aca="false">Base_Semanal!K15</f>
        <v>0</v>
      </c>
      <c r="N15" s="36" t="n">
        <f aca="false">L15+M15</f>
        <v>0</v>
      </c>
      <c r="O15" s="37" t="str">
        <f aca="false">IF(J15=0,"",N15/J15)</f>
        <v/>
      </c>
      <c r="P15" s="36" t="n">
        <f aca="false">Base_Semanal!L15</f>
        <v>0</v>
      </c>
      <c r="Q15" s="36" t="n">
        <f aca="false">Base_Semanal!M15</f>
        <v>0</v>
      </c>
      <c r="R15" s="36" t="n">
        <f aca="false">P15+Q15</f>
        <v>0</v>
      </c>
      <c r="S15" s="36" t="n">
        <f aca="false">Base_Semanal!N15</f>
        <v>0</v>
      </c>
      <c r="T15" s="36" t="n">
        <f aca="false">Base_Semanal!O15</f>
        <v>0</v>
      </c>
      <c r="U15" s="37" t="str">
        <f aca="false">IF(Base_Semanal!P15=0,"",Base_Semanal!Q15/Base_Semanal!P15)</f>
        <v/>
      </c>
      <c r="V15" s="37" t="str">
        <f aca="false">IF(Base_Semanal!R15=0,"",Base_Semanal!S15/Base_Semanal!R15)</f>
        <v/>
      </c>
      <c r="W15" s="37" t="str">
        <f aca="false">IF(Base_Semanal!P15+Base_Semanal!R15=0,"",(Base_Semanal!Q15+Base_Semanal!S15)/(Base_Semanal!P15+Base_Semanal!R15))</f>
        <v/>
      </c>
      <c r="X15" s="38" t="n">
        <f aca="false">Base_Semanal!T15</f>
        <v>0</v>
      </c>
      <c r="Y15" s="38" t="n">
        <f aca="false">Base_Semanal!U15</f>
        <v>0</v>
      </c>
      <c r="Z15" s="38" t="n">
        <f aca="false">Base_Semanal!V15</f>
        <v>0</v>
      </c>
      <c r="AA15" s="38" t="n">
        <f aca="false">Base_Semanal!W15</f>
        <v>0</v>
      </c>
      <c r="AB15" s="36" t="n">
        <f aca="false">COUNTIFS(Contratos!$B$4:$B$503,$A15,Contratos!$E$4:$E$503,"Avaliação")</f>
        <v>0</v>
      </c>
      <c r="AC15" s="39" t="n">
        <f aca="false">SUMIFS(Contratos!$I$4:$I$503,Contratos!$B$4:$B$503,$A15,Contratos!$E$4:$E$503,"Avaliação")</f>
        <v>0</v>
      </c>
      <c r="AD15" s="36" t="n">
        <f aca="false">COUNTIFS(Contratos!$B$4:$B$503,$A15,Contratos!$E$4:$E$503,"Protocolo")</f>
        <v>0</v>
      </c>
      <c r="AE15" s="39" t="n">
        <f aca="false">SUMIFS(Contratos!$I$4:$I$503,Contratos!$B$4:$B$503,$A15,Contratos!$E$4:$E$503,"Protocolo")</f>
        <v>0</v>
      </c>
      <c r="AF15" s="39" t="n">
        <f aca="false">AC15+AE15</f>
        <v>0</v>
      </c>
      <c r="AG15" s="36" t="n">
        <f aca="false">COUNTIFS(Contratos!$B$4:$B$503,$A15,Contratos!$J$4:$J$503,"À vista")</f>
        <v>0</v>
      </c>
      <c r="AH15" s="36" t="n">
        <f aca="false">COUNTIFS(Contratos!$B$4:$B$503,$A15,Contratos!$J$4:$J$503,"Parcelado")</f>
        <v>0</v>
      </c>
      <c r="AI15" s="39" t="n">
        <f aca="false">SUMIFS(Financeiro!$G$4:$G$503,Financeiro!$B$4:$B$503,$A15,Financeiro!$D$4:$D$503,"Receita",Financeiro!$H$4:$H$503,"&lt;&gt;Cancelado")</f>
        <v>0</v>
      </c>
      <c r="AJ15" s="39" t="n">
        <f aca="false">SUMIFS(Financeiro!$G$4:$G$503,Financeiro!$B$4:$B$503,$A15,Financeiro!$D$4:$D$503,"Gasto",Financeiro!$H$4:$H$503,"&lt;&gt;Cancelado")</f>
        <v>0</v>
      </c>
      <c r="AK15" s="39" t="n">
        <f aca="false">SUMIFS(Financeiro!$G$4:$G$503,Financeiro!$B$4:$B$503,$A15,Financeiro!$D$4:$D$503,"Imposto",Financeiro!$H$4:$H$503,"&lt;&gt;Cancelado")</f>
        <v>0</v>
      </c>
      <c r="AL15" s="39" t="n">
        <f aca="false">SUMIFS(Financeiro!$G$4:$G$503,Financeiro!$B$4:$B$503,$A15,Financeiro!$D$4:$D$503,"Marketing",Financeiro!$H$4:$H$503,"&lt;&gt;Cancelado")</f>
        <v>0</v>
      </c>
      <c r="AM15" s="39" t="n">
        <f aca="false">AI15-AJ15-AK15-AL15</f>
        <v>0</v>
      </c>
      <c r="AN15" s="37" t="n">
        <f aca="false">IF(Config!$B$16=0,"",AI15/Config!$B$16)</f>
        <v>0</v>
      </c>
      <c r="AO15" s="37" t="n">
        <f aca="false">IF(Config!$B$17=0,"",AJ15/Config!$B$17)</f>
        <v>0</v>
      </c>
      <c r="AP15" s="39" t="str">
        <f aca="false">IF(T15=0,"",AL15/T15)</f>
        <v/>
      </c>
      <c r="AQ15" s="39" t="n">
        <f aca="false">SUMIFS($AI$4:$AI$107,$D$4:$D$107,$D15,$B$4:$B$107,"&lt;="&amp;$B15)</f>
        <v>0</v>
      </c>
      <c r="AR15" s="39" t="n">
        <f aca="false">SUMIFS($AJ$4:$AJ$107,$D$4:$D$107,$D15,$B$4:$B$107,"&lt;="&amp;$B15)</f>
        <v>0</v>
      </c>
      <c r="AS15" s="36" t="n">
        <f aca="false">SUMIFS(Leads_Canal!$C$4:$C$503,Leads_Canal!$A$4:$A$503,$A15)</f>
        <v>0</v>
      </c>
      <c r="AT15" s="17" t="str">
        <f aca="false">IF(E15=0,"",IF(E15=AR15,"OK","Divergente"))</f>
        <v/>
      </c>
      <c r="AU15" s="17" t="str">
        <f aca="false">IF(N15=0,"",IF(N15=AD15,"OK","Divergente"))</f>
        <v/>
      </c>
    </row>
    <row r="16" customFormat="false" ht="15" hidden="false" customHeight="false" outlineLevel="0" collapsed="false">
      <c r="A16" s="17" t="str">
        <f aca="false">Base_Semanal!A16</f>
        <v>2026-S14</v>
      </c>
      <c r="B16" s="30" t="n">
        <f aca="false">Base_Semanal!B16</f>
        <v>46111</v>
      </c>
      <c r="C16" s="30" t="n">
        <f aca="false">Base_Semanal!C16</f>
        <v>46117</v>
      </c>
      <c r="D16" s="17" t="str">
        <f aca="false">Base_Semanal!D16</f>
        <v>2026-03</v>
      </c>
      <c r="E16" s="36" t="n">
        <f aca="false">Base_Semanal!E16</f>
        <v>0</v>
      </c>
      <c r="F16" s="36" t="n">
        <f aca="false">Base_Semanal!F16</f>
        <v>0</v>
      </c>
      <c r="G16" s="36" t="n">
        <f aca="false">Base_Semanal!G16</f>
        <v>0</v>
      </c>
      <c r="H16" s="36" t="n">
        <f aca="false">Base_Semanal!H16</f>
        <v>0</v>
      </c>
      <c r="I16" s="36" t="n">
        <f aca="false">Base_Semanal!I16</f>
        <v>0</v>
      </c>
      <c r="J16" s="36" t="n">
        <f aca="false">H16+I16</f>
        <v>0</v>
      </c>
      <c r="K16" s="37" t="str">
        <f aca="false">IF(F16=0,"",G16/F16)</f>
        <v/>
      </c>
      <c r="L16" s="36" t="n">
        <f aca="false">Base_Semanal!J16</f>
        <v>0</v>
      </c>
      <c r="M16" s="36" t="n">
        <f aca="false">Base_Semanal!K16</f>
        <v>0</v>
      </c>
      <c r="N16" s="36" t="n">
        <f aca="false">L16+M16</f>
        <v>0</v>
      </c>
      <c r="O16" s="37" t="str">
        <f aca="false">IF(J16=0,"",N16/J16)</f>
        <v/>
      </c>
      <c r="P16" s="36" t="n">
        <f aca="false">Base_Semanal!L16</f>
        <v>0</v>
      </c>
      <c r="Q16" s="36" t="n">
        <f aca="false">Base_Semanal!M16</f>
        <v>0</v>
      </c>
      <c r="R16" s="36" t="n">
        <f aca="false">P16+Q16</f>
        <v>0</v>
      </c>
      <c r="S16" s="36" t="n">
        <f aca="false">Base_Semanal!N16</f>
        <v>0</v>
      </c>
      <c r="T16" s="36" t="n">
        <f aca="false">Base_Semanal!O16</f>
        <v>0</v>
      </c>
      <c r="U16" s="37" t="str">
        <f aca="false">IF(Base_Semanal!P16=0,"",Base_Semanal!Q16/Base_Semanal!P16)</f>
        <v/>
      </c>
      <c r="V16" s="37" t="str">
        <f aca="false">IF(Base_Semanal!R16=0,"",Base_Semanal!S16/Base_Semanal!R16)</f>
        <v/>
      </c>
      <c r="W16" s="37" t="str">
        <f aca="false">IF(Base_Semanal!P16+Base_Semanal!R16=0,"",(Base_Semanal!Q16+Base_Semanal!S16)/(Base_Semanal!P16+Base_Semanal!R16))</f>
        <v/>
      </c>
      <c r="X16" s="38" t="n">
        <f aca="false">Base_Semanal!T16</f>
        <v>0</v>
      </c>
      <c r="Y16" s="38" t="n">
        <f aca="false">Base_Semanal!U16</f>
        <v>0</v>
      </c>
      <c r="Z16" s="38" t="n">
        <f aca="false">Base_Semanal!V16</f>
        <v>0</v>
      </c>
      <c r="AA16" s="38" t="n">
        <f aca="false">Base_Semanal!W16</f>
        <v>0</v>
      </c>
      <c r="AB16" s="36" t="n">
        <f aca="false">COUNTIFS(Contratos!$B$4:$B$503,$A16,Contratos!$E$4:$E$503,"Avaliação")</f>
        <v>0</v>
      </c>
      <c r="AC16" s="39" t="n">
        <f aca="false">SUMIFS(Contratos!$I$4:$I$503,Contratos!$B$4:$B$503,$A16,Contratos!$E$4:$E$503,"Avaliação")</f>
        <v>0</v>
      </c>
      <c r="AD16" s="36" t="n">
        <f aca="false">COUNTIFS(Contratos!$B$4:$B$503,$A16,Contratos!$E$4:$E$503,"Protocolo")</f>
        <v>0</v>
      </c>
      <c r="AE16" s="39" t="n">
        <f aca="false">SUMIFS(Contratos!$I$4:$I$503,Contratos!$B$4:$B$503,$A16,Contratos!$E$4:$E$503,"Protocolo")</f>
        <v>0</v>
      </c>
      <c r="AF16" s="39" t="n">
        <f aca="false">AC16+AE16</f>
        <v>0</v>
      </c>
      <c r="AG16" s="36" t="n">
        <f aca="false">COUNTIFS(Contratos!$B$4:$B$503,$A16,Contratos!$J$4:$J$503,"À vista")</f>
        <v>0</v>
      </c>
      <c r="AH16" s="36" t="n">
        <f aca="false">COUNTIFS(Contratos!$B$4:$B$503,$A16,Contratos!$J$4:$J$503,"Parcelado")</f>
        <v>0</v>
      </c>
      <c r="AI16" s="39" t="n">
        <f aca="false">SUMIFS(Financeiro!$G$4:$G$503,Financeiro!$B$4:$B$503,$A16,Financeiro!$D$4:$D$503,"Receita",Financeiro!$H$4:$H$503,"&lt;&gt;Cancelado")</f>
        <v>0</v>
      </c>
      <c r="AJ16" s="39" t="n">
        <f aca="false">SUMIFS(Financeiro!$G$4:$G$503,Financeiro!$B$4:$B$503,$A16,Financeiro!$D$4:$D$503,"Gasto",Financeiro!$H$4:$H$503,"&lt;&gt;Cancelado")</f>
        <v>0</v>
      </c>
      <c r="AK16" s="39" t="n">
        <f aca="false">SUMIFS(Financeiro!$G$4:$G$503,Financeiro!$B$4:$B$503,$A16,Financeiro!$D$4:$D$503,"Imposto",Financeiro!$H$4:$H$503,"&lt;&gt;Cancelado")</f>
        <v>0</v>
      </c>
      <c r="AL16" s="39" t="n">
        <f aca="false">SUMIFS(Financeiro!$G$4:$G$503,Financeiro!$B$4:$B$503,$A16,Financeiro!$D$4:$D$503,"Marketing",Financeiro!$H$4:$H$503,"&lt;&gt;Cancelado")</f>
        <v>0</v>
      </c>
      <c r="AM16" s="39" t="n">
        <f aca="false">AI16-AJ16-AK16-AL16</f>
        <v>0</v>
      </c>
      <c r="AN16" s="37" t="n">
        <f aca="false">IF(Config!$B$16=0,"",AI16/Config!$B$16)</f>
        <v>0</v>
      </c>
      <c r="AO16" s="37" t="n">
        <f aca="false">IF(Config!$B$17=0,"",AJ16/Config!$B$17)</f>
        <v>0</v>
      </c>
      <c r="AP16" s="39" t="str">
        <f aca="false">IF(T16=0,"",AL16/T16)</f>
        <v/>
      </c>
      <c r="AQ16" s="39" t="n">
        <f aca="false">SUMIFS($AI$4:$AI$107,$D$4:$D$107,$D16,$B$4:$B$107,"&lt;="&amp;$B16)</f>
        <v>0</v>
      </c>
      <c r="AR16" s="39" t="n">
        <f aca="false">SUMIFS($AJ$4:$AJ$107,$D$4:$D$107,$D16,$B$4:$B$107,"&lt;="&amp;$B16)</f>
        <v>0</v>
      </c>
      <c r="AS16" s="36" t="n">
        <f aca="false">SUMIFS(Leads_Canal!$C$4:$C$503,Leads_Canal!$A$4:$A$503,$A16)</f>
        <v>0</v>
      </c>
      <c r="AT16" s="17" t="str">
        <f aca="false">IF(E16=0,"",IF(E16=AR16,"OK","Divergente"))</f>
        <v/>
      </c>
      <c r="AU16" s="17" t="str">
        <f aca="false">IF(N16=0,"",IF(N16=AD16,"OK","Divergente"))</f>
        <v/>
      </c>
    </row>
    <row r="17" customFormat="false" ht="15" hidden="false" customHeight="false" outlineLevel="0" collapsed="false">
      <c r="A17" s="17" t="str">
        <f aca="false">Base_Semanal!A17</f>
        <v>2026-S15</v>
      </c>
      <c r="B17" s="30" t="n">
        <f aca="false">Base_Semanal!B17</f>
        <v>46118</v>
      </c>
      <c r="C17" s="30" t="n">
        <f aca="false">Base_Semanal!C17</f>
        <v>46124</v>
      </c>
      <c r="D17" s="17" t="str">
        <f aca="false">Base_Semanal!D17</f>
        <v>2026-04</v>
      </c>
      <c r="E17" s="36" t="n">
        <f aca="false">Base_Semanal!E17</f>
        <v>0</v>
      </c>
      <c r="F17" s="36" t="n">
        <f aca="false">Base_Semanal!F17</f>
        <v>0</v>
      </c>
      <c r="G17" s="36" t="n">
        <f aca="false">Base_Semanal!G17</f>
        <v>0</v>
      </c>
      <c r="H17" s="36" t="n">
        <f aca="false">Base_Semanal!H17</f>
        <v>0</v>
      </c>
      <c r="I17" s="36" t="n">
        <f aca="false">Base_Semanal!I17</f>
        <v>0</v>
      </c>
      <c r="J17" s="36" t="n">
        <f aca="false">H17+I17</f>
        <v>0</v>
      </c>
      <c r="K17" s="37" t="str">
        <f aca="false">IF(F17=0,"",G17/F17)</f>
        <v/>
      </c>
      <c r="L17" s="36" t="n">
        <f aca="false">Base_Semanal!J17</f>
        <v>0</v>
      </c>
      <c r="M17" s="36" t="n">
        <f aca="false">Base_Semanal!K17</f>
        <v>0</v>
      </c>
      <c r="N17" s="36" t="n">
        <f aca="false">L17+M17</f>
        <v>0</v>
      </c>
      <c r="O17" s="37" t="str">
        <f aca="false">IF(J17=0,"",N17/J17)</f>
        <v/>
      </c>
      <c r="P17" s="36" t="n">
        <f aca="false">Base_Semanal!L17</f>
        <v>0</v>
      </c>
      <c r="Q17" s="36" t="n">
        <f aca="false">Base_Semanal!M17</f>
        <v>0</v>
      </c>
      <c r="R17" s="36" t="n">
        <f aca="false">P17+Q17</f>
        <v>0</v>
      </c>
      <c r="S17" s="36" t="n">
        <f aca="false">Base_Semanal!N17</f>
        <v>0</v>
      </c>
      <c r="T17" s="36" t="n">
        <f aca="false">Base_Semanal!O17</f>
        <v>0</v>
      </c>
      <c r="U17" s="37" t="str">
        <f aca="false">IF(Base_Semanal!P17=0,"",Base_Semanal!Q17/Base_Semanal!P17)</f>
        <v/>
      </c>
      <c r="V17" s="37" t="str">
        <f aca="false">IF(Base_Semanal!R17=0,"",Base_Semanal!S17/Base_Semanal!R17)</f>
        <v/>
      </c>
      <c r="W17" s="37" t="str">
        <f aca="false">IF(Base_Semanal!P17+Base_Semanal!R17=0,"",(Base_Semanal!Q17+Base_Semanal!S17)/(Base_Semanal!P17+Base_Semanal!R17))</f>
        <v/>
      </c>
      <c r="X17" s="38" t="n">
        <f aca="false">Base_Semanal!T17</f>
        <v>0</v>
      </c>
      <c r="Y17" s="38" t="n">
        <f aca="false">Base_Semanal!U17</f>
        <v>0</v>
      </c>
      <c r="Z17" s="38" t="n">
        <f aca="false">Base_Semanal!V17</f>
        <v>0</v>
      </c>
      <c r="AA17" s="38" t="n">
        <f aca="false">Base_Semanal!W17</f>
        <v>0</v>
      </c>
      <c r="AB17" s="36" t="n">
        <f aca="false">COUNTIFS(Contratos!$B$4:$B$503,$A17,Contratos!$E$4:$E$503,"Avaliação")</f>
        <v>0</v>
      </c>
      <c r="AC17" s="39" t="n">
        <f aca="false">SUMIFS(Contratos!$I$4:$I$503,Contratos!$B$4:$B$503,$A17,Contratos!$E$4:$E$503,"Avaliação")</f>
        <v>0</v>
      </c>
      <c r="AD17" s="36" t="n">
        <f aca="false">COUNTIFS(Contratos!$B$4:$B$503,$A17,Contratos!$E$4:$E$503,"Protocolo")</f>
        <v>0</v>
      </c>
      <c r="AE17" s="39" t="n">
        <f aca="false">SUMIFS(Contratos!$I$4:$I$503,Contratos!$B$4:$B$503,$A17,Contratos!$E$4:$E$503,"Protocolo")</f>
        <v>0</v>
      </c>
      <c r="AF17" s="39" t="n">
        <f aca="false">AC17+AE17</f>
        <v>0</v>
      </c>
      <c r="AG17" s="36" t="n">
        <f aca="false">COUNTIFS(Contratos!$B$4:$B$503,$A17,Contratos!$J$4:$J$503,"À vista")</f>
        <v>0</v>
      </c>
      <c r="AH17" s="36" t="n">
        <f aca="false">COUNTIFS(Contratos!$B$4:$B$503,$A17,Contratos!$J$4:$J$503,"Parcelado")</f>
        <v>0</v>
      </c>
      <c r="AI17" s="39" t="n">
        <f aca="false">SUMIFS(Financeiro!$G$4:$G$503,Financeiro!$B$4:$B$503,$A17,Financeiro!$D$4:$D$503,"Receita",Financeiro!$H$4:$H$503,"&lt;&gt;Cancelado")</f>
        <v>0</v>
      </c>
      <c r="AJ17" s="39" t="n">
        <f aca="false">SUMIFS(Financeiro!$G$4:$G$503,Financeiro!$B$4:$B$503,$A17,Financeiro!$D$4:$D$503,"Gasto",Financeiro!$H$4:$H$503,"&lt;&gt;Cancelado")</f>
        <v>0</v>
      </c>
      <c r="AK17" s="39" t="n">
        <f aca="false">SUMIFS(Financeiro!$G$4:$G$503,Financeiro!$B$4:$B$503,$A17,Financeiro!$D$4:$D$503,"Imposto",Financeiro!$H$4:$H$503,"&lt;&gt;Cancelado")</f>
        <v>0</v>
      </c>
      <c r="AL17" s="39" t="n">
        <f aca="false">SUMIFS(Financeiro!$G$4:$G$503,Financeiro!$B$4:$B$503,$A17,Financeiro!$D$4:$D$503,"Marketing",Financeiro!$H$4:$H$503,"&lt;&gt;Cancelado")</f>
        <v>0</v>
      </c>
      <c r="AM17" s="39" t="n">
        <f aca="false">AI17-AJ17-AK17-AL17</f>
        <v>0</v>
      </c>
      <c r="AN17" s="37" t="n">
        <f aca="false">IF(Config!$B$16=0,"",AI17/Config!$B$16)</f>
        <v>0</v>
      </c>
      <c r="AO17" s="37" t="n">
        <f aca="false">IF(Config!$B$17=0,"",AJ17/Config!$B$17)</f>
        <v>0</v>
      </c>
      <c r="AP17" s="39" t="str">
        <f aca="false">IF(T17=0,"",AL17/T17)</f>
        <v/>
      </c>
      <c r="AQ17" s="39" t="n">
        <f aca="false">SUMIFS($AI$4:$AI$107,$D$4:$D$107,$D17,$B$4:$B$107,"&lt;="&amp;$B17)</f>
        <v>0</v>
      </c>
      <c r="AR17" s="39" t="n">
        <f aca="false">SUMIFS($AJ$4:$AJ$107,$D$4:$D$107,$D17,$B$4:$B$107,"&lt;="&amp;$B17)</f>
        <v>0</v>
      </c>
      <c r="AS17" s="36" t="n">
        <f aca="false">SUMIFS(Leads_Canal!$C$4:$C$503,Leads_Canal!$A$4:$A$503,$A17)</f>
        <v>0</v>
      </c>
      <c r="AT17" s="17" t="str">
        <f aca="false">IF(E17=0,"",IF(E17=AR17,"OK","Divergente"))</f>
        <v/>
      </c>
      <c r="AU17" s="17" t="str">
        <f aca="false">IF(N17=0,"",IF(N17=AD17,"OK","Divergente"))</f>
        <v/>
      </c>
    </row>
    <row r="18" customFormat="false" ht="15" hidden="false" customHeight="false" outlineLevel="0" collapsed="false">
      <c r="A18" s="17" t="str">
        <f aca="false">Base_Semanal!A18</f>
        <v>2026-S16</v>
      </c>
      <c r="B18" s="30" t="n">
        <f aca="false">Base_Semanal!B18</f>
        <v>46125</v>
      </c>
      <c r="C18" s="30" t="n">
        <f aca="false">Base_Semanal!C18</f>
        <v>46131</v>
      </c>
      <c r="D18" s="17" t="str">
        <f aca="false">Base_Semanal!D18</f>
        <v>2026-04</v>
      </c>
      <c r="E18" s="36" t="n">
        <f aca="false">Base_Semanal!E18</f>
        <v>0</v>
      </c>
      <c r="F18" s="36" t="n">
        <f aca="false">Base_Semanal!F18</f>
        <v>0</v>
      </c>
      <c r="G18" s="36" t="n">
        <f aca="false">Base_Semanal!G18</f>
        <v>0</v>
      </c>
      <c r="H18" s="36" t="n">
        <f aca="false">Base_Semanal!H18</f>
        <v>0</v>
      </c>
      <c r="I18" s="36" t="n">
        <f aca="false">Base_Semanal!I18</f>
        <v>0</v>
      </c>
      <c r="J18" s="36" t="n">
        <f aca="false">H18+I18</f>
        <v>0</v>
      </c>
      <c r="K18" s="37" t="str">
        <f aca="false">IF(F18=0,"",G18/F18)</f>
        <v/>
      </c>
      <c r="L18" s="36" t="n">
        <f aca="false">Base_Semanal!J18</f>
        <v>0</v>
      </c>
      <c r="M18" s="36" t="n">
        <f aca="false">Base_Semanal!K18</f>
        <v>0</v>
      </c>
      <c r="N18" s="36" t="n">
        <f aca="false">L18+M18</f>
        <v>0</v>
      </c>
      <c r="O18" s="37" t="str">
        <f aca="false">IF(J18=0,"",N18/J18)</f>
        <v/>
      </c>
      <c r="P18" s="36" t="n">
        <f aca="false">Base_Semanal!L18</f>
        <v>0</v>
      </c>
      <c r="Q18" s="36" t="n">
        <f aca="false">Base_Semanal!M18</f>
        <v>0</v>
      </c>
      <c r="R18" s="36" t="n">
        <f aca="false">P18+Q18</f>
        <v>0</v>
      </c>
      <c r="S18" s="36" t="n">
        <f aca="false">Base_Semanal!N18</f>
        <v>0</v>
      </c>
      <c r="T18" s="36" t="n">
        <f aca="false">Base_Semanal!O18</f>
        <v>0</v>
      </c>
      <c r="U18" s="37" t="str">
        <f aca="false">IF(Base_Semanal!P18=0,"",Base_Semanal!Q18/Base_Semanal!P18)</f>
        <v/>
      </c>
      <c r="V18" s="37" t="str">
        <f aca="false">IF(Base_Semanal!R18=0,"",Base_Semanal!S18/Base_Semanal!R18)</f>
        <v/>
      </c>
      <c r="W18" s="37" t="str">
        <f aca="false">IF(Base_Semanal!P18+Base_Semanal!R18=0,"",(Base_Semanal!Q18+Base_Semanal!S18)/(Base_Semanal!P18+Base_Semanal!R18))</f>
        <v/>
      </c>
      <c r="X18" s="38" t="n">
        <f aca="false">Base_Semanal!T18</f>
        <v>0</v>
      </c>
      <c r="Y18" s="38" t="n">
        <f aca="false">Base_Semanal!U18</f>
        <v>0</v>
      </c>
      <c r="Z18" s="38" t="n">
        <f aca="false">Base_Semanal!V18</f>
        <v>0</v>
      </c>
      <c r="AA18" s="38" t="n">
        <f aca="false">Base_Semanal!W18</f>
        <v>0</v>
      </c>
      <c r="AB18" s="36" t="n">
        <f aca="false">COUNTIFS(Contratos!$B$4:$B$503,$A18,Contratos!$E$4:$E$503,"Avaliação")</f>
        <v>0</v>
      </c>
      <c r="AC18" s="39" t="n">
        <f aca="false">SUMIFS(Contratos!$I$4:$I$503,Contratos!$B$4:$B$503,$A18,Contratos!$E$4:$E$503,"Avaliação")</f>
        <v>0</v>
      </c>
      <c r="AD18" s="36" t="n">
        <f aca="false">COUNTIFS(Contratos!$B$4:$B$503,$A18,Contratos!$E$4:$E$503,"Protocolo")</f>
        <v>0</v>
      </c>
      <c r="AE18" s="39" t="n">
        <f aca="false">SUMIFS(Contratos!$I$4:$I$503,Contratos!$B$4:$B$503,$A18,Contratos!$E$4:$E$503,"Protocolo")</f>
        <v>0</v>
      </c>
      <c r="AF18" s="39" t="n">
        <f aca="false">AC18+AE18</f>
        <v>0</v>
      </c>
      <c r="AG18" s="36" t="n">
        <f aca="false">COUNTIFS(Contratos!$B$4:$B$503,$A18,Contratos!$J$4:$J$503,"À vista")</f>
        <v>0</v>
      </c>
      <c r="AH18" s="36" t="n">
        <f aca="false">COUNTIFS(Contratos!$B$4:$B$503,$A18,Contratos!$J$4:$J$503,"Parcelado")</f>
        <v>0</v>
      </c>
      <c r="AI18" s="39" t="n">
        <f aca="false">SUMIFS(Financeiro!$G$4:$G$503,Financeiro!$B$4:$B$503,$A18,Financeiro!$D$4:$D$503,"Receita",Financeiro!$H$4:$H$503,"&lt;&gt;Cancelado")</f>
        <v>0</v>
      </c>
      <c r="AJ18" s="39" t="n">
        <f aca="false">SUMIFS(Financeiro!$G$4:$G$503,Financeiro!$B$4:$B$503,$A18,Financeiro!$D$4:$D$503,"Gasto",Financeiro!$H$4:$H$503,"&lt;&gt;Cancelado")</f>
        <v>0</v>
      </c>
      <c r="AK18" s="39" t="n">
        <f aca="false">SUMIFS(Financeiro!$G$4:$G$503,Financeiro!$B$4:$B$503,$A18,Financeiro!$D$4:$D$503,"Imposto",Financeiro!$H$4:$H$503,"&lt;&gt;Cancelado")</f>
        <v>0</v>
      </c>
      <c r="AL18" s="39" t="n">
        <f aca="false">SUMIFS(Financeiro!$G$4:$G$503,Financeiro!$B$4:$B$503,$A18,Financeiro!$D$4:$D$503,"Marketing",Financeiro!$H$4:$H$503,"&lt;&gt;Cancelado")</f>
        <v>0</v>
      </c>
      <c r="AM18" s="39" t="n">
        <f aca="false">AI18-AJ18-AK18-AL18</f>
        <v>0</v>
      </c>
      <c r="AN18" s="37" t="n">
        <f aca="false">IF(Config!$B$16=0,"",AI18/Config!$B$16)</f>
        <v>0</v>
      </c>
      <c r="AO18" s="37" t="n">
        <f aca="false">IF(Config!$B$17=0,"",AJ18/Config!$B$17)</f>
        <v>0</v>
      </c>
      <c r="AP18" s="39" t="str">
        <f aca="false">IF(T18=0,"",AL18/T18)</f>
        <v/>
      </c>
      <c r="AQ18" s="39" t="n">
        <f aca="false">SUMIFS($AI$4:$AI$107,$D$4:$D$107,$D18,$B$4:$B$107,"&lt;="&amp;$B18)</f>
        <v>0</v>
      </c>
      <c r="AR18" s="39" t="n">
        <f aca="false">SUMIFS($AJ$4:$AJ$107,$D$4:$D$107,$D18,$B$4:$B$107,"&lt;="&amp;$B18)</f>
        <v>0</v>
      </c>
      <c r="AS18" s="36" t="n">
        <f aca="false">SUMIFS(Leads_Canal!$C$4:$C$503,Leads_Canal!$A$4:$A$503,$A18)</f>
        <v>0</v>
      </c>
      <c r="AT18" s="17" t="str">
        <f aca="false">IF(E18=0,"",IF(E18=AR18,"OK","Divergente"))</f>
        <v/>
      </c>
      <c r="AU18" s="17" t="str">
        <f aca="false">IF(N18=0,"",IF(N18=AD18,"OK","Divergente"))</f>
        <v/>
      </c>
    </row>
    <row r="19" customFormat="false" ht="15" hidden="false" customHeight="false" outlineLevel="0" collapsed="false">
      <c r="A19" s="17" t="str">
        <f aca="false">Base_Semanal!A19</f>
        <v>2026-S17</v>
      </c>
      <c r="B19" s="30" t="n">
        <f aca="false">Base_Semanal!B19</f>
        <v>46132</v>
      </c>
      <c r="C19" s="30" t="n">
        <f aca="false">Base_Semanal!C19</f>
        <v>46138</v>
      </c>
      <c r="D19" s="17" t="str">
        <f aca="false">Base_Semanal!D19</f>
        <v>2026-04</v>
      </c>
      <c r="E19" s="36" t="n">
        <f aca="false">Base_Semanal!E19</f>
        <v>0</v>
      </c>
      <c r="F19" s="36" t="n">
        <f aca="false">Base_Semanal!F19</f>
        <v>0</v>
      </c>
      <c r="G19" s="36" t="n">
        <f aca="false">Base_Semanal!G19</f>
        <v>0</v>
      </c>
      <c r="H19" s="36" t="n">
        <f aca="false">Base_Semanal!H19</f>
        <v>0</v>
      </c>
      <c r="I19" s="36" t="n">
        <f aca="false">Base_Semanal!I19</f>
        <v>0</v>
      </c>
      <c r="J19" s="36" t="n">
        <f aca="false">H19+I19</f>
        <v>0</v>
      </c>
      <c r="K19" s="37" t="str">
        <f aca="false">IF(F19=0,"",G19/F19)</f>
        <v/>
      </c>
      <c r="L19" s="36" t="n">
        <f aca="false">Base_Semanal!J19</f>
        <v>0</v>
      </c>
      <c r="M19" s="36" t="n">
        <f aca="false">Base_Semanal!K19</f>
        <v>0</v>
      </c>
      <c r="N19" s="36" t="n">
        <f aca="false">L19+M19</f>
        <v>0</v>
      </c>
      <c r="O19" s="37" t="str">
        <f aca="false">IF(J19=0,"",N19/J19)</f>
        <v/>
      </c>
      <c r="P19" s="36" t="n">
        <f aca="false">Base_Semanal!L19</f>
        <v>0</v>
      </c>
      <c r="Q19" s="36" t="n">
        <f aca="false">Base_Semanal!M19</f>
        <v>0</v>
      </c>
      <c r="R19" s="36" t="n">
        <f aca="false">P19+Q19</f>
        <v>0</v>
      </c>
      <c r="S19" s="36" t="n">
        <f aca="false">Base_Semanal!N19</f>
        <v>0</v>
      </c>
      <c r="T19" s="36" t="n">
        <f aca="false">Base_Semanal!O19</f>
        <v>0</v>
      </c>
      <c r="U19" s="37" t="str">
        <f aca="false">IF(Base_Semanal!P19=0,"",Base_Semanal!Q19/Base_Semanal!P19)</f>
        <v/>
      </c>
      <c r="V19" s="37" t="str">
        <f aca="false">IF(Base_Semanal!R19=0,"",Base_Semanal!S19/Base_Semanal!R19)</f>
        <v/>
      </c>
      <c r="W19" s="37" t="str">
        <f aca="false">IF(Base_Semanal!P19+Base_Semanal!R19=0,"",(Base_Semanal!Q19+Base_Semanal!S19)/(Base_Semanal!P19+Base_Semanal!R19))</f>
        <v/>
      </c>
      <c r="X19" s="38" t="n">
        <f aca="false">Base_Semanal!T19</f>
        <v>0</v>
      </c>
      <c r="Y19" s="38" t="n">
        <f aca="false">Base_Semanal!U19</f>
        <v>0</v>
      </c>
      <c r="Z19" s="38" t="n">
        <f aca="false">Base_Semanal!V19</f>
        <v>0</v>
      </c>
      <c r="AA19" s="38" t="n">
        <f aca="false">Base_Semanal!W19</f>
        <v>0</v>
      </c>
      <c r="AB19" s="36" t="n">
        <f aca="false">COUNTIFS(Contratos!$B$4:$B$503,$A19,Contratos!$E$4:$E$503,"Avaliação")</f>
        <v>0</v>
      </c>
      <c r="AC19" s="39" t="n">
        <f aca="false">SUMIFS(Contratos!$I$4:$I$503,Contratos!$B$4:$B$503,$A19,Contratos!$E$4:$E$503,"Avaliação")</f>
        <v>0</v>
      </c>
      <c r="AD19" s="36" t="n">
        <f aca="false">COUNTIFS(Contratos!$B$4:$B$503,$A19,Contratos!$E$4:$E$503,"Protocolo")</f>
        <v>0</v>
      </c>
      <c r="AE19" s="39" t="n">
        <f aca="false">SUMIFS(Contratos!$I$4:$I$503,Contratos!$B$4:$B$503,$A19,Contratos!$E$4:$E$503,"Protocolo")</f>
        <v>0</v>
      </c>
      <c r="AF19" s="39" t="n">
        <f aca="false">AC19+AE19</f>
        <v>0</v>
      </c>
      <c r="AG19" s="36" t="n">
        <f aca="false">COUNTIFS(Contratos!$B$4:$B$503,$A19,Contratos!$J$4:$J$503,"À vista")</f>
        <v>0</v>
      </c>
      <c r="AH19" s="36" t="n">
        <f aca="false">COUNTIFS(Contratos!$B$4:$B$503,$A19,Contratos!$J$4:$J$503,"Parcelado")</f>
        <v>0</v>
      </c>
      <c r="AI19" s="39" t="n">
        <f aca="false">SUMIFS(Financeiro!$G$4:$G$503,Financeiro!$B$4:$B$503,$A19,Financeiro!$D$4:$D$503,"Receita",Financeiro!$H$4:$H$503,"&lt;&gt;Cancelado")</f>
        <v>0</v>
      </c>
      <c r="AJ19" s="39" t="n">
        <f aca="false">SUMIFS(Financeiro!$G$4:$G$503,Financeiro!$B$4:$B$503,$A19,Financeiro!$D$4:$D$503,"Gasto",Financeiro!$H$4:$H$503,"&lt;&gt;Cancelado")</f>
        <v>0</v>
      </c>
      <c r="AK19" s="39" t="n">
        <f aca="false">SUMIFS(Financeiro!$G$4:$G$503,Financeiro!$B$4:$B$503,$A19,Financeiro!$D$4:$D$503,"Imposto",Financeiro!$H$4:$H$503,"&lt;&gt;Cancelado")</f>
        <v>0</v>
      </c>
      <c r="AL19" s="39" t="n">
        <f aca="false">SUMIFS(Financeiro!$G$4:$G$503,Financeiro!$B$4:$B$503,$A19,Financeiro!$D$4:$D$503,"Marketing",Financeiro!$H$4:$H$503,"&lt;&gt;Cancelado")</f>
        <v>0</v>
      </c>
      <c r="AM19" s="39" t="n">
        <f aca="false">AI19-AJ19-AK19-AL19</f>
        <v>0</v>
      </c>
      <c r="AN19" s="37" t="n">
        <f aca="false">IF(Config!$B$16=0,"",AI19/Config!$B$16)</f>
        <v>0</v>
      </c>
      <c r="AO19" s="37" t="n">
        <f aca="false">IF(Config!$B$17=0,"",AJ19/Config!$B$17)</f>
        <v>0</v>
      </c>
      <c r="AP19" s="39" t="str">
        <f aca="false">IF(T19=0,"",AL19/T19)</f>
        <v/>
      </c>
      <c r="AQ19" s="39" t="n">
        <f aca="false">SUMIFS($AI$4:$AI$107,$D$4:$D$107,$D19,$B$4:$B$107,"&lt;="&amp;$B19)</f>
        <v>0</v>
      </c>
      <c r="AR19" s="39" t="n">
        <f aca="false">SUMIFS($AJ$4:$AJ$107,$D$4:$D$107,$D19,$B$4:$B$107,"&lt;="&amp;$B19)</f>
        <v>0</v>
      </c>
      <c r="AS19" s="36" t="n">
        <f aca="false">SUMIFS(Leads_Canal!$C$4:$C$503,Leads_Canal!$A$4:$A$503,$A19)</f>
        <v>0</v>
      </c>
      <c r="AT19" s="17" t="str">
        <f aca="false">IF(E19=0,"",IF(E19=AR19,"OK","Divergente"))</f>
        <v/>
      </c>
      <c r="AU19" s="17" t="str">
        <f aca="false">IF(N19=0,"",IF(N19=AD19,"OK","Divergente"))</f>
        <v/>
      </c>
    </row>
    <row r="20" customFormat="false" ht="15" hidden="false" customHeight="false" outlineLevel="0" collapsed="false">
      <c r="A20" s="17" t="str">
        <f aca="false">Base_Semanal!A20</f>
        <v>2026-S18</v>
      </c>
      <c r="B20" s="30" t="n">
        <f aca="false">Base_Semanal!B20</f>
        <v>46139</v>
      </c>
      <c r="C20" s="30" t="n">
        <f aca="false">Base_Semanal!C20</f>
        <v>46145</v>
      </c>
      <c r="D20" s="17" t="str">
        <f aca="false">Base_Semanal!D20</f>
        <v>2026-04</v>
      </c>
      <c r="E20" s="36" t="n">
        <f aca="false">Base_Semanal!E20</f>
        <v>0</v>
      </c>
      <c r="F20" s="36" t="n">
        <f aca="false">Base_Semanal!F20</f>
        <v>0</v>
      </c>
      <c r="G20" s="36" t="n">
        <f aca="false">Base_Semanal!G20</f>
        <v>0</v>
      </c>
      <c r="H20" s="36" t="n">
        <f aca="false">Base_Semanal!H20</f>
        <v>0</v>
      </c>
      <c r="I20" s="36" t="n">
        <f aca="false">Base_Semanal!I20</f>
        <v>0</v>
      </c>
      <c r="J20" s="36" t="n">
        <f aca="false">H20+I20</f>
        <v>0</v>
      </c>
      <c r="K20" s="37" t="str">
        <f aca="false">IF(F20=0,"",G20/F20)</f>
        <v/>
      </c>
      <c r="L20" s="36" t="n">
        <f aca="false">Base_Semanal!J20</f>
        <v>0</v>
      </c>
      <c r="M20" s="36" t="n">
        <f aca="false">Base_Semanal!K20</f>
        <v>0</v>
      </c>
      <c r="N20" s="36" t="n">
        <f aca="false">L20+M20</f>
        <v>0</v>
      </c>
      <c r="O20" s="37" t="str">
        <f aca="false">IF(J20=0,"",N20/J20)</f>
        <v/>
      </c>
      <c r="P20" s="36" t="n">
        <f aca="false">Base_Semanal!L20</f>
        <v>0</v>
      </c>
      <c r="Q20" s="36" t="n">
        <f aca="false">Base_Semanal!M20</f>
        <v>0</v>
      </c>
      <c r="R20" s="36" t="n">
        <f aca="false">P20+Q20</f>
        <v>0</v>
      </c>
      <c r="S20" s="36" t="n">
        <f aca="false">Base_Semanal!N20</f>
        <v>0</v>
      </c>
      <c r="T20" s="36" t="n">
        <f aca="false">Base_Semanal!O20</f>
        <v>0</v>
      </c>
      <c r="U20" s="37" t="str">
        <f aca="false">IF(Base_Semanal!P20=0,"",Base_Semanal!Q20/Base_Semanal!P20)</f>
        <v/>
      </c>
      <c r="V20" s="37" t="str">
        <f aca="false">IF(Base_Semanal!R20=0,"",Base_Semanal!S20/Base_Semanal!R20)</f>
        <v/>
      </c>
      <c r="W20" s="37" t="str">
        <f aca="false">IF(Base_Semanal!P20+Base_Semanal!R20=0,"",(Base_Semanal!Q20+Base_Semanal!S20)/(Base_Semanal!P20+Base_Semanal!R20))</f>
        <v/>
      </c>
      <c r="X20" s="38" t="n">
        <f aca="false">Base_Semanal!T20</f>
        <v>0</v>
      </c>
      <c r="Y20" s="38" t="n">
        <f aca="false">Base_Semanal!U20</f>
        <v>0</v>
      </c>
      <c r="Z20" s="38" t="n">
        <f aca="false">Base_Semanal!V20</f>
        <v>0</v>
      </c>
      <c r="AA20" s="38" t="n">
        <f aca="false">Base_Semanal!W20</f>
        <v>0</v>
      </c>
      <c r="AB20" s="36" t="n">
        <f aca="false">COUNTIFS(Contratos!$B$4:$B$503,$A20,Contratos!$E$4:$E$503,"Avaliação")</f>
        <v>0</v>
      </c>
      <c r="AC20" s="39" t="n">
        <f aca="false">SUMIFS(Contratos!$I$4:$I$503,Contratos!$B$4:$B$503,$A20,Contratos!$E$4:$E$503,"Avaliação")</f>
        <v>0</v>
      </c>
      <c r="AD20" s="36" t="n">
        <f aca="false">COUNTIFS(Contratos!$B$4:$B$503,$A20,Contratos!$E$4:$E$503,"Protocolo")</f>
        <v>0</v>
      </c>
      <c r="AE20" s="39" t="n">
        <f aca="false">SUMIFS(Contratos!$I$4:$I$503,Contratos!$B$4:$B$503,$A20,Contratos!$E$4:$E$503,"Protocolo")</f>
        <v>0</v>
      </c>
      <c r="AF20" s="39" t="n">
        <f aca="false">AC20+AE20</f>
        <v>0</v>
      </c>
      <c r="AG20" s="36" t="n">
        <f aca="false">COUNTIFS(Contratos!$B$4:$B$503,$A20,Contratos!$J$4:$J$503,"À vista")</f>
        <v>0</v>
      </c>
      <c r="AH20" s="36" t="n">
        <f aca="false">COUNTIFS(Contratos!$B$4:$B$503,$A20,Contratos!$J$4:$J$503,"Parcelado")</f>
        <v>0</v>
      </c>
      <c r="AI20" s="39" t="n">
        <f aca="false">SUMIFS(Financeiro!$G$4:$G$503,Financeiro!$B$4:$B$503,$A20,Financeiro!$D$4:$D$503,"Receita",Financeiro!$H$4:$H$503,"&lt;&gt;Cancelado")</f>
        <v>0</v>
      </c>
      <c r="AJ20" s="39" t="n">
        <f aca="false">SUMIFS(Financeiro!$G$4:$G$503,Financeiro!$B$4:$B$503,$A20,Financeiro!$D$4:$D$503,"Gasto",Financeiro!$H$4:$H$503,"&lt;&gt;Cancelado")</f>
        <v>0</v>
      </c>
      <c r="AK20" s="39" t="n">
        <f aca="false">SUMIFS(Financeiro!$G$4:$G$503,Financeiro!$B$4:$B$503,$A20,Financeiro!$D$4:$D$503,"Imposto",Financeiro!$H$4:$H$503,"&lt;&gt;Cancelado")</f>
        <v>0</v>
      </c>
      <c r="AL20" s="39" t="n">
        <f aca="false">SUMIFS(Financeiro!$G$4:$G$503,Financeiro!$B$4:$B$503,$A20,Financeiro!$D$4:$D$503,"Marketing",Financeiro!$H$4:$H$503,"&lt;&gt;Cancelado")</f>
        <v>0</v>
      </c>
      <c r="AM20" s="39" t="n">
        <f aca="false">AI20-AJ20-AK20-AL20</f>
        <v>0</v>
      </c>
      <c r="AN20" s="37" t="n">
        <f aca="false">IF(Config!$B$16=0,"",AI20/Config!$B$16)</f>
        <v>0</v>
      </c>
      <c r="AO20" s="37" t="n">
        <f aca="false">IF(Config!$B$17=0,"",AJ20/Config!$B$17)</f>
        <v>0</v>
      </c>
      <c r="AP20" s="39" t="str">
        <f aca="false">IF(T20=0,"",AL20/T20)</f>
        <v/>
      </c>
      <c r="AQ20" s="39" t="n">
        <f aca="false">SUMIFS($AI$4:$AI$107,$D$4:$D$107,$D20,$B$4:$B$107,"&lt;="&amp;$B20)</f>
        <v>0</v>
      </c>
      <c r="AR20" s="39" t="n">
        <f aca="false">SUMIFS($AJ$4:$AJ$107,$D$4:$D$107,$D20,$B$4:$B$107,"&lt;="&amp;$B20)</f>
        <v>0</v>
      </c>
      <c r="AS20" s="36" t="n">
        <f aca="false">SUMIFS(Leads_Canal!$C$4:$C$503,Leads_Canal!$A$4:$A$503,$A20)</f>
        <v>0</v>
      </c>
      <c r="AT20" s="17" t="str">
        <f aca="false">IF(E20=0,"",IF(E20=AR20,"OK","Divergente"))</f>
        <v/>
      </c>
      <c r="AU20" s="17" t="str">
        <f aca="false">IF(N20=0,"",IF(N20=AD20,"OK","Divergente"))</f>
        <v/>
      </c>
    </row>
    <row r="21" customFormat="false" ht="15" hidden="false" customHeight="false" outlineLevel="0" collapsed="false">
      <c r="A21" s="17" t="str">
        <f aca="false">Base_Semanal!A21</f>
        <v>2026-S19</v>
      </c>
      <c r="B21" s="30" t="n">
        <f aca="false">Base_Semanal!B21</f>
        <v>46146</v>
      </c>
      <c r="C21" s="30" t="n">
        <f aca="false">Base_Semanal!C21</f>
        <v>46152</v>
      </c>
      <c r="D21" s="17" t="str">
        <f aca="false">Base_Semanal!D21</f>
        <v>2026-05</v>
      </c>
      <c r="E21" s="36" t="n">
        <f aca="false">Base_Semanal!E21</f>
        <v>0</v>
      </c>
      <c r="F21" s="36" t="n">
        <f aca="false">Base_Semanal!F21</f>
        <v>0</v>
      </c>
      <c r="G21" s="36" t="n">
        <f aca="false">Base_Semanal!G21</f>
        <v>0</v>
      </c>
      <c r="H21" s="36" t="n">
        <f aca="false">Base_Semanal!H21</f>
        <v>0</v>
      </c>
      <c r="I21" s="36" t="n">
        <f aca="false">Base_Semanal!I21</f>
        <v>0</v>
      </c>
      <c r="J21" s="36" t="n">
        <f aca="false">H21+I21</f>
        <v>0</v>
      </c>
      <c r="K21" s="37" t="str">
        <f aca="false">IF(F21=0,"",G21/F21)</f>
        <v/>
      </c>
      <c r="L21" s="36" t="n">
        <f aca="false">Base_Semanal!J21</f>
        <v>0</v>
      </c>
      <c r="M21" s="36" t="n">
        <f aca="false">Base_Semanal!K21</f>
        <v>0</v>
      </c>
      <c r="N21" s="36" t="n">
        <f aca="false">L21+M21</f>
        <v>0</v>
      </c>
      <c r="O21" s="37" t="str">
        <f aca="false">IF(J21=0,"",N21/J21)</f>
        <v/>
      </c>
      <c r="P21" s="36" t="n">
        <f aca="false">Base_Semanal!L21</f>
        <v>0</v>
      </c>
      <c r="Q21" s="36" t="n">
        <f aca="false">Base_Semanal!M21</f>
        <v>0</v>
      </c>
      <c r="R21" s="36" t="n">
        <f aca="false">P21+Q21</f>
        <v>0</v>
      </c>
      <c r="S21" s="36" t="n">
        <f aca="false">Base_Semanal!N21</f>
        <v>0</v>
      </c>
      <c r="T21" s="36" t="n">
        <f aca="false">Base_Semanal!O21</f>
        <v>0</v>
      </c>
      <c r="U21" s="37" t="str">
        <f aca="false">IF(Base_Semanal!P21=0,"",Base_Semanal!Q21/Base_Semanal!P21)</f>
        <v/>
      </c>
      <c r="V21" s="37" t="str">
        <f aca="false">IF(Base_Semanal!R21=0,"",Base_Semanal!S21/Base_Semanal!R21)</f>
        <v/>
      </c>
      <c r="W21" s="37" t="str">
        <f aca="false">IF(Base_Semanal!P21+Base_Semanal!R21=0,"",(Base_Semanal!Q21+Base_Semanal!S21)/(Base_Semanal!P21+Base_Semanal!R21))</f>
        <v/>
      </c>
      <c r="X21" s="38" t="n">
        <f aca="false">Base_Semanal!T21</f>
        <v>0</v>
      </c>
      <c r="Y21" s="38" t="n">
        <f aca="false">Base_Semanal!U21</f>
        <v>0</v>
      </c>
      <c r="Z21" s="38" t="n">
        <f aca="false">Base_Semanal!V21</f>
        <v>0</v>
      </c>
      <c r="AA21" s="38" t="n">
        <f aca="false">Base_Semanal!W21</f>
        <v>0</v>
      </c>
      <c r="AB21" s="36" t="n">
        <f aca="false">COUNTIFS(Contratos!$B$4:$B$503,$A21,Contratos!$E$4:$E$503,"Avaliação")</f>
        <v>0</v>
      </c>
      <c r="AC21" s="39" t="n">
        <f aca="false">SUMIFS(Contratos!$I$4:$I$503,Contratos!$B$4:$B$503,$A21,Contratos!$E$4:$E$503,"Avaliação")</f>
        <v>0</v>
      </c>
      <c r="AD21" s="36" t="n">
        <f aca="false">COUNTIFS(Contratos!$B$4:$B$503,$A21,Contratos!$E$4:$E$503,"Protocolo")</f>
        <v>0</v>
      </c>
      <c r="AE21" s="39" t="n">
        <f aca="false">SUMIFS(Contratos!$I$4:$I$503,Contratos!$B$4:$B$503,$A21,Contratos!$E$4:$E$503,"Protocolo")</f>
        <v>0</v>
      </c>
      <c r="AF21" s="39" t="n">
        <f aca="false">AC21+AE21</f>
        <v>0</v>
      </c>
      <c r="AG21" s="36" t="n">
        <f aca="false">COUNTIFS(Contratos!$B$4:$B$503,$A21,Contratos!$J$4:$J$503,"À vista")</f>
        <v>0</v>
      </c>
      <c r="AH21" s="36" t="n">
        <f aca="false">COUNTIFS(Contratos!$B$4:$B$503,$A21,Contratos!$J$4:$J$503,"Parcelado")</f>
        <v>0</v>
      </c>
      <c r="AI21" s="39" t="n">
        <f aca="false">SUMIFS(Financeiro!$G$4:$G$503,Financeiro!$B$4:$B$503,$A21,Financeiro!$D$4:$D$503,"Receita",Financeiro!$H$4:$H$503,"&lt;&gt;Cancelado")</f>
        <v>0</v>
      </c>
      <c r="AJ21" s="39" t="n">
        <f aca="false">SUMIFS(Financeiro!$G$4:$G$503,Financeiro!$B$4:$B$503,$A21,Financeiro!$D$4:$D$503,"Gasto",Financeiro!$H$4:$H$503,"&lt;&gt;Cancelado")</f>
        <v>0</v>
      </c>
      <c r="AK21" s="39" t="n">
        <f aca="false">SUMIFS(Financeiro!$G$4:$G$503,Financeiro!$B$4:$B$503,$A21,Financeiro!$D$4:$D$503,"Imposto",Financeiro!$H$4:$H$503,"&lt;&gt;Cancelado")</f>
        <v>0</v>
      </c>
      <c r="AL21" s="39" t="n">
        <f aca="false">SUMIFS(Financeiro!$G$4:$G$503,Financeiro!$B$4:$B$503,$A21,Financeiro!$D$4:$D$503,"Marketing",Financeiro!$H$4:$H$503,"&lt;&gt;Cancelado")</f>
        <v>0</v>
      </c>
      <c r="AM21" s="39" t="n">
        <f aca="false">AI21-AJ21-AK21-AL21</f>
        <v>0</v>
      </c>
      <c r="AN21" s="37" t="n">
        <f aca="false">IF(Config!$B$16=0,"",AI21/Config!$B$16)</f>
        <v>0</v>
      </c>
      <c r="AO21" s="37" t="n">
        <f aca="false">IF(Config!$B$17=0,"",AJ21/Config!$B$17)</f>
        <v>0</v>
      </c>
      <c r="AP21" s="39" t="str">
        <f aca="false">IF(T21=0,"",AL21/T21)</f>
        <v/>
      </c>
      <c r="AQ21" s="39" t="n">
        <f aca="false">SUMIFS($AI$4:$AI$107,$D$4:$D$107,$D21,$B$4:$B$107,"&lt;="&amp;$B21)</f>
        <v>0</v>
      </c>
      <c r="AR21" s="39" t="n">
        <f aca="false">SUMIFS($AJ$4:$AJ$107,$D$4:$D$107,$D21,$B$4:$B$107,"&lt;="&amp;$B21)</f>
        <v>0</v>
      </c>
      <c r="AS21" s="36" t="n">
        <f aca="false">SUMIFS(Leads_Canal!$C$4:$C$503,Leads_Canal!$A$4:$A$503,$A21)</f>
        <v>0</v>
      </c>
      <c r="AT21" s="17" t="str">
        <f aca="false">IF(E21=0,"",IF(E21=AR21,"OK","Divergente"))</f>
        <v/>
      </c>
      <c r="AU21" s="17" t="str">
        <f aca="false">IF(N21=0,"",IF(N21=AD21,"OK","Divergente"))</f>
        <v/>
      </c>
    </row>
    <row r="22" customFormat="false" ht="15" hidden="false" customHeight="false" outlineLevel="0" collapsed="false">
      <c r="A22" s="17" t="str">
        <f aca="false">Base_Semanal!A22</f>
        <v>2026-S20</v>
      </c>
      <c r="B22" s="30" t="n">
        <f aca="false">Base_Semanal!B22</f>
        <v>46153</v>
      </c>
      <c r="C22" s="30" t="n">
        <f aca="false">Base_Semanal!C22</f>
        <v>46159</v>
      </c>
      <c r="D22" s="17" t="str">
        <f aca="false">Base_Semanal!D22</f>
        <v>2026-05</v>
      </c>
      <c r="E22" s="36" t="n">
        <f aca="false">Base_Semanal!E22</f>
        <v>0</v>
      </c>
      <c r="F22" s="36" t="n">
        <f aca="false">Base_Semanal!F22</f>
        <v>0</v>
      </c>
      <c r="G22" s="36" t="n">
        <f aca="false">Base_Semanal!G22</f>
        <v>0</v>
      </c>
      <c r="H22" s="36" t="n">
        <f aca="false">Base_Semanal!H22</f>
        <v>0</v>
      </c>
      <c r="I22" s="36" t="n">
        <f aca="false">Base_Semanal!I22</f>
        <v>0</v>
      </c>
      <c r="J22" s="36" t="n">
        <f aca="false">H22+I22</f>
        <v>0</v>
      </c>
      <c r="K22" s="37" t="str">
        <f aca="false">IF(F22=0,"",G22/F22)</f>
        <v/>
      </c>
      <c r="L22" s="36" t="n">
        <f aca="false">Base_Semanal!J22</f>
        <v>0</v>
      </c>
      <c r="M22" s="36" t="n">
        <f aca="false">Base_Semanal!K22</f>
        <v>0</v>
      </c>
      <c r="N22" s="36" t="n">
        <f aca="false">L22+M22</f>
        <v>0</v>
      </c>
      <c r="O22" s="37" t="str">
        <f aca="false">IF(J22=0,"",N22/J22)</f>
        <v/>
      </c>
      <c r="P22" s="36" t="n">
        <f aca="false">Base_Semanal!L22</f>
        <v>0</v>
      </c>
      <c r="Q22" s="36" t="n">
        <f aca="false">Base_Semanal!M22</f>
        <v>0</v>
      </c>
      <c r="R22" s="36" t="n">
        <f aca="false">P22+Q22</f>
        <v>0</v>
      </c>
      <c r="S22" s="36" t="n">
        <f aca="false">Base_Semanal!N22</f>
        <v>0</v>
      </c>
      <c r="T22" s="36" t="n">
        <f aca="false">Base_Semanal!O22</f>
        <v>0</v>
      </c>
      <c r="U22" s="37" t="str">
        <f aca="false">IF(Base_Semanal!P22=0,"",Base_Semanal!Q22/Base_Semanal!P22)</f>
        <v/>
      </c>
      <c r="V22" s="37" t="str">
        <f aca="false">IF(Base_Semanal!R22=0,"",Base_Semanal!S22/Base_Semanal!R22)</f>
        <v/>
      </c>
      <c r="W22" s="37" t="str">
        <f aca="false">IF(Base_Semanal!P22+Base_Semanal!R22=0,"",(Base_Semanal!Q22+Base_Semanal!S22)/(Base_Semanal!P22+Base_Semanal!R22))</f>
        <v/>
      </c>
      <c r="X22" s="38" t="n">
        <f aca="false">Base_Semanal!T22</f>
        <v>0</v>
      </c>
      <c r="Y22" s="38" t="n">
        <f aca="false">Base_Semanal!U22</f>
        <v>0</v>
      </c>
      <c r="Z22" s="38" t="n">
        <f aca="false">Base_Semanal!V22</f>
        <v>0</v>
      </c>
      <c r="AA22" s="38" t="n">
        <f aca="false">Base_Semanal!W22</f>
        <v>0</v>
      </c>
      <c r="AB22" s="36" t="n">
        <f aca="false">COUNTIFS(Contratos!$B$4:$B$503,$A22,Contratos!$E$4:$E$503,"Avaliação")</f>
        <v>0</v>
      </c>
      <c r="AC22" s="39" t="n">
        <f aca="false">SUMIFS(Contratos!$I$4:$I$503,Contratos!$B$4:$B$503,$A22,Contratos!$E$4:$E$503,"Avaliação")</f>
        <v>0</v>
      </c>
      <c r="AD22" s="36" t="n">
        <f aca="false">COUNTIFS(Contratos!$B$4:$B$503,$A22,Contratos!$E$4:$E$503,"Protocolo")</f>
        <v>0</v>
      </c>
      <c r="AE22" s="39" t="n">
        <f aca="false">SUMIFS(Contratos!$I$4:$I$503,Contratos!$B$4:$B$503,$A22,Contratos!$E$4:$E$503,"Protocolo")</f>
        <v>0</v>
      </c>
      <c r="AF22" s="39" t="n">
        <f aca="false">AC22+AE22</f>
        <v>0</v>
      </c>
      <c r="AG22" s="36" t="n">
        <f aca="false">COUNTIFS(Contratos!$B$4:$B$503,$A22,Contratos!$J$4:$J$503,"À vista")</f>
        <v>0</v>
      </c>
      <c r="AH22" s="36" t="n">
        <f aca="false">COUNTIFS(Contratos!$B$4:$B$503,$A22,Contratos!$J$4:$J$503,"Parcelado")</f>
        <v>0</v>
      </c>
      <c r="AI22" s="39" t="n">
        <f aca="false">SUMIFS(Financeiro!$G$4:$G$503,Financeiro!$B$4:$B$503,$A22,Financeiro!$D$4:$D$503,"Receita",Financeiro!$H$4:$H$503,"&lt;&gt;Cancelado")</f>
        <v>0</v>
      </c>
      <c r="AJ22" s="39" t="n">
        <f aca="false">SUMIFS(Financeiro!$G$4:$G$503,Financeiro!$B$4:$B$503,$A22,Financeiro!$D$4:$D$503,"Gasto",Financeiro!$H$4:$H$503,"&lt;&gt;Cancelado")</f>
        <v>0</v>
      </c>
      <c r="AK22" s="39" t="n">
        <f aca="false">SUMIFS(Financeiro!$G$4:$G$503,Financeiro!$B$4:$B$503,$A22,Financeiro!$D$4:$D$503,"Imposto",Financeiro!$H$4:$H$503,"&lt;&gt;Cancelado")</f>
        <v>0</v>
      </c>
      <c r="AL22" s="39" t="n">
        <f aca="false">SUMIFS(Financeiro!$G$4:$G$503,Financeiro!$B$4:$B$503,$A22,Financeiro!$D$4:$D$503,"Marketing",Financeiro!$H$4:$H$503,"&lt;&gt;Cancelado")</f>
        <v>0</v>
      </c>
      <c r="AM22" s="39" t="n">
        <f aca="false">AI22-AJ22-AK22-AL22</f>
        <v>0</v>
      </c>
      <c r="AN22" s="37" t="n">
        <f aca="false">IF(Config!$B$16=0,"",AI22/Config!$B$16)</f>
        <v>0</v>
      </c>
      <c r="AO22" s="37" t="n">
        <f aca="false">IF(Config!$B$17=0,"",AJ22/Config!$B$17)</f>
        <v>0</v>
      </c>
      <c r="AP22" s="39" t="str">
        <f aca="false">IF(T22=0,"",AL22/T22)</f>
        <v/>
      </c>
      <c r="AQ22" s="39" t="n">
        <f aca="false">SUMIFS($AI$4:$AI$107,$D$4:$D$107,$D22,$B$4:$B$107,"&lt;="&amp;$B22)</f>
        <v>0</v>
      </c>
      <c r="AR22" s="39" t="n">
        <f aca="false">SUMIFS($AJ$4:$AJ$107,$D$4:$D$107,$D22,$B$4:$B$107,"&lt;="&amp;$B22)</f>
        <v>0</v>
      </c>
      <c r="AS22" s="36" t="n">
        <f aca="false">SUMIFS(Leads_Canal!$C$4:$C$503,Leads_Canal!$A$4:$A$503,$A22)</f>
        <v>0</v>
      </c>
      <c r="AT22" s="17" t="str">
        <f aca="false">IF(E22=0,"",IF(E22=AR22,"OK","Divergente"))</f>
        <v/>
      </c>
      <c r="AU22" s="17" t="str">
        <f aca="false">IF(N22=0,"",IF(N22=AD22,"OK","Divergente"))</f>
        <v/>
      </c>
    </row>
    <row r="23" customFormat="false" ht="15" hidden="false" customHeight="false" outlineLevel="0" collapsed="false">
      <c r="A23" s="17" t="str">
        <f aca="false">Base_Semanal!A23</f>
        <v>2026-S21</v>
      </c>
      <c r="B23" s="30" t="n">
        <f aca="false">Base_Semanal!B23</f>
        <v>46160</v>
      </c>
      <c r="C23" s="30" t="n">
        <f aca="false">Base_Semanal!C23</f>
        <v>46166</v>
      </c>
      <c r="D23" s="17" t="str">
        <f aca="false">Base_Semanal!D23</f>
        <v>2026-05</v>
      </c>
      <c r="E23" s="36" t="n">
        <f aca="false">Base_Semanal!E23</f>
        <v>0</v>
      </c>
      <c r="F23" s="36" t="n">
        <f aca="false">Base_Semanal!F23</f>
        <v>0</v>
      </c>
      <c r="G23" s="36" t="n">
        <f aca="false">Base_Semanal!G23</f>
        <v>0</v>
      </c>
      <c r="H23" s="36" t="n">
        <f aca="false">Base_Semanal!H23</f>
        <v>0</v>
      </c>
      <c r="I23" s="36" t="n">
        <f aca="false">Base_Semanal!I23</f>
        <v>0</v>
      </c>
      <c r="J23" s="36" t="n">
        <f aca="false">H23+I23</f>
        <v>0</v>
      </c>
      <c r="K23" s="37" t="str">
        <f aca="false">IF(F23=0,"",G23/F23)</f>
        <v/>
      </c>
      <c r="L23" s="36" t="n">
        <f aca="false">Base_Semanal!J23</f>
        <v>0</v>
      </c>
      <c r="M23" s="36" t="n">
        <f aca="false">Base_Semanal!K23</f>
        <v>0</v>
      </c>
      <c r="N23" s="36" t="n">
        <f aca="false">L23+M23</f>
        <v>0</v>
      </c>
      <c r="O23" s="37" t="str">
        <f aca="false">IF(J23=0,"",N23/J23)</f>
        <v/>
      </c>
      <c r="P23" s="36" t="n">
        <f aca="false">Base_Semanal!L23</f>
        <v>0</v>
      </c>
      <c r="Q23" s="36" t="n">
        <f aca="false">Base_Semanal!M23</f>
        <v>0</v>
      </c>
      <c r="R23" s="36" t="n">
        <f aca="false">P23+Q23</f>
        <v>0</v>
      </c>
      <c r="S23" s="36" t="n">
        <f aca="false">Base_Semanal!N23</f>
        <v>0</v>
      </c>
      <c r="T23" s="36" t="n">
        <f aca="false">Base_Semanal!O23</f>
        <v>0</v>
      </c>
      <c r="U23" s="37" t="str">
        <f aca="false">IF(Base_Semanal!P23=0,"",Base_Semanal!Q23/Base_Semanal!P23)</f>
        <v/>
      </c>
      <c r="V23" s="37" t="str">
        <f aca="false">IF(Base_Semanal!R23=0,"",Base_Semanal!S23/Base_Semanal!R23)</f>
        <v/>
      </c>
      <c r="W23" s="37" t="str">
        <f aca="false">IF(Base_Semanal!P23+Base_Semanal!R23=0,"",(Base_Semanal!Q23+Base_Semanal!S23)/(Base_Semanal!P23+Base_Semanal!R23))</f>
        <v/>
      </c>
      <c r="X23" s="38" t="n">
        <f aca="false">Base_Semanal!T23</f>
        <v>0</v>
      </c>
      <c r="Y23" s="38" t="n">
        <f aca="false">Base_Semanal!U23</f>
        <v>0</v>
      </c>
      <c r="Z23" s="38" t="n">
        <f aca="false">Base_Semanal!V23</f>
        <v>0</v>
      </c>
      <c r="AA23" s="38" t="n">
        <f aca="false">Base_Semanal!W23</f>
        <v>0</v>
      </c>
      <c r="AB23" s="36" t="n">
        <f aca="false">COUNTIFS(Contratos!$B$4:$B$503,$A23,Contratos!$E$4:$E$503,"Avaliação")</f>
        <v>0</v>
      </c>
      <c r="AC23" s="39" t="n">
        <f aca="false">SUMIFS(Contratos!$I$4:$I$503,Contratos!$B$4:$B$503,$A23,Contratos!$E$4:$E$503,"Avaliação")</f>
        <v>0</v>
      </c>
      <c r="AD23" s="36" t="n">
        <f aca="false">COUNTIFS(Contratos!$B$4:$B$503,$A23,Contratos!$E$4:$E$503,"Protocolo")</f>
        <v>0</v>
      </c>
      <c r="AE23" s="39" t="n">
        <f aca="false">SUMIFS(Contratos!$I$4:$I$503,Contratos!$B$4:$B$503,$A23,Contratos!$E$4:$E$503,"Protocolo")</f>
        <v>0</v>
      </c>
      <c r="AF23" s="39" t="n">
        <f aca="false">AC23+AE23</f>
        <v>0</v>
      </c>
      <c r="AG23" s="36" t="n">
        <f aca="false">COUNTIFS(Contratos!$B$4:$B$503,$A23,Contratos!$J$4:$J$503,"À vista")</f>
        <v>0</v>
      </c>
      <c r="AH23" s="36" t="n">
        <f aca="false">COUNTIFS(Contratos!$B$4:$B$503,$A23,Contratos!$J$4:$J$503,"Parcelado")</f>
        <v>0</v>
      </c>
      <c r="AI23" s="39" t="n">
        <f aca="false">SUMIFS(Financeiro!$G$4:$G$503,Financeiro!$B$4:$B$503,$A23,Financeiro!$D$4:$D$503,"Receita",Financeiro!$H$4:$H$503,"&lt;&gt;Cancelado")</f>
        <v>0</v>
      </c>
      <c r="AJ23" s="39" t="n">
        <f aca="false">SUMIFS(Financeiro!$G$4:$G$503,Financeiro!$B$4:$B$503,$A23,Financeiro!$D$4:$D$503,"Gasto",Financeiro!$H$4:$H$503,"&lt;&gt;Cancelado")</f>
        <v>0</v>
      </c>
      <c r="AK23" s="39" t="n">
        <f aca="false">SUMIFS(Financeiro!$G$4:$G$503,Financeiro!$B$4:$B$503,$A23,Financeiro!$D$4:$D$503,"Imposto",Financeiro!$H$4:$H$503,"&lt;&gt;Cancelado")</f>
        <v>0</v>
      </c>
      <c r="AL23" s="39" t="n">
        <f aca="false">SUMIFS(Financeiro!$G$4:$G$503,Financeiro!$B$4:$B$503,$A23,Financeiro!$D$4:$D$503,"Marketing",Financeiro!$H$4:$H$503,"&lt;&gt;Cancelado")</f>
        <v>0</v>
      </c>
      <c r="AM23" s="39" t="n">
        <f aca="false">AI23-AJ23-AK23-AL23</f>
        <v>0</v>
      </c>
      <c r="AN23" s="37" t="n">
        <f aca="false">IF(Config!$B$16=0,"",AI23/Config!$B$16)</f>
        <v>0</v>
      </c>
      <c r="AO23" s="37" t="n">
        <f aca="false">IF(Config!$B$17=0,"",AJ23/Config!$B$17)</f>
        <v>0</v>
      </c>
      <c r="AP23" s="39" t="str">
        <f aca="false">IF(T23=0,"",AL23/T23)</f>
        <v/>
      </c>
      <c r="AQ23" s="39" t="n">
        <f aca="false">SUMIFS($AI$4:$AI$107,$D$4:$D$107,$D23,$B$4:$B$107,"&lt;="&amp;$B23)</f>
        <v>0</v>
      </c>
      <c r="AR23" s="39" t="n">
        <f aca="false">SUMIFS($AJ$4:$AJ$107,$D$4:$D$107,$D23,$B$4:$B$107,"&lt;="&amp;$B23)</f>
        <v>0</v>
      </c>
      <c r="AS23" s="36" t="n">
        <f aca="false">SUMIFS(Leads_Canal!$C$4:$C$503,Leads_Canal!$A$4:$A$503,$A23)</f>
        <v>0</v>
      </c>
      <c r="AT23" s="17" t="str">
        <f aca="false">IF(E23=0,"",IF(E23=AR23,"OK","Divergente"))</f>
        <v/>
      </c>
      <c r="AU23" s="17" t="str">
        <f aca="false">IF(N23=0,"",IF(N23=AD23,"OK","Divergente"))</f>
        <v/>
      </c>
    </row>
    <row r="24" customFormat="false" ht="15" hidden="false" customHeight="false" outlineLevel="0" collapsed="false">
      <c r="A24" s="17" t="str">
        <f aca="false">Base_Semanal!A24</f>
        <v>2026-S22</v>
      </c>
      <c r="B24" s="30" t="n">
        <f aca="false">Base_Semanal!B24</f>
        <v>46167</v>
      </c>
      <c r="C24" s="30" t="n">
        <f aca="false">Base_Semanal!C24</f>
        <v>46173</v>
      </c>
      <c r="D24" s="17" t="str">
        <f aca="false">Base_Semanal!D24</f>
        <v>2026-05</v>
      </c>
      <c r="E24" s="36" t="n">
        <f aca="false">Base_Semanal!E24</f>
        <v>0</v>
      </c>
      <c r="F24" s="36" t="n">
        <f aca="false">Base_Semanal!F24</f>
        <v>0</v>
      </c>
      <c r="G24" s="36" t="n">
        <f aca="false">Base_Semanal!G24</f>
        <v>0</v>
      </c>
      <c r="H24" s="36" t="n">
        <f aca="false">Base_Semanal!H24</f>
        <v>0</v>
      </c>
      <c r="I24" s="36" t="n">
        <f aca="false">Base_Semanal!I24</f>
        <v>0</v>
      </c>
      <c r="J24" s="36" t="n">
        <f aca="false">H24+I24</f>
        <v>0</v>
      </c>
      <c r="K24" s="37" t="str">
        <f aca="false">IF(F24=0,"",G24/F24)</f>
        <v/>
      </c>
      <c r="L24" s="36" t="n">
        <f aca="false">Base_Semanal!J24</f>
        <v>0</v>
      </c>
      <c r="M24" s="36" t="n">
        <f aca="false">Base_Semanal!K24</f>
        <v>0</v>
      </c>
      <c r="N24" s="36" t="n">
        <f aca="false">L24+M24</f>
        <v>0</v>
      </c>
      <c r="O24" s="37" t="str">
        <f aca="false">IF(J24=0,"",N24/J24)</f>
        <v/>
      </c>
      <c r="P24" s="36" t="n">
        <f aca="false">Base_Semanal!L24</f>
        <v>0</v>
      </c>
      <c r="Q24" s="36" t="n">
        <f aca="false">Base_Semanal!M24</f>
        <v>0</v>
      </c>
      <c r="R24" s="36" t="n">
        <f aca="false">P24+Q24</f>
        <v>0</v>
      </c>
      <c r="S24" s="36" t="n">
        <f aca="false">Base_Semanal!N24</f>
        <v>0</v>
      </c>
      <c r="T24" s="36" t="n">
        <f aca="false">Base_Semanal!O24</f>
        <v>0</v>
      </c>
      <c r="U24" s="37" t="str">
        <f aca="false">IF(Base_Semanal!P24=0,"",Base_Semanal!Q24/Base_Semanal!P24)</f>
        <v/>
      </c>
      <c r="V24" s="37" t="str">
        <f aca="false">IF(Base_Semanal!R24=0,"",Base_Semanal!S24/Base_Semanal!R24)</f>
        <v/>
      </c>
      <c r="W24" s="37" t="str">
        <f aca="false">IF(Base_Semanal!P24+Base_Semanal!R24=0,"",(Base_Semanal!Q24+Base_Semanal!S24)/(Base_Semanal!P24+Base_Semanal!R24))</f>
        <v/>
      </c>
      <c r="X24" s="38" t="n">
        <f aca="false">Base_Semanal!T24</f>
        <v>0</v>
      </c>
      <c r="Y24" s="38" t="n">
        <f aca="false">Base_Semanal!U24</f>
        <v>0</v>
      </c>
      <c r="Z24" s="38" t="n">
        <f aca="false">Base_Semanal!V24</f>
        <v>0</v>
      </c>
      <c r="AA24" s="38" t="n">
        <f aca="false">Base_Semanal!W24</f>
        <v>0</v>
      </c>
      <c r="AB24" s="36" t="n">
        <f aca="false">COUNTIFS(Contratos!$B$4:$B$503,$A24,Contratos!$E$4:$E$503,"Avaliação")</f>
        <v>0</v>
      </c>
      <c r="AC24" s="39" t="n">
        <f aca="false">SUMIFS(Contratos!$I$4:$I$503,Contratos!$B$4:$B$503,$A24,Contratos!$E$4:$E$503,"Avaliação")</f>
        <v>0</v>
      </c>
      <c r="AD24" s="36" t="n">
        <f aca="false">COUNTIFS(Contratos!$B$4:$B$503,$A24,Contratos!$E$4:$E$503,"Protocolo")</f>
        <v>0</v>
      </c>
      <c r="AE24" s="39" t="n">
        <f aca="false">SUMIFS(Contratos!$I$4:$I$503,Contratos!$B$4:$B$503,$A24,Contratos!$E$4:$E$503,"Protocolo")</f>
        <v>0</v>
      </c>
      <c r="AF24" s="39" t="n">
        <f aca="false">AC24+AE24</f>
        <v>0</v>
      </c>
      <c r="AG24" s="36" t="n">
        <f aca="false">COUNTIFS(Contratos!$B$4:$B$503,$A24,Contratos!$J$4:$J$503,"À vista")</f>
        <v>0</v>
      </c>
      <c r="AH24" s="36" t="n">
        <f aca="false">COUNTIFS(Contratos!$B$4:$B$503,$A24,Contratos!$J$4:$J$503,"Parcelado")</f>
        <v>0</v>
      </c>
      <c r="AI24" s="39" t="n">
        <f aca="false">SUMIFS(Financeiro!$G$4:$G$503,Financeiro!$B$4:$B$503,$A24,Financeiro!$D$4:$D$503,"Receita",Financeiro!$H$4:$H$503,"&lt;&gt;Cancelado")</f>
        <v>0</v>
      </c>
      <c r="AJ24" s="39" t="n">
        <f aca="false">SUMIFS(Financeiro!$G$4:$G$503,Financeiro!$B$4:$B$503,$A24,Financeiro!$D$4:$D$503,"Gasto",Financeiro!$H$4:$H$503,"&lt;&gt;Cancelado")</f>
        <v>0</v>
      </c>
      <c r="AK24" s="39" t="n">
        <f aca="false">SUMIFS(Financeiro!$G$4:$G$503,Financeiro!$B$4:$B$503,$A24,Financeiro!$D$4:$D$503,"Imposto",Financeiro!$H$4:$H$503,"&lt;&gt;Cancelado")</f>
        <v>0</v>
      </c>
      <c r="AL24" s="39" t="n">
        <f aca="false">SUMIFS(Financeiro!$G$4:$G$503,Financeiro!$B$4:$B$503,$A24,Financeiro!$D$4:$D$503,"Marketing",Financeiro!$H$4:$H$503,"&lt;&gt;Cancelado")</f>
        <v>0</v>
      </c>
      <c r="AM24" s="39" t="n">
        <f aca="false">AI24-AJ24-AK24-AL24</f>
        <v>0</v>
      </c>
      <c r="AN24" s="37" t="n">
        <f aca="false">IF(Config!$B$16=0,"",AI24/Config!$B$16)</f>
        <v>0</v>
      </c>
      <c r="AO24" s="37" t="n">
        <f aca="false">IF(Config!$B$17=0,"",AJ24/Config!$B$17)</f>
        <v>0</v>
      </c>
      <c r="AP24" s="39" t="str">
        <f aca="false">IF(T24=0,"",AL24/T24)</f>
        <v/>
      </c>
      <c r="AQ24" s="39" t="n">
        <f aca="false">SUMIFS($AI$4:$AI$107,$D$4:$D$107,$D24,$B$4:$B$107,"&lt;="&amp;$B24)</f>
        <v>0</v>
      </c>
      <c r="AR24" s="39" t="n">
        <f aca="false">SUMIFS($AJ$4:$AJ$107,$D$4:$D$107,$D24,$B$4:$B$107,"&lt;="&amp;$B24)</f>
        <v>0</v>
      </c>
      <c r="AS24" s="36" t="n">
        <f aca="false">SUMIFS(Leads_Canal!$C$4:$C$503,Leads_Canal!$A$4:$A$503,$A24)</f>
        <v>0</v>
      </c>
      <c r="AT24" s="17" t="str">
        <f aca="false">IF(E24=0,"",IF(E24=AR24,"OK","Divergente"))</f>
        <v/>
      </c>
      <c r="AU24" s="17" t="str">
        <f aca="false">IF(N24=0,"",IF(N24=AD24,"OK","Divergente"))</f>
        <v/>
      </c>
    </row>
    <row r="25" customFormat="false" ht="15" hidden="false" customHeight="false" outlineLevel="0" collapsed="false">
      <c r="A25" s="17" t="str">
        <f aca="false">Base_Semanal!A25</f>
        <v>2026-S23</v>
      </c>
      <c r="B25" s="30" t="n">
        <f aca="false">Base_Semanal!B25</f>
        <v>46174</v>
      </c>
      <c r="C25" s="30" t="n">
        <f aca="false">Base_Semanal!C25</f>
        <v>46180</v>
      </c>
      <c r="D25" s="17" t="str">
        <f aca="false">Base_Semanal!D25</f>
        <v>2026-06</v>
      </c>
      <c r="E25" s="36" t="n">
        <f aca="false">Base_Semanal!E25</f>
        <v>0</v>
      </c>
      <c r="F25" s="36" t="n">
        <f aca="false">Base_Semanal!F25</f>
        <v>0</v>
      </c>
      <c r="G25" s="36" t="n">
        <f aca="false">Base_Semanal!G25</f>
        <v>0</v>
      </c>
      <c r="H25" s="36" t="n">
        <f aca="false">Base_Semanal!H25</f>
        <v>0</v>
      </c>
      <c r="I25" s="36" t="n">
        <f aca="false">Base_Semanal!I25</f>
        <v>0</v>
      </c>
      <c r="J25" s="36" t="n">
        <f aca="false">H25+I25</f>
        <v>0</v>
      </c>
      <c r="K25" s="37" t="str">
        <f aca="false">IF(F25=0,"",G25/F25)</f>
        <v/>
      </c>
      <c r="L25" s="36" t="n">
        <f aca="false">Base_Semanal!J25</f>
        <v>0</v>
      </c>
      <c r="M25" s="36" t="n">
        <f aca="false">Base_Semanal!K25</f>
        <v>0</v>
      </c>
      <c r="N25" s="36" t="n">
        <f aca="false">L25+M25</f>
        <v>0</v>
      </c>
      <c r="O25" s="37" t="str">
        <f aca="false">IF(J25=0,"",N25/J25)</f>
        <v/>
      </c>
      <c r="P25" s="36" t="n">
        <f aca="false">Base_Semanal!L25</f>
        <v>0</v>
      </c>
      <c r="Q25" s="36" t="n">
        <f aca="false">Base_Semanal!M25</f>
        <v>0</v>
      </c>
      <c r="R25" s="36" t="n">
        <f aca="false">P25+Q25</f>
        <v>0</v>
      </c>
      <c r="S25" s="36" t="n">
        <f aca="false">Base_Semanal!N25</f>
        <v>0</v>
      </c>
      <c r="T25" s="36" t="n">
        <f aca="false">Base_Semanal!O25</f>
        <v>0</v>
      </c>
      <c r="U25" s="37" t="str">
        <f aca="false">IF(Base_Semanal!P25=0,"",Base_Semanal!Q25/Base_Semanal!P25)</f>
        <v/>
      </c>
      <c r="V25" s="37" t="str">
        <f aca="false">IF(Base_Semanal!R25=0,"",Base_Semanal!S25/Base_Semanal!R25)</f>
        <v/>
      </c>
      <c r="W25" s="37" t="str">
        <f aca="false">IF(Base_Semanal!P25+Base_Semanal!R25=0,"",(Base_Semanal!Q25+Base_Semanal!S25)/(Base_Semanal!P25+Base_Semanal!R25))</f>
        <v/>
      </c>
      <c r="X25" s="38" t="n">
        <f aca="false">Base_Semanal!T25</f>
        <v>0</v>
      </c>
      <c r="Y25" s="38" t="n">
        <f aca="false">Base_Semanal!U25</f>
        <v>0</v>
      </c>
      <c r="Z25" s="38" t="n">
        <f aca="false">Base_Semanal!V25</f>
        <v>0</v>
      </c>
      <c r="AA25" s="38" t="n">
        <f aca="false">Base_Semanal!W25</f>
        <v>0</v>
      </c>
      <c r="AB25" s="36" t="n">
        <f aca="false">COUNTIFS(Contratos!$B$4:$B$503,$A25,Contratos!$E$4:$E$503,"Avaliação")</f>
        <v>0</v>
      </c>
      <c r="AC25" s="39" t="n">
        <f aca="false">SUMIFS(Contratos!$I$4:$I$503,Contratos!$B$4:$B$503,$A25,Contratos!$E$4:$E$503,"Avaliação")</f>
        <v>0</v>
      </c>
      <c r="AD25" s="36" t="n">
        <f aca="false">COUNTIFS(Contratos!$B$4:$B$503,$A25,Contratos!$E$4:$E$503,"Protocolo")</f>
        <v>0</v>
      </c>
      <c r="AE25" s="39" t="n">
        <f aca="false">SUMIFS(Contratos!$I$4:$I$503,Contratos!$B$4:$B$503,$A25,Contratos!$E$4:$E$503,"Protocolo")</f>
        <v>0</v>
      </c>
      <c r="AF25" s="39" t="n">
        <f aca="false">AC25+AE25</f>
        <v>0</v>
      </c>
      <c r="AG25" s="36" t="n">
        <f aca="false">COUNTIFS(Contratos!$B$4:$B$503,$A25,Contratos!$J$4:$J$503,"À vista")</f>
        <v>0</v>
      </c>
      <c r="AH25" s="36" t="n">
        <f aca="false">COUNTIFS(Contratos!$B$4:$B$503,$A25,Contratos!$J$4:$J$503,"Parcelado")</f>
        <v>0</v>
      </c>
      <c r="AI25" s="39" t="n">
        <f aca="false">SUMIFS(Financeiro!$G$4:$G$503,Financeiro!$B$4:$B$503,$A25,Financeiro!$D$4:$D$503,"Receita",Financeiro!$H$4:$H$503,"&lt;&gt;Cancelado")</f>
        <v>0</v>
      </c>
      <c r="AJ25" s="39" t="n">
        <f aca="false">SUMIFS(Financeiro!$G$4:$G$503,Financeiro!$B$4:$B$503,$A25,Financeiro!$D$4:$D$503,"Gasto",Financeiro!$H$4:$H$503,"&lt;&gt;Cancelado")</f>
        <v>0</v>
      </c>
      <c r="AK25" s="39" t="n">
        <f aca="false">SUMIFS(Financeiro!$G$4:$G$503,Financeiro!$B$4:$B$503,$A25,Financeiro!$D$4:$D$503,"Imposto",Financeiro!$H$4:$H$503,"&lt;&gt;Cancelado")</f>
        <v>0</v>
      </c>
      <c r="AL25" s="39" t="n">
        <f aca="false">SUMIFS(Financeiro!$G$4:$G$503,Financeiro!$B$4:$B$503,$A25,Financeiro!$D$4:$D$503,"Marketing",Financeiro!$H$4:$H$503,"&lt;&gt;Cancelado")</f>
        <v>0</v>
      </c>
      <c r="AM25" s="39" t="n">
        <f aca="false">AI25-AJ25-AK25-AL25</f>
        <v>0</v>
      </c>
      <c r="AN25" s="37" t="n">
        <f aca="false">IF(Config!$B$16=0,"",AI25/Config!$B$16)</f>
        <v>0</v>
      </c>
      <c r="AO25" s="37" t="n">
        <f aca="false">IF(Config!$B$17=0,"",AJ25/Config!$B$17)</f>
        <v>0</v>
      </c>
      <c r="AP25" s="39" t="str">
        <f aca="false">IF(T25=0,"",AL25/T25)</f>
        <v/>
      </c>
      <c r="AQ25" s="39" t="n">
        <f aca="false">SUMIFS($AI$4:$AI$107,$D$4:$D$107,$D25,$B$4:$B$107,"&lt;="&amp;$B25)</f>
        <v>0</v>
      </c>
      <c r="AR25" s="39" t="n">
        <f aca="false">SUMIFS($AJ$4:$AJ$107,$D$4:$D$107,$D25,$B$4:$B$107,"&lt;="&amp;$B25)</f>
        <v>0</v>
      </c>
      <c r="AS25" s="36" t="n">
        <f aca="false">SUMIFS(Leads_Canal!$C$4:$C$503,Leads_Canal!$A$4:$A$503,$A25)</f>
        <v>0</v>
      </c>
      <c r="AT25" s="17" t="str">
        <f aca="false">IF(E25=0,"",IF(E25=AR25,"OK","Divergente"))</f>
        <v/>
      </c>
      <c r="AU25" s="17" t="str">
        <f aca="false">IF(N25=0,"",IF(N25=AD25,"OK","Divergente"))</f>
        <v/>
      </c>
    </row>
    <row r="26" customFormat="false" ht="15" hidden="false" customHeight="false" outlineLevel="0" collapsed="false">
      <c r="A26" s="17" t="str">
        <f aca="false">Base_Semanal!A26</f>
        <v>2026-S24</v>
      </c>
      <c r="B26" s="30" t="n">
        <f aca="false">Base_Semanal!B26</f>
        <v>46181</v>
      </c>
      <c r="C26" s="30" t="n">
        <f aca="false">Base_Semanal!C26</f>
        <v>46187</v>
      </c>
      <c r="D26" s="17" t="str">
        <f aca="false">Base_Semanal!D26</f>
        <v>2026-06</v>
      </c>
      <c r="E26" s="36" t="n">
        <f aca="false">Base_Semanal!E26</f>
        <v>0</v>
      </c>
      <c r="F26" s="36" t="n">
        <f aca="false">Base_Semanal!F26</f>
        <v>0</v>
      </c>
      <c r="G26" s="36" t="n">
        <f aca="false">Base_Semanal!G26</f>
        <v>0</v>
      </c>
      <c r="H26" s="36" t="n">
        <f aca="false">Base_Semanal!H26</f>
        <v>0</v>
      </c>
      <c r="I26" s="36" t="n">
        <f aca="false">Base_Semanal!I26</f>
        <v>0</v>
      </c>
      <c r="J26" s="36" t="n">
        <f aca="false">H26+I26</f>
        <v>0</v>
      </c>
      <c r="K26" s="37" t="str">
        <f aca="false">IF(F26=0,"",G26/F26)</f>
        <v/>
      </c>
      <c r="L26" s="36" t="n">
        <f aca="false">Base_Semanal!J26</f>
        <v>0</v>
      </c>
      <c r="M26" s="36" t="n">
        <f aca="false">Base_Semanal!K26</f>
        <v>0</v>
      </c>
      <c r="N26" s="36" t="n">
        <f aca="false">L26+M26</f>
        <v>0</v>
      </c>
      <c r="O26" s="37" t="str">
        <f aca="false">IF(J26=0,"",N26/J26)</f>
        <v/>
      </c>
      <c r="P26" s="36" t="n">
        <f aca="false">Base_Semanal!L26</f>
        <v>0</v>
      </c>
      <c r="Q26" s="36" t="n">
        <f aca="false">Base_Semanal!M26</f>
        <v>0</v>
      </c>
      <c r="R26" s="36" t="n">
        <f aca="false">P26+Q26</f>
        <v>0</v>
      </c>
      <c r="S26" s="36" t="n">
        <f aca="false">Base_Semanal!N26</f>
        <v>0</v>
      </c>
      <c r="T26" s="36" t="n">
        <f aca="false">Base_Semanal!O26</f>
        <v>0</v>
      </c>
      <c r="U26" s="37" t="str">
        <f aca="false">IF(Base_Semanal!P26=0,"",Base_Semanal!Q26/Base_Semanal!P26)</f>
        <v/>
      </c>
      <c r="V26" s="37" t="str">
        <f aca="false">IF(Base_Semanal!R26=0,"",Base_Semanal!S26/Base_Semanal!R26)</f>
        <v/>
      </c>
      <c r="W26" s="37" t="str">
        <f aca="false">IF(Base_Semanal!P26+Base_Semanal!R26=0,"",(Base_Semanal!Q26+Base_Semanal!S26)/(Base_Semanal!P26+Base_Semanal!R26))</f>
        <v/>
      </c>
      <c r="X26" s="38" t="n">
        <f aca="false">Base_Semanal!T26</f>
        <v>0</v>
      </c>
      <c r="Y26" s="38" t="n">
        <f aca="false">Base_Semanal!U26</f>
        <v>0</v>
      </c>
      <c r="Z26" s="38" t="n">
        <f aca="false">Base_Semanal!V26</f>
        <v>0</v>
      </c>
      <c r="AA26" s="38" t="n">
        <f aca="false">Base_Semanal!W26</f>
        <v>0</v>
      </c>
      <c r="AB26" s="36" t="n">
        <f aca="false">COUNTIFS(Contratos!$B$4:$B$503,$A26,Contratos!$E$4:$E$503,"Avaliação")</f>
        <v>0</v>
      </c>
      <c r="AC26" s="39" t="n">
        <f aca="false">SUMIFS(Contratos!$I$4:$I$503,Contratos!$B$4:$B$503,$A26,Contratos!$E$4:$E$503,"Avaliação")</f>
        <v>0</v>
      </c>
      <c r="AD26" s="36" t="n">
        <f aca="false">COUNTIFS(Contratos!$B$4:$B$503,$A26,Contratos!$E$4:$E$503,"Protocolo")</f>
        <v>0</v>
      </c>
      <c r="AE26" s="39" t="n">
        <f aca="false">SUMIFS(Contratos!$I$4:$I$503,Contratos!$B$4:$B$503,$A26,Contratos!$E$4:$E$503,"Protocolo")</f>
        <v>0</v>
      </c>
      <c r="AF26" s="39" t="n">
        <f aca="false">AC26+AE26</f>
        <v>0</v>
      </c>
      <c r="AG26" s="36" t="n">
        <f aca="false">COUNTIFS(Contratos!$B$4:$B$503,$A26,Contratos!$J$4:$J$503,"À vista")</f>
        <v>0</v>
      </c>
      <c r="AH26" s="36" t="n">
        <f aca="false">COUNTIFS(Contratos!$B$4:$B$503,$A26,Contratos!$J$4:$J$503,"Parcelado")</f>
        <v>0</v>
      </c>
      <c r="AI26" s="39" t="n">
        <f aca="false">SUMIFS(Financeiro!$G$4:$G$503,Financeiro!$B$4:$B$503,$A26,Financeiro!$D$4:$D$503,"Receita",Financeiro!$H$4:$H$503,"&lt;&gt;Cancelado")</f>
        <v>0</v>
      </c>
      <c r="AJ26" s="39" t="n">
        <f aca="false">SUMIFS(Financeiro!$G$4:$G$503,Financeiro!$B$4:$B$503,$A26,Financeiro!$D$4:$D$503,"Gasto",Financeiro!$H$4:$H$503,"&lt;&gt;Cancelado")</f>
        <v>0</v>
      </c>
      <c r="AK26" s="39" t="n">
        <f aca="false">SUMIFS(Financeiro!$G$4:$G$503,Financeiro!$B$4:$B$503,$A26,Financeiro!$D$4:$D$503,"Imposto",Financeiro!$H$4:$H$503,"&lt;&gt;Cancelado")</f>
        <v>0</v>
      </c>
      <c r="AL26" s="39" t="n">
        <f aca="false">SUMIFS(Financeiro!$G$4:$G$503,Financeiro!$B$4:$B$503,$A26,Financeiro!$D$4:$D$503,"Marketing",Financeiro!$H$4:$H$503,"&lt;&gt;Cancelado")</f>
        <v>0</v>
      </c>
      <c r="AM26" s="39" t="n">
        <f aca="false">AI26-AJ26-AK26-AL26</f>
        <v>0</v>
      </c>
      <c r="AN26" s="37" t="n">
        <f aca="false">IF(Config!$B$16=0,"",AI26/Config!$B$16)</f>
        <v>0</v>
      </c>
      <c r="AO26" s="37" t="n">
        <f aca="false">IF(Config!$B$17=0,"",AJ26/Config!$B$17)</f>
        <v>0</v>
      </c>
      <c r="AP26" s="39" t="str">
        <f aca="false">IF(T26=0,"",AL26/T26)</f>
        <v/>
      </c>
      <c r="AQ26" s="39" t="n">
        <f aca="false">SUMIFS($AI$4:$AI$107,$D$4:$D$107,$D26,$B$4:$B$107,"&lt;="&amp;$B26)</f>
        <v>0</v>
      </c>
      <c r="AR26" s="39" t="n">
        <f aca="false">SUMIFS($AJ$4:$AJ$107,$D$4:$D$107,$D26,$B$4:$B$107,"&lt;="&amp;$B26)</f>
        <v>0</v>
      </c>
      <c r="AS26" s="36" t="n">
        <f aca="false">SUMIFS(Leads_Canal!$C$4:$C$503,Leads_Canal!$A$4:$A$503,$A26)</f>
        <v>0</v>
      </c>
      <c r="AT26" s="17" t="str">
        <f aca="false">IF(E26=0,"",IF(E26=AR26,"OK","Divergente"))</f>
        <v/>
      </c>
      <c r="AU26" s="17" t="str">
        <f aca="false">IF(N26=0,"",IF(N26=AD26,"OK","Divergente"))</f>
        <v/>
      </c>
    </row>
    <row r="27" customFormat="false" ht="15" hidden="false" customHeight="false" outlineLevel="0" collapsed="false">
      <c r="A27" s="17" t="str">
        <f aca="false">Base_Semanal!A27</f>
        <v>2026-S25</v>
      </c>
      <c r="B27" s="30" t="n">
        <f aca="false">Base_Semanal!B27</f>
        <v>46188</v>
      </c>
      <c r="C27" s="30" t="n">
        <f aca="false">Base_Semanal!C27</f>
        <v>46194</v>
      </c>
      <c r="D27" s="17" t="str">
        <f aca="false">Base_Semanal!D27</f>
        <v>2026-06</v>
      </c>
      <c r="E27" s="36" t="n">
        <f aca="false">Base_Semanal!E27</f>
        <v>0</v>
      </c>
      <c r="F27" s="36" t="n">
        <f aca="false">Base_Semanal!F27</f>
        <v>0</v>
      </c>
      <c r="G27" s="36" t="n">
        <f aca="false">Base_Semanal!G27</f>
        <v>0</v>
      </c>
      <c r="H27" s="36" t="n">
        <f aca="false">Base_Semanal!H27</f>
        <v>0</v>
      </c>
      <c r="I27" s="36" t="n">
        <f aca="false">Base_Semanal!I27</f>
        <v>0</v>
      </c>
      <c r="J27" s="36" t="n">
        <f aca="false">H27+I27</f>
        <v>0</v>
      </c>
      <c r="K27" s="37" t="str">
        <f aca="false">IF(F27=0,"",G27/F27)</f>
        <v/>
      </c>
      <c r="L27" s="36" t="n">
        <f aca="false">Base_Semanal!J27</f>
        <v>0</v>
      </c>
      <c r="M27" s="36" t="n">
        <f aca="false">Base_Semanal!K27</f>
        <v>0</v>
      </c>
      <c r="N27" s="36" t="n">
        <f aca="false">L27+M27</f>
        <v>0</v>
      </c>
      <c r="O27" s="37" t="str">
        <f aca="false">IF(J27=0,"",N27/J27)</f>
        <v/>
      </c>
      <c r="P27" s="36" t="n">
        <f aca="false">Base_Semanal!L27</f>
        <v>0</v>
      </c>
      <c r="Q27" s="36" t="n">
        <f aca="false">Base_Semanal!M27</f>
        <v>0</v>
      </c>
      <c r="R27" s="36" t="n">
        <f aca="false">P27+Q27</f>
        <v>0</v>
      </c>
      <c r="S27" s="36" t="n">
        <f aca="false">Base_Semanal!N27</f>
        <v>0</v>
      </c>
      <c r="T27" s="36" t="n">
        <f aca="false">Base_Semanal!O27</f>
        <v>0</v>
      </c>
      <c r="U27" s="37" t="str">
        <f aca="false">IF(Base_Semanal!P27=0,"",Base_Semanal!Q27/Base_Semanal!P27)</f>
        <v/>
      </c>
      <c r="V27" s="37" t="str">
        <f aca="false">IF(Base_Semanal!R27=0,"",Base_Semanal!S27/Base_Semanal!R27)</f>
        <v/>
      </c>
      <c r="W27" s="37" t="str">
        <f aca="false">IF(Base_Semanal!P27+Base_Semanal!R27=0,"",(Base_Semanal!Q27+Base_Semanal!S27)/(Base_Semanal!P27+Base_Semanal!R27))</f>
        <v/>
      </c>
      <c r="X27" s="38" t="n">
        <f aca="false">Base_Semanal!T27</f>
        <v>0</v>
      </c>
      <c r="Y27" s="38" t="n">
        <f aca="false">Base_Semanal!U27</f>
        <v>0</v>
      </c>
      <c r="Z27" s="38" t="n">
        <f aca="false">Base_Semanal!V27</f>
        <v>0</v>
      </c>
      <c r="AA27" s="38" t="n">
        <f aca="false">Base_Semanal!W27</f>
        <v>0</v>
      </c>
      <c r="AB27" s="36" t="n">
        <f aca="false">COUNTIFS(Contratos!$B$4:$B$503,$A27,Contratos!$E$4:$E$503,"Avaliação")</f>
        <v>0</v>
      </c>
      <c r="AC27" s="39" t="n">
        <f aca="false">SUMIFS(Contratos!$I$4:$I$503,Contratos!$B$4:$B$503,$A27,Contratos!$E$4:$E$503,"Avaliação")</f>
        <v>0</v>
      </c>
      <c r="AD27" s="36" t="n">
        <f aca="false">COUNTIFS(Contratos!$B$4:$B$503,$A27,Contratos!$E$4:$E$503,"Protocolo")</f>
        <v>0</v>
      </c>
      <c r="AE27" s="39" t="n">
        <f aca="false">SUMIFS(Contratos!$I$4:$I$503,Contratos!$B$4:$B$503,$A27,Contratos!$E$4:$E$503,"Protocolo")</f>
        <v>0</v>
      </c>
      <c r="AF27" s="39" t="n">
        <f aca="false">AC27+AE27</f>
        <v>0</v>
      </c>
      <c r="AG27" s="36" t="n">
        <f aca="false">COUNTIFS(Contratos!$B$4:$B$503,$A27,Contratos!$J$4:$J$503,"À vista")</f>
        <v>0</v>
      </c>
      <c r="AH27" s="36" t="n">
        <f aca="false">COUNTIFS(Contratos!$B$4:$B$503,$A27,Contratos!$J$4:$J$503,"Parcelado")</f>
        <v>0</v>
      </c>
      <c r="AI27" s="39" t="n">
        <f aca="false">SUMIFS(Financeiro!$G$4:$G$503,Financeiro!$B$4:$B$503,$A27,Financeiro!$D$4:$D$503,"Receita",Financeiro!$H$4:$H$503,"&lt;&gt;Cancelado")</f>
        <v>0</v>
      </c>
      <c r="AJ27" s="39" t="n">
        <f aca="false">SUMIFS(Financeiro!$G$4:$G$503,Financeiro!$B$4:$B$503,$A27,Financeiro!$D$4:$D$503,"Gasto",Financeiro!$H$4:$H$503,"&lt;&gt;Cancelado")</f>
        <v>0</v>
      </c>
      <c r="AK27" s="39" t="n">
        <f aca="false">SUMIFS(Financeiro!$G$4:$G$503,Financeiro!$B$4:$B$503,$A27,Financeiro!$D$4:$D$503,"Imposto",Financeiro!$H$4:$H$503,"&lt;&gt;Cancelado")</f>
        <v>0</v>
      </c>
      <c r="AL27" s="39" t="n">
        <f aca="false">SUMIFS(Financeiro!$G$4:$G$503,Financeiro!$B$4:$B$503,$A27,Financeiro!$D$4:$D$503,"Marketing",Financeiro!$H$4:$H$503,"&lt;&gt;Cancelado")</f>
        <v>0</v>
      </c>
      <c r="AM27" s="39" t="n">
        <f aca="false">AI27-AJ27-AK27-AL27</f>
        <v>0</v>
      </c>
      <c r="AN27" s="37" t="n">
        <f aca="false">IF(Config!$B$16=0,"",AI27/Config!$B$16)</f>
        <v>0</v>
      </c>
      <c r="AO27" s="37" t="n">
        <f aca="false">IF(Config!$B$17=0,"",AJ27/Config!$B$17)</f>
        <v>0</v>
      </c>
      <c r="AP27" s="39" t="str">
        <f aca="false">IF(T27=0,"",AL27/T27)</f>
        <v/>
      </c>
      <c r="AQ27" s="39" t="n">
        <f aca="false">SUMIFS($AI$4:$AI$107,$D$4:$D$107,$D27,$B$4:$B$107,"&lt;="&amp;$B27)</f>
        <v>0</v>
      </c>
      <c r="AR27" s="39" t="n">
        <f aca="false">SUMIFS($AJ$4:$AJ$107,$D$4:$D$107,$D27,$B$4:$B$107,"&lt;="&amp;$B27)</f>
        <v>0</v>
      </c>
      <c r="AS27" s="36" t="n">
        <f aca="false">SUMIFS(Leads_Canal!$C$4:$C$503,Leads_Canal!$A$4:$A$503,$A27)</f>
        <v>0</v>
      </c>
      <c r="AT27" s="17" t="str">
        <f aca="false">IF(E27=0,"",IF(E27=AR27,"OK","Divergente"))</f>
        <v/>
      </c>
      <c r="AU27" s="17" t="str">
        <f aca="false">IF(N27=0,"",IF(N27=AD27,"OK","Divergente"))</f>
        <v/>
      </c>
    </row>
    <row r="28" customFormat="false" ht="15" hidden="false" customHeight="false" outlineLevel="0" collapsed="false">
      <c r="A28" s="17" t="str">
        <f aca="false">Base_Semanal!A28</f>
        <v>2026-S26</v>
      </c>
      <c r="B28" s="30" t="n">
        <f aca="false">Base_Semanal!B28</f>
        <v>46195</v>
      </c>
      <c r="C28" s="30" t="n">
        <f aca="false">Base_Semanal!C28</f>
        <v>46201</v>
      </c>
      <c r="D28" s="17" t="str">
        <f aca="false">Base_Semanal!D28</f>
        <v>2026-06</v>
      </c>
      <c r="E28" s="36" t="n">
        <f aca="false">Base_Semanal!E28</f>
        <v>0</v>
      </c>
      <c r="F28" s="36" t="n">
        <f aca="false">Base_Semanal!F28</f>
        <v>0</v>
      </c>
      <c r="G28" s="36" t="n">
        <f aca="false">Base_Semanal!G28</f>
        <v>0</v>
      </c>
      <c r="H28" s="36" t="n">
        <f aca="false">Base_Semanal!H28</f>
        <v>0</v>
      </c>
      <c r="I28" s="36" t="n">
        <f aca="false">Base_Semanal!I28</f>
        <v>0</v>
      </c>
      <c r="J28" s="36" t="n">
        <f aca="false">H28+I28</f>
        <v>0</v>
      </c>
      <c r="K28" s="37" t="str">
        <f aca="false">IF(F28=0,"",G28/F28)</f>
        <v/>
      </c>
      <c r="L28" s="36" t="n">
        <f aca="false">Base_Semanal!J28</f>
        <v>0</v>
      </c>
      <c r="M28" s="36" t="n">
        <f aca="false">Base_Semanal!K28</f>
        <v>0</v>
      </c>
      <c r="N28" s="36" t="n">
        <f aca="false">L28+M28</f>
        <v>0</v>
      </c>
      <c r="O28" s="37" t="str">
        <f aca="false">IF(J28=0,"",N28/J28)</f>
        <v/>
      </c>
      <c r="P28" s="36" t="n">
        <f aca="false">Base_Semanal!L28</f>
        <v>0</v>
      </c>
      <c r="Q28" s="36" t="n">
        <f aca="false">Base_Semanal!M28</f>
        <v>0</v>
      </c>
      <c r="R28" s="36" t="n">
        <f aca="false">P28+Q28</f>
        <v>0</v>
      </c>
      <c r="S28" s="36" t="n">
        <f aca="false">Base_Semanal!N28</f>
        <v>0</v>
      </c>
      <c r="T28" s="36" t="n">
        <f aca="false">Base_Semanal!O28</f>
        <v>0</v>
      </c>
      <c r="U28" s="37" t="str">
        <f aca="false">IF(Base_Semanal!P28=0,"",Base_Semanal!Q28/Base_Semanal!P28)</f>
        <v/>
      </c>
      <c r="V28" s="37" t="str">
        <f aca="false">IF(Base_Semanal!R28=0,"",Base_Semanal!S28/Base_Semanal!R28)</f>
        <v/>
      </c>
      <c r="W28" s="37" t="str">
        <f aca="false">IF(Base_Semanal!P28+Base_Semanal!R28=0,"",(Base_Semanal!Q28+Base_Semanal!S28)/(Base_Semanal!P28+Base_Semanal!R28))</f>
        <v/>
      </c>
      <c r="X28" s="38" t="n">
        <f aca="false">Base_Semanal!T28</f>
        <v>0</v>
      </c>
      <c r="Y28" s="38" t="n">
        <f aca="false">Base_Semanal!U28</f>
        <v>0</v>
      </c>
      <c r="Z28" s="38" t="n">
        <f aca="false">Base_Semanal!V28</f>
        <v>0</v>
      </c>
      <c r="AA28" s="38" t="n">
        <f aca="false">Base_Semanal!W28</f>
        <v>0</v>
      </c>
      <c r="AB28" s="36" t="n">
        <f aca="false">COUNTIFS(Contratos!$B$4:$B$503,$A28,Contratos!$E$4:$E$503,"Avaliação")</f>
        <v>0</v>
      </c>
      <c r="AC28" s="39" t="n">
        <f aca="false">SUMIFS(Contratos!$I$4:$I$503,Contratos!$B$4:$B$503,$A28,Contratos!$E$4:$E$503,"Avaliação")</f>
        <v>0</v>
      </c>
      <c r="AD28" s="36" t="n">
        <f aca="false">COUNTIFS(Contratos!$B$4:$B$503,$A28,Contratos!$E$4:$E$503,"Protocolo")</f>
        <v>0</v>
      </c>
      <c r="AE28" s="39" t="n">
        <f aca="false">SUMIFS(Contratos!$I$4:$I$503,Contratos!$B$4:$B$503,$A28,Contratos!$E$4:$E$503,"Protocolo")</f>
        <v>0</v>
      </c>
      <c r="AF28" s="39" t="n">
        <f aca="false">AC28+AE28</f>
        <v>0</v>
      </c>
      <c r="AG28" s="36" t="n">
        <f aca="false">COUNTIFS(Contratos!$B$4:$B$503,$A28,Contratos!$J$4:$J$503,"À vista")</f>
        <v>0</v>
      </c>
      <c r="AH28" s="36" t="n">
        <f aca="false">COUNTIFS(Contratos!$B$4:$B$503,$A28,Contratos!$J$4:$J$503,"Parcelado")</f>
        <v>0</v>
      </c>
      <c r="AI28" s="39" t="n">
        <f aca="false">SUMIFS(Financeiro!$G$4:$G$503,Financeiro!$B$4:$B$503,$A28,Financeiro!$D$4:$D$503,"Receita",Financeiro!$H$4:$H$503,"&lt;&gt;Cancelado")</f>
        <v>0</v>
      </c>
      <c r="AJ28" s="39" t="n">
        <f aca="false">SUMIFS(Financeiro!$G$4:$G$503,Financeiro!$B$4:$B$503,$A28,Financeiro!$D$4:$D$503,"Gasto",Financeiro!$H$4:$H$503,"&lt;&gt;Cancelado")</f>
        <v>0</v>
      </c>
      <c r="AK28" s="39" t="n">
        <f aca="false">SUMIFS(Financeiro!$G$4:$G$503,Financeiro!$B$4:$B$503,$A28,Financeiro!$D$4:$D$503,"Imposto",Financeiro!$H$4:$H$503,"&lt;&gt;Cancelado")</f>
        <v>0</v>
      </c>
      <c r="AL28" s="39" t="n">
        <f aca="false">SUMIFS(Financeiro!$G$4:$G$503,Financeiro!$B$4:$B$503,$A28,Financeiro!$D$4:$D$503,"Marketing",Financeiro!$H$4:$H$503,"&lt;&gt;Cancelado")</f>
        <v>0</v>
      </c>
      <c r="AM28" s="39" t="n">
        <f aca="false">AI28-AJ28-AK28-AL28</f>
        <v>0</v>
      </c>
      <c r="AN28" s="37" t="n">
        <f aca="false">IF(Config!$B$16=0,"",AI28/Config!$B$16)</f>
        <v>0</v>
      </c>
      <c r="AO28" s="37" t="n">
        <f aca="false">IF(Config!$B$17=0,"",AJ28/Config!$B$17)</f>
        <v>0</v>
      </c>
      <c r="AP28" s="39" t="str">
        <f aca="false">IF(T28=0,"",AL28/T28)</f>
        <v/>
      </c>
      <c r="AQ28" s="39" t="n">
        <f aca="false">SUMIFS($AI$4:$AI$107,$D$4:$D$107,$D28,$B$4:$B$107,"&lt;="&amp;$B28)</f>
        <v>0</v>
      </c>
      <c r="AR28" s="39" t="n">
        <f aca="false">SUMIFS($AJ$4:$AJ$107,$D$4:$D$107,$D28,$B$4:$B$107,"&lt;="&amp;$B28)</f>
        <v>0</v>
      </c>
      <c r="AS28" s="36" t="n">
        <f aca="false">SUMIFS(Leads_Canal!$C$4:$C$503,Leads_Canal!$A$4:$A$503,$A28)</f>
        <v>0</v>
      </c>
      <c r="AT28" s="17" t="str">
        <f aca="false">IF(E28=0,"",IF(E28=AR28,"OK","Divergente"))</f>
        <v/>
      </c>
      <c r="AU28" s="17" t="str">
        <f aca="false">IF(N28=0,"",IF(N28=AD28,"OK","Divergente"))</f>
        <v/>
      </c>
    </row>
    <row r="29" customFormat="false" ht="15" hidden="false" customHeight="false" outlineLevel="0" collapsed="false">
      <c r="A29" s="17" t="str">
        <f aca="false">Base_Semanal!A29</f>
        <v>2026-S27</v>
      </c>
      <c r="B29" s="30" t="n">
        <f aca="false">Base_Semanal!B29</f>
        <v>46202</v>
      </c>
      <c r="C29" s="30" t="n">
        <f aca="false">Base_Semanal!C29</f>
        <v>46208</v>
      </c>
      <c r="D29" s="17" t="str">
        <f aca="false">Base_Semanal!D29</f>
        <v>2026-06</v>
      </c>
      <c r="E29" s="36" t="n">
        <f aca="false">Base_Semanal!E29</f>
        <v>0</v>
      </c>
      <c r="F29" s="36" t="n">
        <f aca="false">Base_Semanal!F29</f>
        <v>0</v>
      </c>
      <c r="G29" s="36" t="n">
        <f aca="false">Base_Semanal!G29</f>
        <v>0</v>
      </c>
      <c r="H29" s="36" t="n">
        <f aca="false">Base_Semanal!H29</f>
        <v>0</v>
      </c>
      <c r="I29" s="36" t="n">
        <f aca="false">Base_Semanal!I29</f>
        <v>0</v>
      </c>
      <c r="J29" s="36" t="n">
        <f aca="false">H29+I29</f>
        <v>0</v>
      </c>
      <c r="K29" s="37" t="str">
        <f aca="false">IF(F29=0,"",G29/F29)</f>
        <v/>
      </c>
      <c r="L29" s="36" t="n">
        <f aca="false">Base_Semanal!J29</f>
        <v>0</v>
      </c>
      <c r="M29" s="36" t="n">
        <f aca="false">Base_Semanal!K29</f>
        <v>0</v>
      </c>
      <c r="N29" s="36" t="n">
        <f aca="false">L29+M29</f>
        <v>0</v>
      </c>
      <c r="O29" s="37" t="str">
        <f aca="false">IF(J29=0,"",N29/J29)</f>
        <v/>
      </c>
      <c r="P29" s="36" t="n">
        <f aca="false">Base_Semanal!L29</f>
        <v>0</v>
      </c>
      <c r="Q29" s="36" t="n">
        <f aca="false">Base_Semanal!M29</f>
        <v>0</v>
      </c>
      <c r="R29" s="36" t="n">
        <f aca="false">P29+Q29</f>
        <v>0</v>
      </c>
      <c r="S29" s="36" t="n">
        <f aca="false">Base_Semanal!N29</f>
        <v>0</v>
      </c>
      <c r="T29" s="36" t="n">
        <f aca="false">Base_Semanal!O29</f>
        <v>0</v>
      </c>
      <c r="U29" s="37" t="str">
        <f aca="false">IF(Base_Semanal!P29=0,"",Base_Semanal!Q29/Base_Semanal!P29)</f>
        <v/>
      </c>
      <c r="V29" s="37" t="str">
        <f aca="false">IF(Base_Semanal!R29=0,"",Base_Semanal!S29/Base_Semanal!R29)</f>
        <v/>
      </c>
      <c r="W29" s="37" t="str">
        <f aca="false">IF(Base_Semanal!P29+Base_Semanal!R29=0,"",(Base_Semanal!Q29+Base_Semanal!S29)/(Base_Semanal!P29+Base_Semanal!R29))</f>
        <v/>
      </c>
      <c r="X29" s="38" t="n">
        <f aca="false">Base_Semanal!T29</f>
        <v>0</v>
      </c>
      <c r="Y29" s="38" t="n">
        <f aca="false">Base_Semanal!U29</f>
        <v>0</v>
      </c>
      <c r="Z29" s="38" t="n">
        <f aca="false">Base_Semanal!V29</f>
        <v>0</v>
      </c>
      <c r="AA29" s="38" t="n">
        <f aca="false">Base_Semanal!W29</f>
        <v>0</v>
      </c>
      <c r="AB29" s="36" t="n">
        <f aca="false">COUNTIFS(Contratos!$B$4:$B$503,$A29,Contratos!$E$4:$E$503,"Avaliação")</f>
        <v>0</v>
      </c>
      <c r="AC29" s="39" t="n">
        <f aca="false">SUMIFS(Contratos!$I$4:$I$503,Contratos!$B$4:$B$503,$A29,Contratos!$E$4:$E$503,"Avaliação")</f>
        <v>0</v>
      </c>
      <c r="AD29" s="36" t="n">
        <f aca="false">COUNTIFS(Contratos!$B$4:$B$503,$A29,Contratos!$E$4:$E$503,"Protocolo")</f>
        <v>0</v>
      </c>
      <c r="AE29" s="39" t="n">
        <f aca="false">SUMIFS(Contratos!$I$4:$I$503,Contratos!$B$4:$B$503,$A29,Contratos!$E$4:$E$503,"Protocolo")</f>
        <v>0</v>
      </c>
      <c r="AF29" s="39" t="n">
        <f aca="false">AC29+AE29</f>
        <v>0</v>
      </c>
      <c r="AG29" s="36" t="n">
        <f aca="false">COUNTIFS(Contratos!$B$4:$B$503,$A29,Contratos!$J$4:$J$503,"À vista")</f>
        <v>0</v>
      </c>
      <c r="AH29" s="36" t="n">
        <f aca="false">COUNTIFS(Contratos!$B$4:$B$503,$A29,Contratos!$J$4:$J$503,"Parcelado")</f>
        <v>0</v>
      </c>
      <c r="AI29" s="39" t="n">
        <f aca="false">SUMIFS(Financeiro!$G$4:$G$503,Financeiro!$B$4:$B$503,$A29,Financeiro!$D$4:$D$503,"Receita",Financeiro!$H$4:$H$503,"&lt;&gt;Cancelado")</f>
        <v>0</v>
      </c>
      <c r="AJ29" s="39" t="n">
        <f aca="false">SUMIFS(Financeiro!$G$4:$G$503,Financeiro!$B$4:$B$503,$A29,Financeiro!$D$4:$D$503,"Gasto",Financeiro!$H$4:$H$503,"&lt;&gt;Cancelado")</f>
        <v>0</v>
      </c>
      <c r="AK29" s="39" t="n">
        <f aca="false">SUMIFS(Financeiro!$G$4:$G$503,Financeiro!$B$4:$B$503,$A29,Financeiro!$D$4:$D$503,"Imposto",Financeiro!$H$4:$H$503,"&lt;&gt;Cancelado")</f>
        <v>0</v>
      </c>
      <c r="AL29" s="39" t="n">
        <f aca="false">SUMIFS(Financeiro!$G$4:$G$503,Financeiro!$B$4:$B$503,$A29,Financeiro!$D$4:$D$503,"Marketing",Financeiro!$H$4:$H$503,"&lt;&gt;Cancelado")</f>
        <v>0</v>
      </c>
      <c r="AM29" s="39" t="n">
        <f aca="false">AI29-AJ29-AK29-AL29</f>
        <v>0</v>
      </c>
      <c r="AN29" s="37" t="n">
        <f aca="false">IF(Config!$B$16=0,"",AI29/Config!$B$16)</f>
        <v>0</v>
      </c>
      <c r="AO29" s="37" t="n">
        <f aca="false">IF(Config!$B$17=0,"",AJ29/Config!$B$17)</f>
        <v>0</v>
      </c>
      <c r="AP29" s="39" t="str">
        <f aca="false">IF(T29=0,"",AL29/T29)</f>
        <v/>
      </c>
      <c r="AQ29" s="39" t="n">
        <f aca="false">SUMIFS($AI$4:$AI$107,$D$4:$D$107,$D29,$B$4:$B$107,"&lt;="&amp;$B29)</f>
        <v>0</v>
      </c>
      <c r="AR29" s="39" t="n">
        <f aca="false">SUMIFS($AJ$4:$AJ$107,$D$4:$D$107,$D29,$B$4:$B$107,"&lt;="&amp;$B29)</f>
        <v>0</v>
      </c>
      <c r="AS29" s="36" t="n">
        <f aca="false">SUMIFS(Leads_Canal!$C$4:$C$503,Leads_Canal!$A$4:$A$503,$A29)</f>
        <v>0</v>
      </c>
      <c r="AT29" s="17" t="str">
        <f aca="false">IF(E29=0,"",IF(E29=AR29,"OK","Divergente"))</f>
        <v/>
      </c>
      <c r="AU29" s="17" t="str">
        <f aca="false">IF(N29=0,"",IF(N29=AD29,"OK","Divergente"))</f>
        <v/>
      </c>
    </row>
    <row r="30" customFormat="false" ht="15" hidden="false" customHeight="false" outlineLevel="0" collapsed="false">
      <c r="A30" s="17" t="str">
        <f aca="false">Base_Semanal!A30</f>
        <v>2026-S28</v>
      </c>
      <c r="B30" s="30" t="n">
        <f aca="false">Base_Semanal!B30</f>
        <v>46209</v>
      </c>
      <c r="C30" s="30" t="n">
        <f aca="false">Base_Semanal!C30</f>
        <v>46215</v>
      </c>
      <c r="D30" s="17" t="str">
        <f aca="false">Base_Semanal!D30</f>
        <v>2026-07</v>
      </c>
      <c r="E30" s="36" t="n">
        <f aca="false">Base_Semanal!E30</f>
        <v>0</v>
      </c>
      <c r="F30" s="36" t="n">
        <f aca="false">Base_Semanal!F30</f>
        <v>0</v>
      </c>
      <c r="G30" s="36" t="n">
        <f aca="false">Base_Semanal!G30</f>
        <v>0</v>
      </c>
      <c r="H30" s="36" t="n">
        <f aca="false">Base_Semanal!H30</f>
        <v>0</v>
      </c>
      <c r="I30" s="36" t="n">
        <f aca="false">Base_Semanal!I30</f>
        <v>0</v>
      </c>
      <c r="J30" s="36" t="n">
        <f aca="false">H30+I30</f>
        <v>0</v>
      </c>
      <c r="K30" s="37" t="str">
        <f aca="false">IF(F30=0,"",G30/F30)</f>
        <v/>
      </c>
      <c r="L30" s="36" t="n">
        <f aca="false">Base_Semanal!J30</f>
        <v>0</v>
      </c>
      <c r="M30" s="36" t="n">
        <f aca="false">Base_Semanal!K30</f>
        <v>0</v>
      </c>
      <c r="N30" s="36" t="n">
        <f aca="false">L30+M30</f>
        <v>0</v>
      </c>
      <c r="O30" s="37" t="str">
        <f aca="false">IF(J30=0,"",N30/J30)</f>
        <v/>
      </c>
      <c r="P30" s="36" t="n">
        <f aca="false">Base_Semanal!L30</f>
        <v>0</v>
      </c>
      <c r="Q30" s="36" t="n">
        <f aca="false">Base_Semanal!M30</f>
        <v>0</v>
      </c>
      <c r="R30" s="36" t="n">
        <f aca="false">P30+Q30</f>
        <v>0</v>
      </c>
      <c r="S30" s="36" t="n">
        <f aca="false">Base_Semanal!N30</f>
        <v>0</v>
      </c>
      <c r="T30" s="36" t="n">
        <f aca="false">Base_Semanal!O30</f>
        <v>0</v>
      </c>
      <c r="U30" s="37" t="str">
        <f aca="false">IF(Base_Semanal!P30=0,"",Base_Semanal!Q30/Base_Semanal!P30)</f>
        <v/>
      </c>
      <c r="V30" s="37" t="str">
        <f aca="false">IF(Base_Semanal!R30=0,"",Base_Semanal!S30/Base_Semanal!R30)</f>
        <v/>
      </c>
      <c r="W30" s="37" t="str">
        <f aca="false">IF(Base_Semanal!P30+Base_Semanal!R30=0,"",(Base_Semanal!Q30+Base_Semanal!S30)/(Base_Semanal!P30+Base_Semanal!R30))</f>
        <v/>
      </c>
      <c r="X30" s="38" t="n">
        <f aca="false">Base_Semanal!T30</f>
        <v>0</v>
      </c>
      <c r="Y30" s="38" t="n">
        <f aca="false">Base_Semanal!U30</f>
        <v>0</v>
      </c>
      <c r="Z30" s="38" t="n">
        <f aca="false">Base_Semanal!V30</f>
        <v>0</v>
      </c>
      <c r="AA30" s="38" t="n">
        <f aca="false">Base_Semanal!W30</f>
        <v>0</v>
      </c>
      <c r="AB30" s="36" t="n">
        <f aca="false">COUNTIFS(Contratos!$B$4:$B$503,$A30,Contratos!$E$4:$E$503,"Avaliação")</f>
        <v>0</v>
      </c>
      <c r="AC30" s="39" t="n">
        <f aca="false">SUMIFS(Contratos!$I$4:$I$503,Contratos!$B$4:$B$503,$A30,Contratos!$E$4:$E$503,"Avaliação")</f>
        <v>0</v>
      </c>
      <c r="AD30" s="36" t="n">
        <f aca="false">COUNTIFS(Contratos!$B$4:$B$503,$A30,Contratos!$E$4:$E$503,"Protocolo")</f>
        <v>0</v>
      </c>
      <c r="AE30" s="39" t="n">
        <f aca="false">SUMIFS(Contratos!$I$4:$I$503,Contratos!$B$4:$B$503,$A30,Contratos!$E$4:$E$503,"Protocolo")</f>
        <v>0</v>
      </c>
      <c r="AF30" s="39" t="n">
        <f aca="false">AC30+AE30</f>
        <v>0</v>
      </c>
      <c r="AG30" s="36" t="n">
        <f aca="false">COUNTIFS(Contratos!$B$4:$B$503,$A30,Contratos!$J$4:$J$503,"À vista")</f>
        <v>0</v>
      </c>
      <c r="AH30" s="36" t="n">
        <f aca="false">COUNTIFS(Contratos!$B$4:$B$503,$A30,Contratos!$J$4:$J$503,"Parcelado")</f>
        <v>0</v>
      </c>
      <c r="AI30" s="39" t="n">
        <f aca="false">SUMIFS(Financeiro!$G$4:$G$503,Financeiro!$B$4:$B$503,$A30,Financeiro!$D$4:$D$503,"Receita",Financeiro!$H$4:$H$503,"&lt;&gt;Cancelado")</f>
        <v>0</v>
      </c>
      <c r="AJ30" s="39" t="n">
        <f aca="false">SUMIFS(Financeiro!$G$4:$G$503,Financeiro!$B$4:$B$503,$A30,Financeiro!$D$4:$D$503,"Gasto",Financeiro!$H$4:$H$503,"&lt;&gt;Cancelado")</f>
        <v>0</v>
      </c>
      <c r="AK30" s="39" t="n">
        <f aca="false">SUMIFS(Financeiro!$G$4:$G$503,Financeiro!$B$4:$B$503,$A30,Financeiro!$D$4:$D$503,"Imposto",Financeiro!$H$4:$H$503,"&lt;&gt;Cancelado")</f>
        <v>0</v>
      </c>
      <c r="AL30" s="39" t="n">
        <f aca="false">SUMIFS(Financeiro!$G$4:$G$503,Financeiro!$B$4:$B$503,$A30,Financeiro!$D$4:$D$503,"Marketing",Financeiro!$H$4:$H$503,"&lt;&gt;Cancelado")</f>
        <v>0</v>
      </c>
      <c r="AM30" s="39" t="n">
        <f aca="false">AI30-AJ30-AK30-AL30</f>
        <v>0</v>
      </c>
      <c r="AN30" s="37" t="n">
        <f aca="false">IF(Config!$B$16=0,"",AI30/Config!$B$16)</f>
        <v>0</v>
      </c>
      <c r="AO30" s="37" t="n">
        <f aca="false">IF(Config!$B$17=0,"",AJ30/Config!$B$17)</f>
        <v>0</v>
      </c>
      <c r="AP30" s="39" t="str">
        <f aca="false">IF(T30=0,"",AL30/T30)</f>
        <v/>
      </c>
      <c r="AQ30" s="39" t="n">
        <f aca="false">SUMIFS($AI$4:$AI$107,$D$4:$D$107,$D30,$B$4:$B$107,"&lt;="&amp;$B30)</f>
        <v>0</v>
      </c>
      <c r="AR30" s="39" t="n">
        <f aca="false">SUMIFS($AJ$4:$AJ$107,$D$4:$D$107,$D30,$B$4:$B$107,"&lt;="&amp;$B30)</f>
        <v>0</v>
      </c>
      <c r="AS30" s="36" t="n">
        <f aca="false">SUMIFS(Leads_Canal!$C$4:$C$503,Leads_Canal!$A$4:$A$503,$A30)</f>
        <v>0</v>
      </c>
      <c r="AT30" s="17" t="str">
        <f aca="false">IF(E30=0,"",IF(E30=AR30,"OK","Divergente"))</f>
        <v/>
      </c>
      <c r="AU30" s="17" t="str">
        <f aca="false">IF(N30=0,"",IF(N30=AD30,"OK","Divergente"))</f>
        <v/>
      </c>
    </row>
    <row r="31" customFormat="false" ht="15" hidden="false" customHeight="false" outlineLevel="0" collapsed="false">
      <c r="A31" s="17" t="str">
        <f aca="false">Base_Semanal!A31</f>
        <v>2026-S29</v>
      </c>
      <c r="B31" s="30" t="n">
        <f aca="false">Base_Semanal!B31</f>
        <v>46216</v>
      </c>
      <c r="C31" s="30" t="n">
        <f aca="false">Base_Semanal!C31</f>
        <v>46222</v>
      </c>
      <c r="D31" s="17" t="str">
        <f aca="false">Base_Semanal!D31</f>
        <v>2026-07</v>
      </c>
      <c r="E31" s="36" t="n">
        <f aca="false">Base_Semanal!E31</f>
        <v>0</v>
      </c>
      <c r="F31" s="36" t="n">
        <f aca="false">Base_Semanal!F31</f>
        <v>0</v>
      </c>
      <c r="G31" s="36" t="n">
        <f aca="false">Base_Semanal!G31</f>
        <v>0</v>
      </c>
      <c r="H31" s="36" t="n">
        <f aca="false">Base_Semanal!H31</f>
        <v>0</v>
      </c>
      <c r="I31" s="36" t="n">
        <f aca="false">Base_Semanal!I31</f>
        <v>0</v>
      </c>
      <c r="J31" s="36" t="n">
        <f aca="false">H31+I31</f>
        <v>0</v>
      </c>
      <c r="K31" s="37" t="str">
        <f aca="false">IF(F31=0,"",G31/F31)</f>
        <v/>
      </c>
      <c r="L31" s="36" t="n">
        <f aca="false">Base_Semanal!J31</f>
        <v>0</v>
      </c>
      <c r="M31" s="36" t="n">
        <f aca="false">Base_Semanal!K31</f>
        <v>0</v>
      </c>
      <c r="N31" s="36" t="n">
        <f aca="false">L31+M31</f>
        <v>0</v>
      </c>
      <c r="O31" s="37" t="str">
        <f aca="false">IF(J31=0,"",N31/J31)</f>
        <v/>
      </c>
      <c r="P31" s="36" t="n">
        <f aca="false">Base_Semanal!L31</f>
        <v>0</v>
      </c>
      <c r="Q31" s="36" t="n">
        <f aca="false">Base_Semanal!M31</f>
        <v>0</v>
      </c>
      <c r="R31" s="36" t="n">
        <f aca="false">P31+Q31</f>
        <v>0</v>
      </c>
      <c r="S31" s="36" t="n">
        <f aca="false">Base_Semanal!N31</f>
        <v>0</v>
      </c>
      <c r="T31" s="36" t="n">
        <f aca="false">Base_Semanal!O31</f>
        <v>0</v>
      </c>
      <c r="U31" s="37" t="str">
        <f aca="false">IF(Base_Semanal!P31=0,"",Base_Semanal!Q31/Base_Semanal!P31)</f>
        <v/>
      </c>
      <c r="V31" s="37" t="str">
        <f aca="false">IF(Base_Semanal!R31=0,"",Base_Semanal!S31/Base_Semanal!R31)</f>
        <v/>
      </c>
      <c r="W31" s="37" t="str">
        <f aca="false">IF(Base_Semanal!P31+Base_Semanal!R31=0,"",(Base_Semanal!Q31+Base_Semanal!S31)/(Base_Semanal!P31+Base_Semanal!R31))</f>
        <v/>
      </c>
      <c r="X31" s="38" t="n">
        <f aca="false">Base_Semanal!T31</f>
        <v>0</v>
      </c>
      <c r="Y31" s="38" t="n">
        <f aca="false">Base_Semanal!U31</f>
        <v>0</v>
      </c>
      <c r="Z31" s="38" t="n">
        <f aca="false">Base_Semanal!V31</f>
        <v>0</v>
      </c>
      <c r="AA31" s="38" t="n">
        <f aca="false">Base_Semanal!W31</f>
        <v>0</v>
      </c>
      <c r="AB31" s="36" t="n">
        <f aca="false">COUNTIFS(Contratos!$B$4:$B$503,$A31,Contratos!$E$4:$E$503,"Avaliação")</f>
        <v>0</v>
      </c>
      <c r="AC31" s="39" t="n">
        <f aca="false">SUMIFS(Contratos!$I$4:$I$503,Contratos!$B$4:$B$503,$A31,Contratos!$E$4:$E$503,"Avaliação")</f>
        <v>0</v>
      </c>
      <c r="AD31" s="36" t="n">
        <f aca="false">COUNTIFS(Contratos!$B$4:$B$503,$A31,Contratos!$E$4:$E$503,"Protocolo")</f>
        <v>0</v>
      </c>
      <c r="AE31" s="39" t="n">
        <f aca="false">SUMIFS(Contratos!$I$4:$I$503,Contratos!$B$4:$B$503,$A31,Contratos!$E$4:$E$503,"Protocolo")</f>
        <v>0</v>
      </c>
      <c r="AF31" s="39" t="n">
        <f aca="false">AC31+AE31</f>
        <v>0</v>
      </c>
      <c r="AG31" s="36" t="n">
        <f aca="false">COUNTIFS(Contratos!$B$4:$B$503,$A31,Contratos!$J$4:$J$503,"À vista")</f>
        <v>0</v>
      </c>
      <c r="AH31" s="36" t="n">
        <f aca="false">COUNTIFS(Contratos!$B$4:$B$503,$A31,Contratos!$J$4:$J$503,"Parcelado")</f>
        <v>0</v>
      </c>
      <c r="AI31" s="39" t="n">
        <f aca="false">SUMIFS(Financeiro!$G$4:$G$503,Financeiro!$B$4:$B$503,$A31,Financeiro!$D$4:$D$503,"Receita",Financeiro!$H$4:$H$503,"&lt;&gt;Cancelado")</f>
        <v>0</v>
      </c>
      <c r="AJ31" s="39" t="n">
        <f aca="false">SUMIFS(Financeiro!$G$4:$G$503,Financeiro!$B$4:$B$503,$A31,Financeiro!$D$4:$D$503,"Gasto",Financeiro!$H$4:$H$503,"&lt;&gt;Cancelado")</f>
        <v>0</v>
      </c>
      <c r="AK31" s="39" t="n">
        <f aca="false">SUMIFS(Financeiro!$G$4:$G$503,Financeiro!$B$4:$B$503,$A31,Financeiro!$D$4:$D$503,"Imposto",Financeiro!$H$4:$H$503,"&lt;&gt;Cancelado")</f>
        <v>0</v>
      </c>
      <c r="AL31" s="39" t="n">
        <f aca="false">SUMIFS(Financeiro!$G$4:$G$503,Financeiro!$B$4:$B$503,$A31,Financeiro!$D$4:$D$503,"Marketing",Financeiro!$H$4:$H$503,"&lt;&gt;Cancelado")</f>
        <v>0</v>
      </c>
      <c r="AM31" s="39" t="n">
        <f aca="false">AI31-AJ31-AK31-AL31</f>
        <v>0</v>
      </c>
      <c r="AN31" s="37" t="n">
        <f aca="false">IF(Config!$B$16=0,"",AI31/Config!$B$16)</f>
        <v>0</v>
      </c>
      <c r="AO31" s="37" t="n">
        <f aca="false">IF(Config!$B$17=0,"",AJ31/Config!$B$17)</f>
        <v>0</v>
      </c>
      <c r="AP31" s="39" t="str">
        <f aca="false">IF(T31=0,"",AL31/T31)</f>
        <v/>
      </c>
      <c r="AQ31" s="39" t="n">
        <f aca="false">SUMIFS($AI$4:$AI$107,$D$4:$D$107,$D31,$B$4:$B$107,"&lt;="&amp;$B31)</f>
        <v>0</v>
      </c>
      <c r="AR31" s="39" t="n">
        <f aca="false">SUMIFS($AJ$4:$AJ$107,$D$4:$D$107,$D31,$B$4:$B$107,"&lt;="&amp;$B31)</f>
        <v>0</v>
      </c>
      <c r="AS31" s="36" t="n">
        <f aca="false">SUMIFS(Leads_Canal!$C$4:$C$503,Leads_Canal!$A$4:$A$503,$A31)</f>
        <v>0</v>
      </c>
      <c r="AT31" s="17" t="str">
        <f aca="false">IF(E31=0,"",IF(E31=AR31,"OK","Divergente"))</f>
        <v/>
      </c>
      <c r="AU31" s="17" t="str">
        <f aca="false">IF(N31=0,"",IF(N31=AD31,"OK","Divergente"))</f>
        <v/>
      </c>
    </row>
    <row r="32" customFormat="false" ht="15" hidden="false" customHeight="false" outlineLevel="0" collapsed="false">
      <c r="A32" s="17" t="str">
        <f aca="false">Base_Semanal!A32</f>
        <v>2026-S30</v>
      </c>
      <c r="B32" s="30" t="n">
        <f aca="false">Base_Semanal!B32</f>
        <v>46223</v>
      </c>
      <c r="C32" s="30" t="n">
        <f aca="false">Base_Semanal!C32</f>
        <v>46229</v>
      </c>
      <c r="D32" s="17" t="str">
        <f aca="false">Base_Semanal!D32</f>
        <v>2026-07</v>
      </c>
      <c r="E32" s="36" t="n">
        <f aca="false">Base_Semanal!E32</f>
        <v>0</v>
      </c>
      <c r="F32" s="36" t="n">
        <f aca="false">Base_Semanal!F32</f>
        <v>0</v>
      </c>
      <c r="G32" s="36" t="n">
        <f aca="false">Base_Semanal!G32</f>
        <v>0</v>
      </c>
      <c r="H32" s="36" t="n">
        <f aca="false">Base_Semanal!H32</f>
        <v>0</v>
      </c>
      <c r="I32" s="36" t="n">
        <f aca="false">Base_Semanal!I32</f>
        <v>0</v>
      </c>
      <c r="J32" s="36" t="n">
        <f aca="false">H32+I32</f>
        <v>0</v>
      </c>
      <c r="K32" s="37" t="str">
        <f aca="false">IF(F32=0,"",G32/F32)</f>
        <v/>
      </c>
      <c r="L32" s="36" t="n">
        <f aca="false">Base_Semanal!J32</f>
        <v>0</v>
      </c>
      <c r="M32" s="36" t="n">
        <f aca="false">Base_Semanal!K32</f>
        <v>0</v>
      </c>
      <c r="N32" s="36" t="n">
        <f aca="false">L32+M32</f>
        <v>0</v>
      </c>
      <c r="O32" s="37" t="str">
        <f aca="false">IF(J32=0,"",N32/J32)</f>
        <v/>
      </c>
      <c r="P32" s="36" t="n">
        <f aca="false">Base_Semanal!L32</f>
        <v>0</v>
      </c>
      <c r="Q32" s="36" t="n">
        <f aca="false">Base_Semanal!M32</f>
        <v>0</v>
      </c>
      <c r="R32" s="36" t="n">
        <f aca="false">P32+Q32</f>
        <v>0</v>
      </c>
      <c r="S32" s="36" t="n">
        <f aca="false">Base_Semanal!N32</f>
        <v>0</v>
      </c>
      <c r="T32" s="36" t="n">
        <f aca="false">Base_Semanal!O32</f>
        <v>0</v>
      </c>
      <c r="U32" s="37" t="str">
        <f aca="false">IF(Base_Semanal!P32=0,"",Base_Semanal!Q32/Base_Semanal!P32)</f>
        <v/>
      </c>
      <c r="V32" s="37" t="str">
        <f aca="false">IF(Base_Semanal!R32=0,"",Base_Semanal!S32/Base_Semanal!R32)</f>
        <v/>
      </c>
      <c r="W32" s="37" t="str">
        <f aca="false">IF(Base_Semanal!P32+Base_Semanal!R32=0,"",(Base_Semanal!Q32+Base_Semanal!S32)/(Base_Semanal!P32+Base_Semanal!R32))</f>
        <v/>
      </c>
      <c r="X32" s="38" t="n">
        <f aca="false">Base_Semanal!T32</f>
        <v>0</v>
      </c>
      <c r="Y32" s="38" t="n">
        <f aca="false">Base_Semanal!U32</f>
        <v>0</v>
      </c>
      <c r="Z32" s="38" t="n">
        <f aca="false">Base_Semanal!V32</f>
        <v>0</v>
      </c>
      <c r="AA32" s="38" t="n">
        <f aca="false">Base_Semanal!W32</f>
        <v>0</v>
      </c>
      <c r="AB32" s="36" t="n">
        <f aca="false">COUNTIFS(Contratos!$B$4:$B$503,$A32,Contratos!$E$4:$E$503,"Avaliação")</f>
        <v>0</v>
      </c>
      <c r="AC32" s="39" t="n">
        <f aca="false">SUMIFS(Contratos!$I$4:$I$503,Contratos!$B$4:$B$503,$A32,Contratos!$E$4:$E$503,"Avaliação")</f>
        <v>0</v>
      </c>
      <c r="AD32" s="36" t="n">
        <f aca="false">COUNTIFS(Contratos!$B$4:$B$503,$A32,Contratos!$E$4:$E$503,"Protocolo")</f>
        <v>0</v>
      </c>
      <c r="AE32" s="39" t="n">
        <f aca="false">SUMIFS(Contratos!$I$4:$I$503,Contratos!$B$4:$B$503,$A32,Contratos!$E$4:$E$503,"Protocolo")</f>
        <v>0</v>
      </c>
      <c r="AF32" s="39" t="n">
        <f aca="false">AC32+AE32</f>
        <v>0</v>
      </c>
      <c r="AG32" s="36" t="n">
        <f aca="false">COUNTIFS(Contratos!$B$4:$B$503,$A32,Contratos!$J$4:$J$503,"À vista")</f>
        <v>0</v>
      </c>
      <c r="AH32" s="36" t="n">
        <f aca="false">COUNTIFS(Contratos!$B$4:$B$503,$A32,Contratos!$J$4:$J$503,"Parcelado")</f>
        <v>0</v>
      </c>
      <c r="AI32" s="39" t="n">
        <f aca="false">SUMIFS(Financeiro!$G$4:$G$503,Financeiro!$B$4:$B$503,$A32,Financeiro!$D$4:$D$503,"Receita",Financeiro!$H$4:$H$503,"&lt;&gt;Cancelado")</f>
        <v>0</v>
      </c>
      <c r="AJ32" s="39" t="n">
        <f aca="false">SUMIFS(Financeiro!$G$4:$G$503,Financeiro!$B$4:$B$503,$A32,Financeiro!$D$4:$D$503,"Gasto",Financeiro!$H$4:$H$503,"&lt;&gt;Cancelado")</f>
        <v>0</v>
      </c>
      <c r="AK32" s="39" t="n">
        <f aca="false">SUMIFS(Financeiro!$G$4:$G$503,Financeiro!$B$4:$B$503,$A32,Financeiro!$D$4:$D$503,"Imposto",Financeiro!$H$4:$H$503,"&lt;&gt;Cancelado")</f>
        <v>0</v>
      </c>
      <c r="AL32" s="39" t="n">
        <f aca="false">SUMIFS(Financeiro!$G$4:$G$503,Financeiro!$B$4:$B$503,$A32,Financeiro!$D$4:$D$503,"Marketing",Financeiro!$H$4:$H$503,"&lt;&gt;Cancelado")</f>
        <v>0</v>
      </c>
      <c r="AM32" s="39" t="n">
        <f aca="false">AI32-AJ32-AK32-AL32</f>
        <v>0</v>
      </c>
      <c r="AN32" s="37" t="n">
        <f aca="false">IF(Config!$B$16=0,"",AI32/Config!$B$16)</f>
        <v>0</v>
      </c>
      <c r="AO32" s="37" t="n">
        <f aca="false">IF(Config!$B$17=0,"",AJ32/Config!$B$17)</f>
        <v>0</v>
      </c>
      <c r="AP32" s="39" t="str">
        <f aca="false">IF(T32=0,"",AL32/T32)</f>
        <v/>
      </c>
      <c r="AQ32" s="39" t="n">
        <f aca="false">SUMIFS($AI$4:$AI$107,$D$4:$D$107,$D32,$B$4:$B$107,"&lt;="&amp;$B32)</f>
        <v>0</v>
      </c>
      <c r="AR32" s="39" t="n">
        <f aca="false">SUMIFS($AJ$4:$AJ$107,$D$4:$D$107,$D32,$B$4:$B$107,"&lt;="&amp;$B32)</f>
        <v>0</v>
      </c>
      <c r="AS32" s="36" t="n">
        <f aca="false">SUMIFS(Leads_Canal!$C$4:$C$503,Leads_Canal!$A$4:$A$503,$A32)</f>
        <v>0</v>
      </c>
      <c r="AT32" s="17" t="str">
        <f aca="false">IF(E32=0,"",IF(E32=AR32,"OK","Divergente"))</f>
        <v/>
      </c>
      <c r="AU32" s="17" t="str">
        <f aca="false">IF(N32=0,"",IF(N32=AD32,"OK","Divergente"))</f>
        <v/>
      </c>
    </row>
    <row r="33" customFormat="false" ht="15" hidden="false" customHeight="false" outlineLevel="0" collapsed="false">
      <c r="A33" s="17" t="str">
        <f aca="false">Base_Semanal!A33</f>
        <v>2026-S31</v>
      </c>
      <c r="B33" s="30" t="n">
        <f aca="false">Base_Semanal!B33</f>
        <v>46230</v>
      </c>
      <c r="C33" s="30" t="n">
        <f aca="false">Base_Semanal!C33</f>
        <v>46236</v>
      </c>
      <c r="D33" s="17" t="str">
        <f aca="false">Base_Semanal!D33</f>
        <v>2026-07</v>
      </c>
      <c r="E33" s="36" t="n">
        <f aca="false">Base_Semanal!E33</f>
        <v>0</v>
      </c>
      <c r="F33" s="36" t="n">
        <f aca="false">Base_Semanal!F33</f>
        <v>0</v>
      </c>
      <c r="G33" s="36" t="n">
        <f aca="false">Base_Semanal!G33</f>
        <v>0</v>
      </c>
      <c r="H33" s="36" t="n">
        <f aca="false">Base_Semanal!H33</f>
        <v>0</v>
      </c>
      <c r="I33" s="36" t="n">
        <f aca="false">Base_Semanal!I33</f>
        <v>0</v>
      </c>
      <c r="J33" s="36" t="n">
        <f aca="false">H33+I33</f>
        <v>0</v>
      </c>
      <c r="K33" s="37" t="str">
        <f aca="false">IF(F33=0,"",G33/F33)</f>
        <v/>
      </c>
      <c r="L33" s="36" t="n">
        <f aca="false">Base_Semanal!J33</f>
        <v>0</v>
      </c>
      <c r="M33" s="36" t="n">
        <f aca="false">Base_Semanal!K33</f>
        <v>0</v>
      </c>
      <c r="N33" s="36" t="n">
        <f aca="false">L33+M33</f>
        <v>0</v>
      </c>
      <c r="O33" s="37" t="str">
        <f aca="false">IF(J33=0,"",N33/J33)</f>
        <v/>
      </c>
      <c r="P33" s="36" t="n">
        <f aca="false">Base_Semanal!L33</f>
        <v>0</v>
      </c>
      <c r="Q33" s="36" t="n">
        <f aca="false">Base_Semanal!M33</f>
        <v>0</v>
      </c>
      <c r="R33" s="36" t="n">
        <f aca="false">P33+Q33</f>
        <v>0</v>
      </c>
      <c r="S33" s="36" t="n">
        <f aca="false">Base_Semanal!N33</f>
        <v>0</v>
      </c>
      <c r="T33" s="36" t="n">
        <f aca="false">Base_Semanal!O33</f>
        <v>0</v>
      </c>
      <c r="U33" s="37" t="str">
        <f aca="false">IF(Base_Semanal!P33=0,"",Base_Semanal!Q33/Base_Semanal!P33)</f>
        <v/>
      </c>
      <c r="V33" s="37" t="str">
        <f aca="false">IF(Base_Semanal!R33=0,"",Base_Semanal!S33/Base_Semanal!R33)</f>
        <v/>
      </c>
      <c r="W33" s="37" t="str">
        <f aca="false">IF(Base_Semanal!P33+Base_Semanal!R33=0,"",(Base_Semanal!Q33+Base_Semanal!S33)/(Base_Semanal!P33+Base_Semanal!R33))</f>
        <v/>
      </c>
      <c r="X33" s="38" t="n">
        <f aca="false">Base_Semanal!T33</f>
        <v>0</v>
      </c>
      <c r="Y33" s="38" t="n">
        <f aca="false">Base_Semanal!U33</f>
        <v>0</v>
      </c>
      <c r="Z33" s="38" t="n">
        <f aca="false">Base_Semanal!V33</f>
        <v>0</v>
      </c>
      <c r="AA33" s="38" t="n">
        <f aca="false">Base_Semanal!W33</f>
        <v>0</v>
      </c>
      <c r="AB33" s="36" t="n">
        <f aca="false">COUNTIFS(Contratos!$B$4:$B$503,$A33,Contratos!$E$4:$E$503,"Avaliação")</f>
        <v>0</v>
      </c>
      <c r="AC33" s="39" t="n">
        <f aca="false">SUMIFS(Contratos!$I$4:$I$503,Contratos!$B$4:$B$503,$A33,Contratos!$E$4:$E$503,"Avaliação")</f>
        <v>0</v>
      </c>
      <c r="AD33" s="36" t="n">
        <f aca="false">COUNTIFS(Contratos!$B$4:$B$503,$A33,Contratos!$E$4:$E$503,"Protocolo")</f>
        <v>0</v>
      </c>
      <c r="AE33" s="39" t="n">
        <f aca="false">SUMIFS(Contratos!$I$4:$I$503,Contratos!$B$4:$B$503,$A33,Contratos!$E$4:$E$503,"Protocolo")</f>
        <v>0</v>
      </c>
      <c r="AF33" s="39" t="n">
        <f aca="false">AC33+AE33</f>
        <v>0</v>
      </c>
      <c r="AG33" s="36" t="n">
        <f aca="false">COUNTIFS(Contratos!$B$4:$B$503,$A33,Contratos!$J$4:$J$503,"À vista")</f>
        <v>0</v>
      </c>
      <c r="AH33" s="36" t="n">
        <f aca="false">COUNTIFS(Contratos!$B$4:$B$503,$A33,Contratos!$J$4:$J$503,"Parcelado")</f>
        <v>0</v>
      </c>
      <c r="AI33" s="39" t="n">
        <f aca="false">SUMIFS(Financeiro!$G$4:$G$503,Financeiro!$B$4:$B$503,$A33,Financeiro!$D$4:$D$503,"Receita",Financeiro!$H$4:$H$503,"&lt;&gt;Cancelado")</f>
        <v>0</v>
      </c>
      <c r="AJ33" s="39" t="n">
        <f aca="false">SUMIFS(Financeiro!$G$4:$G$503,Financeiro!$B$4:$B$503,$A33,Financeiro!$D$4:$D$503,"Gasto",Financeiro!$H$4:$H$503,"&lt;&gt;Cancelado")</f>
        <v>0</v>
      </c>
      <c r="AK33" s="39" t="n">
        <f aca="false">SUMIFS(Financeiro!$G$4:$G$503,Financeiro!$B$4:$B$503,$A33,Financeiro!$D$4:$D$503,"Imposto",Financeiro!$H$4:$H$503,"&lt;&gt;Cancelado")</f>
        <v>0</v>
      </c>
      <c r="AL33" s="39" t="n">
        <f aca="false">SUMIFS(Financeiro!$G$4:$G$503,Financeiro!$B$4:$B$503,$A33,Financeiro!$D$4:$D$503,"Marketing",Financeiro!$H$4:$H$503,"&lt;&gt;Cancelado")</f>
        <v>0</v>
      </c>
      <c r="AM33" s="39" t="n">
        <f aca="false">AI33-AJ33-AK33-AL33</f>
        <v>0</v>
      </c>
      <c r="AN33" s="37" t="n">
        <f aca="false">IF(Config!$B$16=0,"",AI33/Config!$B$16)</f>
        <v>0</v>
      </c>
      <c r="AO33" s="37" t="n">
        <f aca="false">IF(Config!$B$17=0,"",AJ33/Config!$B$17)</f>
        <v>0</v>
      </c>
      <c r="AP33" s="39" t="str">
        <f aca="false">IF(T33=0,"",AL33/T33)</f>
        <v/>
      </c>
      <c r="AQ33" s="39" t="n">
        <f aca="false">SUMIFS($AI$4:$AI$107,$D$4:$D$107,$D33,$B$4:$B$107,"&lt;="&amp;$B33)</f>
        <v>0</v>
      </c>
      <c r="AR33" s="39" t="n">
        <f aca="false">SUMIFS($AJ$4:$AJ$107,$D$4:$D$107,$D33,$B$4:$B$107,"&lt;="&amp;$B33)</f>
        <v>0</v>
      </c>
      <c r="AS33" s="36" t="n">
        <f aca="false">SUMIFS(Leads_Canal!$C$4:$C$503,Leads_Canal!$A$4:$A$503,$A33)</f>
        <v>0</v>
      </c>
      <c r="AT33" s="17" t="str">
        <f aca="false">IF(E33=0,"",IF(E33=AR33,"OK","Divergente"))</f>
        <v/>
      </c>
      <c r="AU33" s="17" t="str">
        <f aca="false">IF(N33=0,"",IF(N33=AD33,"OK","Divergente"))</f>
        <v/>
      </c>
    </row>
    <row r="34" customFormat="false" ht="15" hidden="false" customHeight="false" outlineLevel="0" collapsed="false">
      <c r="A34" s="17" t="str">
        <f aca="false">Base_Semanal!A34</f>
        <v>2026-S32</v>
      </c>
      <c r="B34" s="30" t="n">
        <f aca="false">Base_Semanal!B34</f>
        <v>46237</v>
      </c>
      <c r="C34" s="30" t="n">
        <f aca="false">Base_Semanal!C34</f>
        <v>46243</v>
      </c>
      <c r="D34" s="17" t="str">
        <f aca="false">Base_Semanal!D34</f>
        <v>2026-08</v>
      </c>
      <c r="E34" s="36" t="n">
        <f aca="false">Base_Semanal!E34</f>
        <v>0</v>
      </c>
      <c r="F34" s="36" t="n">
        <f aca="false">Base_Semanal!F34</f>
        <v>0</v>
      </c>
      <c r="G34" s="36" t="n">
        <f aca="false">Base_Semanal!G34</f>
        <v>0</v>
      </c>
      <c r="H34" s="36" t="n">
        <f aca="false">Base_Semanal!H34</f>
        <v>0</v>
      </c>
      <c r="I34" s="36" t="n">
        <f aca="false">Base_Semanal!I34</f>
        <v>0</v>
      </c>
      <c r="J34" s="36" t="n">
        <f aca="false">H34+I34</f>
        <v>0</v>
      </c>
      <c r="K34" s="37" t="str">
        <f aca="false">IF(F34=0,"",G34/F34)</f>
        <v/>
      </c>
      <c r="L34" s="36" t="n">
        <f aca="false">Base_Semanal!J34</f>
        <v>0</v>
      </c>
      <c r="M34" s="36" t="n">
        <f aca="false">Base_Semanal!K34</f>
        <v>0</v>
      </c>
      <c r="N34" s="36" t="n">
        <f aca="false">L34+M34</f>
        <v>0</v>
      </c>
      <c r="O34" s="37" t="str">
        <f aca="false">IF(J34=0,"",N34/J34)</f>
        <v/>
      </c>
      <c r="P34" s="36" t="n">
        <f aca="false">Base_Semanal!L34</f>
        <v>0</v>
      </c>
      <c r="Q34" s="36" t="n">
        <f aca="false">Base_Semanal!M34</f>
        <v>0</v>
      </c>
      <c r="R34" s="36" t="n">
        <f aca="false">P34+Q34</f>
        <v>0</v>
      </c>
      <c r="S34" s="36" t="n">
        <f aca="false">Base_Semanal!N34</f>
        <v>0</v>
      </c>
      <c r="T34" s="36" t="n">
        <f aca="false">Base_Semanal!O34</f>
        <v>0</v>
      </c>
      <c r="U34" s="37" t="str">
        <f aca="false">IF(Base_Semanal!P34=0,"",Base_Semanal!Q34/Base_Semanal!P34)</f>
        <v/>
      </c>
      <c r="V34" s="37" t="str">
        <f aca="false">IF(Base_Semanal!R34=0,"",Base_Semanal!S34/Base_Semanal!R34)</f>
        <v/>
      </c>
      <c r="W34" s="37" t="str">
        <f aca="false">IF(Base_Semanal!P34+Base_Semanal!R34=0,"",(Base_Semanal!Q34+Base_Semanal!S34)/(Base_Semanal!P34+Base_Semanal!R34))</f>
        <v/>
      </c>
      <c r="X34" s="38" t="n">
        <f aca="false">Base_Semanal!T34</f>
        <v>0</v>
      </c>
      <c r="Y34" s="38" t="n">
        <f aca="false">Base_Semanal!U34</f>
        <v>0</v>
      </c>
      <c r="Z34" s="38" t="n">
        <f aca="false">Base_Semanal!V34</f>
        <v>0</v>
      </c>
      <c r="AA34" s="38" t="n">
        <f aca="false">Base_Semanal!W34</f>
        <v>0</v>
      </c>
      <c r="AB34" s="36" t="n">
        <f aca="false">COUNTIFS(Contratos!$B$4:$B$503,$A34,Contratos!$E$4:$E$503,"Avaliação")</f>
        <v>0</v>
      </c>
      <c r="AC34" s="39" t="n">
        <f aca="false">SUMIFS(Contratos!$I$4:$I$503,Contratos!$B$4:$B$503,$A34,Contratos!$E$4:$E$503,"Avaliação")</f>
        <v>0</v>
      </c>
      <c r="AD34" s="36" t="n">
        <f aca="false">COUNTIFS(Contratos!$B$4:$B$503,$A34,Contratos!$E$4:$E$503,"Protocolo")</f>
        <v>0</v>
      </c>
      <c r="AE34" s="39" t="n">
        <f aca="false">SUMIFS(Contratos!$I$4:$I$503,Contratos!$B$4:$B$503,$A34,Contratos!$E$4:$E$503,"Protocolo")</f>
        <v>0</v>
      </c>
      <c r="AF34" s="39" t="n">
        <f aca="false">AC34+AE34</f>
        <v>0</v>
      </c>
      <c r="AG34" s="36" t="n">
        <f aca="false">COUNTIFS(Contratos!$B$4:$B$503,$A34,Contratos!$J$4:$J$503,"À vista")</f>
        <v>0</v>
      </c>
      <c r="AH34" s="36" t="n">
        <f aca="false">COUNTIFS(Contratos!$B$4:$B$503,$A34,Contratos!$J$4:$J$503,"Parcelado")</f>
        <v>0</v>
      </c>
      <c r="AI34" s="39" t="n">
        <f aca="false">SUMIFS(Financeiro!$G$4:$G$503,Financeiro!$B$4:$B$503,$A34,Financeiro!$D$4:$D$503,"Receita",Financeiro!$H$4:$H$503,"&lt;&gt;Cancelado")</f>
        <v>0</v>
      </c>
      <c r="AJ34" s="39" t="n">
        <f aca="false">SUMIFS(Financeiro!$G$4:$G$503,Financeiro!$B$4:$B$503,$A34,Financeiro!$D$4:$D$503,"Gasto",Financeiro!$H$4:$H$503,"&lt;&gt;Cancelado")</f>
        <v>0</v>
      </c>
      <c r="AK34" s="39" t="n">
        <f aca="false">SUMIFS(Financeiro!$G$4:$G$503,Financeiro!$B$4:$B$503,$A34,Financeiro!$D$4:$D$503,"Imposto",Financeiro!$H$4:$H$503,"&lt;&gt;Cancelado")</f>
        <v>0</v>
      </c>
      <c r="AL34" s="39" t="n">
        <f aca="false">SUMIFS(Financeiro!$G$4:$G$503,Financeiro!$B$4:$B$503,$A34,Financeiro!$D$4:$D$503,"Marketing",Financeiro!$H$4:$H$503,"&lt;&gt;Cancelado")</f>
        <v>0</v>
      </c>
      <c r="AM34" s="39" t="n">
        <f aca="false">AI34-AJ34-AK34-AL34</f>
        <v>0</v>
      </c>
      <c r="AN34" s="37" t="n">
        <f aca="false">IF(Config!$B$16=0,"",AI34/Config!$B$16)</f>
        <v>0</v>
      </c>
      <c r="AO34" s="37" t="n">
        <f aca="false">IF(Config!$B$17=0,"",AJ34/Config!$B$17)</f>
        <v>0</v>
      </c>
      <c r="AP34" s="39" t="str">
        <f aca="false">IF(T34=0,"",AL34/T34)</f>
        <v/>
      </c>
      <c r="AQ34" s="39" t="n">
        <f aca="false">SUMIFS($AI$4:$AI$107,$D$4:$D$107,$D34,$B$4:$B$107,"&lt;="&amp;$B34)</f>
        <v>0</v>
      </c>
      <c r="AR34" s="39" t="n">
        <f aca="false">SUMIFS($AJ$4:$AJ$107,$D$4:$D$107,$D34,$B$4:$B$107,"&lt;="&amp;$B34)</f>
        <v>0</v>
      </c>
      <c r="AS34" s="36" t="n">
        <f aca="false">SUMIFS(Leads_Canal!$C$4:$C$503,Leads_Canal!$A$4:$A$503,$A34)</f>
        <v>0</v>
      </c>
      <c r="AT34" s="17" t="str">
        <f aca="false">IF(E34=0,"",IF(E34=AR34,"OK","Divergente"))</f>
        <v/>
      </c>
      <c r="AU34" s="17" t="str">
        <f aca="false">IF(N34=0,"",IF(N34=AD34,"OK","Divergente"))</f>
        <v/>
      </c>
    </row>
    <row r="35" customFormat="false" ht="15" hidden="false" customHeight="false" outlineLevel="0" collapsed="false">
      <c r="A35" s="17" t="str">
        <f aca="false">Base_Semanal!A35</f>
        <v>2026-S33</v>
      </c>
      <c r="B35" s="30" t="n">
        <f aca="false">Base_Semanal!B35</f>
        <v>46244</v>
      </c>
      <c r="C35" s="30" t="n">
        <f aca="false">Base_Semanal!C35</f>
        <v>46250</v>
      </c>
      <c r="D35" s="17" t="str">
        <f aca="false">Base_Semanal!D35</f>
        <v>2026-08</v>
      </c>
      <c r="E35" s="36" t="n">
        <f aca="false">Base_Semanal!E35</f>
        <v>0</v>
      </c>
      <c r="F35" s="36" t="n">
        <f aca="false">Base_Semanal!F35</f>
        <v>0</v>
      </c>
      <c r="G35" s="36" t="n">
        <f aca="false">Base_Semanal!G35</f>
        <v>0</v>
      </c>
      <c r="H35" s="36" t="n">
        <f aca="false">Base_Semanal!H35</f>
        <v>0</v>
      </c>
      <c r="I35" s="36" t="n">
        <f aca="false">Base_Semanal!I35</f>
        <v>0</v>
      </c>
      <c r="J35" s="36" t="n">
        <f aca="false">H35+I35</f>
        <v>0</v>
      </c>
      <c r="K35" s="37" t="str">
        <f aca="false">IF(F35=0,"",G35/F35)</f>
        <v/>
      </c>
      <c r="L35" s="36" t="n">
        <f aca="false">Base_Semanal!J35</f>
        <v>0</v>
      </c>
      <c r="M35" s="36" t="n">
        <f aca="false">Base_Semanal!K35</f>
        <v>0</v>
      </c>
      <c r="N35" s="36" t="n">
        <f aca="false">L35+M35</f>
        <v>0</v>
      </c>
      <c r="O35" s="37" t="str">
        <f aca="false">IF(J35=0,"",N35/J35)</f>
        <v/>
      </c>
      <c r="P35" s="36" t="n">
        <f aca="false">Base_Semanal!L35</f>
        <v>0</v>
      </c>
      <c r="Q35" s="36" t="n">
        <f aca="false">Base_Semanal!M35</f>
        <v>0</v>
      </c>
      <c r="R35" s="36" t="n">
        <f aca="false">P35+Q35</f>
        <v>0</v>
      </c>
      <c r="S35" s="36" t="n">
        <f aca="false">Base_Semanal!N35</f>
        <v>0</v>
      </c>
      <c r="T35" s="36" t="n">
        <f aca="false">Base_Semanal!O35</f>
        <v>0</v>
      </c>
      <c r="U35" s="37" t="str">
        <f aca="false">IF(Base_Semanal!P35=0,"",Base_Semanal!Q35/Base_Semanal!P35)</f>
        <v/>
      </c>
      <c r="V35" s="37" t="str">
        <f aca="false">IF(Base_Semanal!R35=0,"",Base_Semanal!S35/Base_Semanal!R35)</f>
        <v/>
      </c>
      <c r="W35" s="37" t="str">
        <f aca="false">IF(Base_Semanal!P35+Base_Semanal!R35=0,"",(Base_Semanal!Q35+Base_Semanal!S35)/(Base_Semanal!P35+Base_Semanal!R35))</f>
        <v/>
      </c>
      <c r="X35" s="38" t="n">
        <f aca="false">Base_Semanal!T35</f>
        <v>0</v>
      </c>
      <c r="Y35" s="38" t="n">
        <f aca="false">Base_Semanal!U35</f>
        <v>0</v>
      </c>
      <c r="Z35" s="38" t="n">
        <f aca="false">Base_Semanal!V35</f>
        <v>0</v>
      </c>
      <c r="AA35" s="38" t="n">
        <f aca="false">Base_Semanal!W35</f>
        <v>0</v>
      </c>
      <c r="AB35" s="36" t="n">
        <f aca="false">COUNTIFS(Contratos!$B$4:$B$503,$A35,Contratos!$E$4:$E$503,"Avaliação")</f>
        <v>0</v>
      </c>
      <c r="AC35" s="39" t="n">
        <f aca="false">SUMIFS(Contratos!$I$4:$I$503,Contratos!$B$4:$B$503,$A35,Contratos!$E$4:$E$503,"Avaliação")</f>
        <v>0</v>
      </c>
      <c r="AD35" s="36" t="n">
        <f aca="false">COUNTIFS(Contratos!$B$4:$B$503,$A35,Contratos!$E$4:$E$503,"Protocolo")</f>
        <v>0</v>
      </c>
      <c r="AE35" s="39" t="n">
        <f aca="false">SUMIFS(Contratos!$I$4:$I$503,Contratos!$B$4:$B$503,$A35,Contratos!$E$4:$E$503,"Protocolo")</f>
        <v>0</v>
      </c>
      <c r="AF35" s="39" t="n">
        <f aca="false">AC35+AE35</f>
        <v>0</v>
      </c>
      <c r="AG35" s="36" t="n">
        <f aca="false">COUNTIFS(Contratos!$B$4:$B$503,$A35,Contratos!$J$4:$J$503,"À vista")</f>
        <v>0</v>
      </c>
      <c r="AH35" s="36" t="n">
        <f aca="false">COUNTIFS(Contratos!$B$4:$B$503,$A35,Contratos!$J$4:$J$503,"Parcelado")</f>
        <v>0</v>
      </c>
      <c r="AI35" s="39" t="n">
        <f aca="false">SUMIFS(Financeiro!$G$4:$G$503,Financeiro!$B$4:$B$503,$A35,Financeiro!$D$4:$D$503,"Receita",Financeiro!$H$4:$H$503,"&lt;&gt;Cancelado")</f>
        <v>0</v>
      </c>
      <c r="AJ35" s="39" t="n">
        <f aca="false">SUMIFS(Financeiro!$G$4:$G$503,Financeiro!$B$4:$B$503,$A35,Financeiro!$D$4:$D$503,"Gasto",Financeiro!$H$4:$H$503,"&lt;&gt;Cancelado")</f>
        <v>0</v>
      </c>
      <c r="AK35" s="39" t="n">
        <f aca="false">SUMIFS(Financeiro!$G$4:$G$503,Financeiro!$B$4:$B$503,$A35,Financeiro!$D$4:$D$503,"Imposto",Financeiro!$H$4:$H$503,"&lt;&gt;Cancelado")</f>
        <v>0</v>
      </c>
      <c r="AL35" s="39" t="n">
        <f aca="false">SUMIFS(Financeiro!$G$4:$G$503,Financeiro!$B$4:$B$503,$A35,Financeiro!$D$4:$D$503,"Marketing",Financeiro!$H$4:$H$503,"&lt;&gt;Cancelado")</f>
        <v>0</v>
      </c>
      <c r="AM35" s="39" t="n">
        <f aca="false">AI35-AJ35-AK35-AL35</f>
        <v>0</v>
      </c>
      <c r="AN35" s="37" t="n">
        <f aca="false">IF(Config!$B$16=0,"",AI35/Config!$B$16)</f>
        <v>0</v>
      </c>
      <c r="AO35" s="37" t="n">
        <f aca="false">IF(Config!$B$17=0,"",AJ35/Config!$B$17)</f>
        <v>0</v>
      </c>
      <c r="AP35" s="39" t="str">
        <f aca="false">IF(T35=0,"",AL35/T35)</f>
        <v/>
      </c>
      <c r="AQ35" s="39" t="n">
        <f aca="false">SUMIFS($AI$4:$AI$107,$D$4:$D$107,$D35,$B$4:$B$107,"&lt;="&amp;$B35)</f>
        <v>0</v>
      </c>
      <c r="AR35" s="39" t="n">
        <f aca="false">SUMIFS($AJ$4:$AJ$107,$D$4:$D$107,$D35,$B$4:$B$107,"&lt;="&amp;$B35)</f>
        <v>0</v>
      </c>
      <c r="AS35" s="36" t="n">
        <f aca="false">SUMIFS(Leads_Canal!$C$4:$C$503,Leads_Canal!$A$4:$A$503,$A35)</f>
        <v>0</v>
      </c>
      <c r="AT35" s="17" t="str">
        <f aca="false">IF(E35=0,"",IF(E35=AR35,"OK","Divergente"))</f>
        <v/>
      </c>
      <c r="AU35" s="17" t="str">
        <f aca="false">IF(N35=0,"",IF(N35=AD35,"OK","Divergente"))</f>
        <v/>
      </c>
    </row>
    <row r="36" customFormat="false" ht="15" hidden="false" customHeight="false" outlineLevel="0" collapsed="false">
      <c r="A36" s="17" t="str">
        <f aca="false">Base_Semanal!A36</f>
        <v>2026-S34</v>
      </c>
      <c r="B36" s="30" t="n">
        <f aca="false">Base_Semanal!B36</f>
        <v>46251</v>
      </c>
      <c r="C36" s="30" t="n">
        <f aca="false">Base_Semanal!C36</f>
        <v>46257</v>
      </c>
      <c r="D36" s="17" t="str">
        <f aca="false">Base_Semanal!D36</f>
        <v>2026-08</v>
      </c>
      <c r="E36" s="36" t="n">
        <f aca="false">Base_Semanal!E36</f>
        <v>0</v>
      </c>
      <c r="F36" s="36" t="n">
        <f aca="false">Base_Semanal!F36</f>
        <v>0</v>
      </c>
      <c r="G36" s="36" t="n">
        <f aca="false">Base_Semanal!G36</f>
        <v>0</v>
      </c>
      <c r="H36" s="36" t="n">
        <f aca="false">Base_Semanal!H36</f>
        <v>0</v>
      </c>
      <c r="I36" s="36" t="n">
        <f aca="false">Base_Semanal!I36</f>
        <v>0</v>
      </c>
      <c r="J36" s="36" t="n">
        <f aca="false">H36+I36</f>
        <v>0</v>
      </c>
      <c r="K36" s="37" t="str">
        <f aca="false">IF(F36=0,"",G36/F36)</f>
        <v/>
      </c>
      <c r="L36" s="36" t="n">
        <f aca="false">Base_Semanal!J36</f>
        <v>0</v>
      </c>
      <c r="M36" s="36" t="n">
        <f aca="false">Base_Semanal!K36</f>
        <v>0</v>
      </c>
      <c r="N36" s="36" t="n">
        <f aca="false">L36+M36</f>
        <v>0</v>
      </c>
      <c r="O36" s="37" t="str">
        <f aca="false">IF(J36=0,"",N36/J36)</f>
        <v/>
      </c>
      <c r="P36" s="36" t="n">
        <f aca="false">Base_Semanal!L36</f>
        <v>0</v>
      </c>
      <c r="Q36" s="36" t="n">
        <f aca="false">Base_Semanal!M36</f>
        <v>0</v>
      </c>
      <c r="R36" s="36" t="n">
        <f aca="false">P36+Q36</f>
        <v>0</v>
      </c>
      <c r="S36" s="36" t="n">
        <f aca="false">Base_Semanal!N36</f>
        <v>0</v>
      </c>
      <c r="T36" s="36" t="n">
        <f aca="false">Base_Semanal!O36</f>
        <v>0</v>
      </c>
      <c r="U36" s="37" t="str">
        <f aca="false">IF(Base_Semanal!P36=0,"",Base_Semanal!Q36/Base_Semanal!P36)</f>
        <v/>
      </c>
      <c r="V36" s="37" t="str">
        <f aca="false">IF(Base_Semanal!R36=0,"",Base_Semanal!S36/Base_Semanal!R36)</f>
        <v/>
      </c>
      <c r="W36" s="37" t="str">
        <f aca="false">IF(Base_Semanal!P36+Base_Semanal!R36=0,"",(Base_Semanal!Q36+Base_Semanal!S36)/(Base_Semanal!P36+Base_Semanal!R36))</f>
        <v/>
      </c>
      <c r="X36" s="38" t="n">
        <f aca="false">Base_Semanal!T36</f>
        <v>0</v>
      </c>
      <c r="Y36" s="38" t="n">
        <f aca="false">Base_Semanal!U36</f>
        <v>0</v>
      </c>
      <c r="Z36" s="38" t="n">
        <f aca="false">Base_Semanal!V36</f>
        <v>0</v>
      </c>
      <c r="AA36" s="38" t="n">
        <f aca="false">Base_Semanal!W36</f>
        <v>0</v>
      </c>
      <c r="AB36" s="36" t="n">
        <f aca="false">COUNTIFS(Contratos!$B$4:$B$503,$A36,Contratos!$E$4:$E$503,"Avaliação")</f>
        <v>0</v>
      </c>
      <c r="AC36" s="39" t="n">
        <f aca="false">SUMIFS(Contratos!$I$4:$I$503,Contratos!$B$4:$B$503,$A36,Contratos!$E$4:$E$503,"Avaliação")</f>
        <v>0</v>
      </c>
      <c r="AD36" s="36" t="n">
        <f aca="false">COUNTIFS(Contratos!$B$4:$B$503,$A36,Contratos!$E$4:$E$503,"Protocolo")</f>
        <v>0</v>
      </c>
      <c r="AE36" s="39" t="n">
        <f aca="false">SUMIFS(Contratos!$I$4:$I$503,Contratos!$B$4:$B$503,$A36,Contratos!$E$4:$E$503,"Protocolo")</f>
        <v>0</v>
      </c>
      <c r="AF36" s="39" t="n">
        <f aca="false">AC36+AE36</f>
        <v>0</v>
      </c>
      <c r="AG36" s="36" t="n">
        <f aca="false">COUNTIFS(Contratos!$B$4:$B$503,$A36,Contratos!$J$4:$J$503,"À vista")</f>
        <v>0</v>
      </c>
      <c r="AH36" s="36" t="n">
        <f aca="false">COUNTIFS(Contratos!$B$4:$B$503,$A36,Contratos!$J$4:$J$503,"Parcelado")</f>
        <v>0</v>
      </c>
      <c r="AI36" s="39" t="n">
        <f aca="false">SUMIFS(Financeiro!$G$4:$G$503,Financeiro!$B$4:$B$503,$A36,Financeiro!$D$4:$D$503,"Receita",Financeiro!$H$4:$H$503,"&lt;&gt;Cancelado")</f>
        <v>0</v>
      </c>
      <c r="AJ36" s="39" t="n">
        <f aca="false">SUMIFS(Financeiro!$G$4:$G$503,Financeiro!$B$4:$B$503,$A36,Financeiro!$D$4:$D$503,"Gasto",Financeiro!$H$4:$H$503,"&lt;&gt;Cancelado")</f>
        <v>0</v>
      </c>
      <c r="AK36" s="39" t="n">
        <f aca="false">SUMIFS(Financeiro!$G$4:$G$503,Financeiro!$B$4:$B$503,$A36,Financeiro!$D$4:$D$503,"Imposto",Financeiro!$H$4:$H$503,"&lt;&gt;Cancelado")</f>
        <v>0</v>
      </c>
      <c r="AL36" s="39" t="n">
        <f aca="false">SUMIFS(Financeiro!$G$4:$G$503,Financeiro!$B$4:$B$503,$A36,Financeiro!$D$4:$D$503,"Marketing",Financeiro!$H$4:$H$503,"&lt;&gt;Cancelado")</f>
        <v>0</v>
      </c>
      <c r="AM36" s="39" t="n">
        <f aca="false">AI36-AJ36-AK36-AL36</f>
        <v>0</v>
      </c>
      <c r="AN36" s="37" t="n">
        <f aca="false">IF(Config!$B$16=0,"",AI36/Config!$B$16)</f>
        <v>0</v>
      </c>
      <c r="AO36" s="37" t="n">
        <f aca="false">IF(Config!$B$17=0,"",AJ36/Config!$B$17)</f>
        <v>0</v>
      </c>
      <c r="AP36" s="39" t="str">
        <f aca="false">IF(T36=0,"",AL36/T36)</f>
        <v/>
      </c>
      <c r="AQ36" s="39" t="n">
        <f aca="false">SUMIFS($AI$4:$AI$107,$D$4:$D$107,$D36,$B$4:$B$107,"&lt;="&amp;$B36)</f>
        <v>0</v>
      </c>
      <c r="AR36" s="39" t="n">
        <f aca="false">SUMIFS($AJ$4:$AJ$107,$D$4:$D$107,$D36,$B$4:$B$107,"&lt;="&amp;$B36)</f>
        <v>0</v>
      </c>
      <c r="AS36" s="36" t="n">
        <f aca="false">SUMIFS(Leads_Canal!$C$4:$C$503,Leads_Canal!$A$4:$A$503,$A36)</f>
        <v>0</v>
      </c>
      <c r="AT36" s="17" t="str">
        <f aca="false">IF(E36=0,"",IF(E36=AR36,"OK","Divergente"))</f>
        <v/>
      </c>
      <c r="AU36" s="17" t="str">
        <f aca="false">IF(N36=0,"",IF(N36=AD36,"OK","Divergente"))</f>
        <v/>
      </c>
    </row>
    <row r="37" customFormat="false" ht="15" hidden="false" customHeight="false" outlineLevel="0" collapsed="false">
      <c r="A37" s="17" t="str">
        <f aca="false">Base_Semanal!A37</f>
        <v>2026-S35</v>
      </c>
      <c r="B37" s="30" t="n">
        <f aca="false">Base_Semanal!B37</f>
        <v>46258</v>
      </c>
      <c r="C37" s="30" t="n">
        <f aca="false">Base_Semanal!C37</f>
        <v>46264</v>
      </c>
      <c r="D37" s="17" t="str">
        <f aca="false">Base_Semanal!D37</f>
        <v>2026-08</v>
      </c>
      <c r="E37" s="36" t="n">
        <f aca="false">Base_Semanal!E37</f>
        <v>0</v>
      </c>
      <c r="F37" s="36" t="n">
        <f aca="false">Base_Semanal!F37</f>
        <v>0</v>
      </c>
      <c r="G37" s="36" t="n">
        <f aca="false">Base_Semanal!G37</f>
        <v>0</v>
      </c>
      <c r="H37" s="36" t="n">
        <f aca="false">Base_Semanal!H37</f>
        <v>0</v>
      </c>
      <c r="I37" s="36" t="n">
        <f aca="false">Base_Semanal!I37</f>
        <v>0</v>
      </c>
      <c r="J37" s="36" t="n">
        <f aca="false">H37+I37</f>
        <v>0</v>
      </c>
      <c r="K37" s="37" t="str">
        <f aca="false">IF(F37=0,"",G37/F37)</f>
        <v/>
      </c>
      <c r="L37" s="36" t="n">
        <f aca="false">Base_Semanal!J37</f>
        <v>0</v>
      </c>
      <c r="M37" s="36" t="n">
        <f aca="false">Base_Semanal!K37</f>
        <v>0</v>
      </c>
      <c r="N37" s="36" t="n">
        <f aca="false">L37+M37</f>
        <v>0</v>
      </c>
      <c r="O37" s="37" t="str">
        <f aca="false">IF(J37=0,"",N37/J37)</f>
        <v/>
      </c>
      <c r="P37" s="36" t="n">
        <f aca="false">Base_Semanal!L37</f>
        <v>0</v>
      </c>
      <c r="Q37" s="36" t="n">
        <f aca="false">Base_Semanal!M37</f>
        <v>0</v>
      </c>
      <c r="R37" s="36" t="n">
        <f aca="false">P37+Q37</f>
        <v>0</v>
      </c>
      <c r="S37" s="36" t="n">
        <f aca="false">Base_Semanal!N37</f>
        <v>0</v>
      </c>
      <c r="T37" s="36" t="n">
        <f aca="false">Base_Semanal!O37</f>
        <v>0</v>
      </c>
      <c r="U37" s="37" t="str">
        <f aca="false">IF(Base_Semanal!P37=0,"",Base_Semanal!Q37/Base_Semanal!P37)</f>
        <v/>
      </c>
      <c r="V37" s="37" t="str">
        <f aca="false">IF(Base_Semanal!R37=0,"",Base_Semanal!S37/Base_Semanal!R37)</f>
        <v/>
      </c>
      <c r="W37" s="37" t="str">
        <f aca="false">IF(Base_Semanal!P37+Base_Semanal!R37=0,"",(Base_Semanal!Q37+Base_Semanal!S37)/(Base_Semanal!P37+Base_Semanal!R37))</f>
        <v/>
      </c>
      <c r="X37" s="38" t="n">
        <f aca="false">Base_Semanal!T37</f>
        <v>0</v>
      </c>
      <c r="Y37" s="38" t="n">
        <f aca="false">Base_Semanal!U37</f>
        <v>0</v>
      </c>
      <c r="Z37" s="38" t="n">
        <f aca="false">Base_Semanal!V37</f>
        <v>0</v>
      </c>
      <c r="AA37" s="38" t="n">
        <f aca="false">Base_Semanal!W37</f>
        <v>0</v>
      </c>
      <c r="AB37" s="36" t="n">
        <f aca="false">COUNTIFS(Contratos!$B$4:$B$503,$A37,Contratos!$E$4:$E$503,"Avaliação")</f>
        <v>0</v>
      </c>
      <c r="AC37" s="39" t="n">
        <f aca="false">SUMIFS(Contratos!$I$4:$I$503,Contratos!$B$4:$B$503,$A37,Contratos!$E$4:$E$503,"Avaliação")</f>
        <v>0</v>
      </c>
      <c r="AD37" s="36" t="n">
        <f aca="false">COUNTIFS(Contratos!$B$4:$B$503,$A37,Contratos!$E$4:$E$503,"Protocolo")</f>
        <v>0</v>
      </c>
      <c r="AE37" s="39" t="n">
        <f aca="false">SUMIFS(Contratos!$I$4:$I$503,Contratos!$B$4:$B$503,$A37,Contratos!$E$4:$E$503,"Protocolo")</f>
        <v>0</v>
      </c>
      <c r="AF37" s="39" t="n">
        <f aca="false">AC37+AE37</f>
        <v>0</v>
      </c>
      <c r="AG37" s="36" t="n">
        <f aca="false">COUNTIFS(Contratos!$B$4:$B$503,$A37,Contratos!$J$4:$J$503,"À vista")</f>
        <v>0</v>
      </c>
      <c r="AH37" s="36" t="n">
        <f aca="false">COUNTIFS(Contratos!$B$4:$B$503,$A37,Contratos!$J$4:$J$503,"Parcelado")</f>
        <v>0</v>
      </c>
      <c r="AI37" s="39" t="n">
        <f aca="false">SUMIFS(Financeiro!$G$4:$G$503,Financeiro!$B$4:$B$503,$A37,Financeiro!$D$4:$D$503,"Receita",Financeiro!$H$4:$H$503,"&lt;&gt;Cancelado")</f>
        <v>0</v>
      </c>
      <c r="AJ37" s="39" t="n">
        <f aca="false">SUMIFS(Financeiro!$G$4:$G$503,Financeiro!$B$4:$B$503,$A37,Financeiro!$D$4:$D$503,"Gasto",Financeiro!$H$4:$H$503,"&lt;&gt;Cancelado")</f>
        <v>0</v>
      </c>
      <c r="AK37" s="39" t="n">
        <f aca="false">SUMIFS(Financeiro!$G$4:$G$503,Financeiro!$B$4:$B$503,$A37,Financeiro!$D$4:$D$503,"Imposto",Financeiro!$H$4:$H$503,"&lt;&gt;Cancelado")</f>
        <v>0</v>
      </c>
      <c r="AL37" s="39" t="n">
        <f aca="false">SUMIFS(Financeiro!$G$4:$G$503,Financeiro!$B$4:$B$503,$A37,Financeiro!$D$4:$D$503,"Marketing",Financeiro!$H$4:$H$503,"&lt;&gt;Cancelado")</f>
        <v>0</v>
      </c>
      <c r="AM37" s="39" t="n">
        <f aca="false">AI37-AJ37-AK37-AL37</f>
        <v>0</v>
      </c>
      <c r="AN37" s="37" t="n">
        <f aca="false">IF(Config!$B$16=0,"",AI37/Config!$B$16)</f>
        <v>0</v>
      </c>
      <c r="AO37" s="37" t="n">
        <f aca="false">IF(Config!$B$17=0,"",AJ37/Config!$B$17)</f>
        <v>0</v>
      </c>
      <c r="AP37" s="39" t="str">
        <f aca="false">IF(T37=0,"",AL37/T37)</f>
        <v/>
      </c>
      <c r="AQ37" s="39" t="n">
        <f aca="false">SUMIFS($AI$4:$AI$107,$D$4:$D$107,$D37,$B$4:$B$107,"&lt;="&amp;$B37)</f>
        <v>0</v>
      </c>
      <c r="AR37" s="39" t="n">
        <f aca="false">SUMIFS($AJ$4:$AJ$107,$D$4:$D$107,$D37,$B$4:$B$107,"&lt;="&amp;$B37)</f>
        <v>0</v>
      </c>
      <c r="AS37" s="36" t="n">
        <f aca="false">SUMIFS(Leads_Canal!$C$4:$C$503,Leads_Canal!$A$4:$A$503,$A37)</f>
        <v>0</v>
      </c>
      <c r="AT37" s="17" t="str">
        <f aca="false">IF(E37=0,"",IF(E37=AR37,"OK","Divergente"))</f>
        <v/>
      </c>
      <c r="AU37" s="17" t="str">
        <f aca="false">IF(N37=0,"",IF(N37=AD37,"OK","Divergente"))</f>
        <v/>
      </c>
    </row>
    <row r="38" customFormat="false" ht="15" hidden="false" customHeight="false" outlineLevel="0" collapsed="false">
      <c r="A38" s="17" t="str">
        <f aca="false">Base_Semanal!A38</f>
        <v>2026-S36</v>
      </c>
      <c r="B38" s="30" t="n">
        <f aca="false">Base_Semanal!B38</f>
        <v>46265</v>
      </c>
      <c r="C38" s="30" t="n">
        <f aca="false">Base_Semanal!C38</f>
        <v>46271</v>
      </c>
      <c r="D38" s="17" t="str">
        <f aca="false">Base_Semanal!D38</f>
        <v>2026-08</v>
      </c>
      <c r="E38" s="36" t="n">
        <f aca="false">Base_Semanal!E38</f>
        <v>0</v>
      </c>
      <c r="F38" s="36" t="n">
        <f aca="false">Base_Semanal!F38</f>
        <v>0</v>
      </c>
      <c r="G38" s="36" t="n">
        <f aca="false">Base_Semanal!G38</f>
        <v>0</v>
      </c>
      <c r="H38" s="36" t="n">
        <f aca="false">Base_Semanal!H38</f>
        <v>0</v>
      </c>
      <c r="I38" s="36" t="n">
        <f aca="false">Base_Semanal!I38</f>
        <v>0</v>
      </c>
      <c r="J38" s="36" t="n">
        <f aca="false">H38+I38</f>
        <v>0</v>
      </c>
      <c r="K38" s="37" t="str">
        <f aca="false">IF(F38=0,"",G38/F38)</f>
        <v/>
      </c>
      <c r="L38" s="36" t="n">
        <f aca="false">Base_Semanal!J38</f>
        <v>0</v>
      </c>
      <c r="M38" s="36" t="n">
        <f aca="false">Base_Semanal!K38</f>
        <v>0</v>
      </c>
      <c r="N38" s="36" t="n">
        <f aca="false">L38+M38</f>
        <v>0</v>
      </c>
      <c r="O38" s="37" t="str">
        <f aca="false">IF(J38=0,"",N38/J38)</f>
        <v/>
      </c>
      <c r="P38" s="36" t="n">
        <f aca="false">Base_Semanal!L38</f>
        <v>0</v>
      </c>
      <c r="Q38" s="36" t="n">
        <f aca="false">Base_Semanal!M38</f>
        <v>0</v>
      </c>
      <c r="R38" s="36" t="n">
        <f aca="false">P38+Q38</f>
        <v>0</v>
      </c>
      <c r="S38" s="36" t="n">
        <f aca="false">Base_Semanal!N38</f>
        <v>0</v>
      </c>
      <c r="T38" s="36" t="n">
        <f aca="false">Base_Semanal!O38</f>
        <v>0</v>
      </c>
      <c r="U38" s="37" t="str">
        <f aca="false">IF(Base_Semanal!P38=0,"",Base_Semanal!Q38/Base_Semanal!P38)</f>
        <v/>
      </c>
      <c r="V38" s="37" t="str">
        <f aca="false">IF(Base_Semanal!R38=0,"",Base_Semanal!S38/Base_Semanal!R38)</f>
        <v/>
      </c>
      <c r="W38" s="37" t="str">
        <f aca="false">IF(Base_Semanal!P38+Base_Semanal!R38=0,"",(Base_Semanal!Q38+Base_Semanal!S38)/(Base_Semanal!P38+Base_Semanal!R38))</f>
        <v/>
      </c>
      <c r="X38" s="38" t="n">
        <f aca="false">Base_Semanal!T38</f>
        <v>0</v>
      </c>
      <c r="Y38" s="38" t="n">
        <f aca="false">Base_Semanal!U38</f>
        <v>0</v>
      </c>
      <c r="Z38" s="38" t="n">
        <f aca="false">Base_Semanal!V38</f>
        <v>0</v>
      </c>
      <c r="AA38" s="38" t="n">
        <f aca="false">Base_Semanal!W38</f>
        <v>0</v>
      </c>
      <c r="AB38" s="36" t="n">
        <f aca="false">COUNTIFS(Contratos!$B$4:$B$503,$A38,Contratos!$E$4:$E$503,"Avaliação")</f>
        <v>0</v>
      </c>
      <c r="AC38" s="39" t="n">
        <f aca="false">SUMIFS(Contratos!$I$4:$I$503,Contratos!$B$4:$B$503,$A38,Contratos!$E$4:$E$503,"Avaliação")</f>
        <v>0</v>
      </c>
      <c r="AD38" s="36" t="n">
        <f aca="false">COUNTIFS(Contratos!$B$4:$B$503,$A38,Contratos!$E$4:$E$503,"Protocolo")</f>
        <v>0</v>
      </c>
      <c r="AE38" s="39" t="n">
        <f aca="false">SUMIFS(Contratos!$I$4:$I$503,Contratos!$B$4:$B$503,$A38,Contratos!$E$4:$E$503,"Protocolo")</f>
        <v>0</v>
      </c>
      <c r="AF38" s="39" t="n">
        <f aca="false">AC38+AE38</f>
        <v>0</v>
      </c>
      <c r="AG38" s="36" t="n">
        <f aca="false">COUNTIFS(Contratos!$B$4:$B$503,$A38,Contratos!$J$4:$J$503,"À vista")</f>
        <v>0</v>
      </c>
      <c r="AH38" s="36" t="n">
        <f aca="false">COUNTIFS(Contratos!$B$4:$B$503,$A38,Contratos!$J$4:$J$503,"Parcelado")</f>
        <v>0</v>
      </c>
      <c r="AI38" s="39" t="n">
        <f aca="false">SUMIFS(Financeiro!$G$4:$G$503,Financeiro!$B$4:$B$503,$A38,Financeiro!$D$4:$D$503,"Receita",Financeiro!$H$4:$H$503,"&lt;&gt;Cancelado")</f>
        <v>0</v>
      </c>
      <c r="AJ38" s="39" t="n">
        <f aca="false">SUMIFS(Financeiro!$G$4:$G$503,Financeiro!$B$4:$B$503,$A38,Financeiro!$D$4:$D$503,"Gasto",Financeiro!$H$4:$H$503,"&lt;&gt;Cancelado")</f>
        <v>0</v>
      </c>
      <c r="AK38" s="39" t="n">
        <f aca="false">SUMIFS(Financeiro!$G$4:$G$503,Financeiro!$B$4:$B$503,$A38,Financeiro!$D$4:$D$503,"Imposto",Financeiro!$H$4:$H$503,"&lt;&gt;Cancelado")</f>
        <v>0</v>
      </c>
      <c r="AL38" s="39" t="n">
        <f aca="false">SUMIFS(Financeiro!$G$4:$G$503,Financeiro!$B$4:$B$503,$A38,Financeiro!$D$4:$D$503,"Marketing",Financeiro!$H$4:$H$503,"&lt;&gt;Cancelado")</f>
        <v>0</v>
      </c>
      <c r="AM38" s="39" t="n">
        <f aca="false">AI38-AJ38-AK38-AL38</f>
        <v>0</v>
      </c>
      <c r="AN38" s="37" t="n">
        <f aca="false">IF(Config!$B$16=0,"",AI38/Config!$B$16)</f>
        <v>0</v>
      </c>
      <c r="AO38" s="37" t="n">
        <f aca="false">IF(Config!$B$17=0,"",AJ38/Config!$B$17)</f>
        <v>0</v>
      </c>
      <c r="AP38" s="39" t="str">
        <f aca="false">IF(T38=0,"",AL38/T38)</f>
        <v/>
      </c>
      <c r="AQ38" s="39" t="n">
        <f aca="false">SUMIFS($AI$4:$AI$107,$D$4:$D$107,$D38,$B$4:$B$107,"&lt;="&amp;$B38)</f>
        <v>0</v>
      </c>
      <c r="AR38" s="39" t="n">
        <f aca="false">SUMIFS($AJ$4:$AJ$107,$D$4:$D$107,$D38,$B$4:$B$107,"&lt;="&amp;$B38)</f>
        <v>0</v>
      </c>
      <c r="AS38" s="36" t="n">
        <f aca="false">SUMIFS(Leads_Canal!$C$4:$C$503,Leads_Canal!$A$4:$A$503,$A38)</f>
        <v>0</v>
      </c>
      <c r="AT38" s="17" t="str">
        <f aca="false">IF(E38=0,"",IF(E38=AR38,"OK","Divergente"))</f>
        <v/>
      </c>
      <c r="AU38" s="17" t="str">
        <f aca="false">IF(N38=0,"",IF(N38=AD38,"OK","Divergente"))</f>
        <v/>
      </c>
    </row>
    <row r="39" customFormat="false" ht="15" hidden="false" customHeight="false" outlineLevel="0" collapsed="false">
      <c r="A39" s="17" t="str">
        <f aca="false">Base_Semanal!A39</f>
        <v>2026-S37</v>
      </c>
      <c r="B39" s="30" t="n">
        <f aca="false">Base_Semanal!B39</f>
        <v>46272</v>
      </c>
      <c r="C39" s="30" t="n">
        <f aca="false">Base_Semanal!C39</f>
        <v>46278</v>
      </c>
      <c r="D39" s="17" t="str">
        <f aca="false">Base_Semanal!D39</f>
        <v>2026-09</v>
      </c>
      <c r="E39" s="36" t="n">
        <f aca="false">Base_Semanal!E39</f>
        <v>0</v>
      </c>
      <c r="F39" s="36" t="n">
        <f aca="false">Base_Semanal!F39</f>
        <v>0</v>
      </c>
      <c r="G39" s="36" t="n">
        <f aca="false">Base_Semanal!G39</f>
        <v>0</v>
      </c>
      <c r="H39" s="36" t="n">
        <f aca="false">Base_Semanal!H39</f>
        <v>0</v>
      </c>
      <c r="I39" s="36" t="n">
        <f aca="false">Base_Semanal!I39</f>
        <v>0</v>
      </c>
      <c r="J39" s="36" t="n">
        <f aca="false">H39+I39</f>
        <v>0</v>
      </c>
      <c r="K39" s="37" t="str">
        <f aca="false">IF(F39=0,"",G39/F39)</f>
        <v/>
      </c>
      <c r="L39" s="36" t="n">
        <f aca="false">Base_Semanal!J39</f>
        <v>0</v>
      </c>
      <c r="M39" s="36" t="n">
        <f aca="false">Base_Semanal!K39</f>
        <v>0</v>
      </c>
      <c r="N39" s="36" t="n">
        <f aca="false">L39+M39</f>
        <v>0</v>
      </c>
      <c r="O39" s="37" t="str">
        <f aca="false">IF(J39=0,"",N39/J39)</f>
        <v/>
      </c>
      <c r="P39" s="36" t="n">
        <f aca="false">Base_Semanal!L39</f>
        <v>0</v>
      </c>
      <c r="Q39" s="36" t="n">
        <f aca="false">Base_Semanal!M39</f>
        <v>0</v>
      </c>
      <c r="R39" s="36" t="n">
        <f aca="false">P39+Q39</f>
        <v>0</v>
      </c>
      <c r="S39" s="36" t="n">
        <f aca="false">Base_Semanal!N39</f>
        <v>0</v>
      </c>
      <c r="T39" s="36" t="n">
        <f aca="false">Base_Semanal!O39</f>
        <v>0</v>
      </c>
      <c r="U39" s="37" t="str">
        <f aca="false">IF(Base_Semanal!P39=0,"",Base_Semanal!Q39/Base_Semanal!P39)</f>
        <v/>
      </c>
      <c r="V39" s="37" t="str">
        <f aca="false">IF(Base_Semanal!R39=0,"",Base_Semanal!S39/Base_Semanal!R39)</f>
        <v/>
      </c>
      <c r="W39" s="37" t="str">
        <f aca="false">IF(Base_Semanal!P39+Base_Semanal!R39=0,"",(Base_Semanal!Q39+Base_Semanal!S39)/(Base_Semanal!P39+Base_Semanal!R39))</f>
        <v/>
      </c>
      <c r="X39" s="38" t="n">
        <f aca="false">Base_Semanal!T39</f>
        <v>0</v>
      </c>
      <c r="Y39" s="38" t="n">
        <f aca="false">Base_Semanal!U39</f>
        <v>0</v>
      </c>
      <c r="Z39" s="38" t="n">
        <f aca="false">Base_Semanal!V39</f>
        <v>0</v>
      </c>
      <c r="AA39" s="38" t="n">
        <f aca="false">Base_Semanal!W39</f>
        <v>0</v>
      </c>
      <c r="AB39" s="36" t="n">
        <f aca="false">COUNTIFS(Contratos!$B$4:$B$503,$A39,Contratos!$E$4:$E$503,"Avaliação")</f>
        <v>0</v>
      </c>
      <c r="AC39" s="39" t="n">
        <f aca="false">SUMIFS(Contratos!$I$4:$I$503,Contratos!$B$4:$B$503,$A39,Contratos!$E$4:$E$503,"Avaliação")</f>
        <v>0</v>
      </c>
      <c r="AD39" s="36" t="n">
        <f aca="false">COUNTIFS(Contratos!$B$4:$B$503,$A39,Contratos!$E$4:$E$503,"Protocolo")</f>
        <v>0</v>
      </c>
      <c r="AE39" s="39" t="n">
        <f aca="false">SUMIFS(Contratos!$I$4:$I$503,Contratos!$B$4:$B$503,$A39,Contratos!$E$4:$E$503,"Protocolo")</f>
        <v>0</v>
      </c>
      <c r="AF39" s="39" t="n">
        <f aca="false">AC39+AE39</f>
        <v>0</v>
      </c>
      <c r="AG39" s="36" t="n">
        <f aca="false">COUNTIFS(Contratos!$B$4:$B$503,$A39,Contratos!$J$4:$J$503,"À vista")</f>
        <v>0</v>
      </c>
      <c r="AH39" s="36" t="n">
        <f aca="false">COUNTIFS(Contratos!$B$4:$B$503,$A39,Contratos!$J$4:$J$503,"Parcelado")</f>
        <v>0</v>
      </c>
      <c r="AI39" s="39" t="n">
        <f aca="false">SUMIFS(Financeiro!$G$4:$G$503,Financeiro!$B$4:$B$503,$A39,Financeiro!$D$4:$D$503,"Receita",Financeiro!$H$4:$H$503,"&lt;&gt;Cancelado")</f>
        <v>0</v>
      </c>
      <c r="AJ39" s="39" t="n">
        <f aca="false">SUMIFS(Financeiro!$G$4:$G$503,Financeiro!$B$4:$B$503,$A39,Financeiro!$D$4:$D$503,"Gasto",Financeiro!$H$4:$H$503,"&lt;&gt;Cancelado")</f>
        <v>0</v>
      </c>
      <c r="AK39" s="39" t="n">
        <f aca="false">SUMIFS(Financeiro!$G$4:$G$503,Financeiro!$B$4:$B$503,$A39,Financeiro!$D$4:$D$503,"Imposto",Financeiro!$H$4:$H$503,"&lt;&gt;Cancelado")</f>
        <v>0</v>
      </c>
      <c r="AL39" s="39" t="n">
        <f aca="false">SUMIFS(Financeiro!$G$4:$G$503,Financeiro!$B$4:$B$503,$A39,Financeiro!$D$4:$D$503,"Marketing",Financeiro!$H$4:$H$503,"&lt;&gt;Cancelado")</f>
        <v>0</v>
      </c>
      <c r="AM39" s="39" t="n">
        <f aca="false">AI39-AJ39-AK39-AL39</f>
        <v>0</v>
      </c>
      <c r="AN39" s="37" t="n">
        <f aca="false">IF(Config!$B$16=0,"",AI39/Config!$B$16)</f>
        <v>0</v>
      </c>
      <c r="AO39" s="37" t="n">
        <f aca="false">IF(Config!$B$17=0,"",AJ39/Config!$B$17)</f>
        <v>0</v>
      </c>
      <c r="AP39" s="39" t="str">
        <f aca="false">IF(T39=0,"",AL39/T39)</f>
        <v/>
      </c>
      <c r="AQ39" s="39" t="n">
        <f aca="false">SUMIFS($AI$4:$AI$107,$D$4:$D$107,$D39,$B$4:$B$107,"&lt;="&amp;$B39)</f>
        <v>0</v>
      </c>
      <c r="AR39" s="39" t="n">
        <f aca="false">SUMIFS($AJ$4:$AJ$107,$D$4:$D$107,$D39,$B$4:$B$107,"&lt;="&amp;$B39)</f>
        <v>0</v>
      </c>
      <c r="AS39" s="36" t="n">
        <f aca="false">SUMIFS(Leads_Canal!$C$4:$C$503,Leads_Canal!$A$4:$A$503,$A39)</f>
        <v>0</v>
      </c>
      <c r="AT39" s="17" t="str">
        <f aca="false">IF(E39=0,"",IF(E39=AR39,"OK","Divergente"))</f>
        <v/>
      </c>
      <c r="AU39" s="17" t="str">
        <f aca="false">IF(N39=0,"",IF(N39=AD39,"OK","Divergente"))</f>
        <v/>
      </c>
    </row>
    <row r="40" customFormat="false" ht="15" hidden="false" customHeight="false" outlineLevel="0" collapsed="false">
      <c r="A40" s="17" t="str">
        <f aca="false">Base_Semanal!A40</f>
        <v>2026-S38</v>
      </c>
      <c r="B40" s="30" t="n">
        <f aca="false">Base_Semanal!B40</f>
        <v>46279</v>
      </c>
      <c r="C40" s="30" t="n">
        <f aca="false">Base_Semanal!C40</f>
        <v>46285</v>
      </c>
      <c r="D40" s="17" t="str">
        <f aca="false">Base_Semanal!D40</f>
        <v>2026-09</v>
      </c>
      <c r="E40" s="36" t="n">
        <f aca="false">Base_Semanal!E40</f>
        <v>0</v>
      </c>
      <c r="F40" s="36" t="n">
        <f aca="false">Base_Semanal!F40</f>
        <v>0</v>
      </c>
      <c r="G40" s="36" t="n">
        <f aca="false">Base_Semanal!G40</f>
        <v>0</v>
      </c>
      <c r="H40" s="36" t="n">
        <f aca="false">Base_Semanal!H40</f>
        <v>0</v>
      </c>
      <c r="I40" s="36" t="n">
        <f aca="false">Base_Semanal!I40</f>
        <v>0</v>
      </c>
      <c r="J40" s="36" t="n">
        <f aca="false">H40+I40</f>
        <v>0</v>
      </c>
      <c r="K40" s="37" t="str">
        <f aca="false">IF(F40=0,"",G40/F40)</f>
        <v/>
      </c>
      <c r="L40" s="36" t="n">
        <f aca="false">Base_Semanal!J40</f>
        <v>0</v>
      </c>
      <c r="M40" s="36" t="n">
        <f aca="false">Base_Semanal!K40</f>
        <v>0</v>
      </c>
      <c r="N40" s="36" t="n">
        <f aca="false">L40+M40</f>
        <v>0</v>
      </c>
      <c r="O40" s="37" t="str">
        <f aca="false">IF(J40=0,"",N40/J40)</f>
        <v/>
      </c>
      <c r="P40" s="36" t="n">
        <f aca="false">Base_Semanal!L40</f>
        <v>0</v>
      </c>
      <c r="Q40" s="36" t="n">
        <f aca="false">Base_Semanal!M40</f>
        <v>0</v>
      </c>
      <c r="R40" s="36" t="n">
        <f aca="false">P40+Q40</f>
        <v>0</v>
      </c>
      <c r="S40" s="36" t="n">
        <f aca="false">Base_Semanal!N40</f>
        <v>0</v>
      </c>
      <c r="T40" s="36" t="n">
        <f aca="false">Base_Semanal!O40</f>
        <v>0</v>
      </c>
      <c r="U40" s="37" t="str">
        <f aca="false">IF(Base_Semanal!P40=0,"",Base_Semanal!Q40/Base_Semanal!P40)</f>
        <v/>
      </c>
      <c r="V40" s="37" t="str">
        <f aca="false">IF(Base_Semanal!R40=0,"",Base_Semanal!S40/Base_Semanal!R40)</f>
        <v/>
      </c>
      <c r="W40" s="37" t="str">
        <f aca="false">IF(Base_Semanal!P40+Base_Semanal!R40=0,"",(Base_Semanal!Q40+Base_Semanal!S40)/(Base_Semanal!P40+Base_Semanal!R40))</f>
        <v/>
      </c>
      <c r="X40" s="38" t="n">
        <f aca="false">Base_Semanal!T40</f>
        <v>0</v>
      </c>
      <c r="Y40" s="38" t="n">
        <f aca="false">Base_Semanal!U40</f>
        <v>0</v>
      </c>
      <c r="Z40" s="38" t="n">
        <f aca="false">Base_Semanal!V40</f>
        <v>0</v>
      </c>
      <c r="AA40" s="38" t="n">
        <f aca="false">Base_Semanal!W40</f>
        <v>0</v>
      </c>
      <c r="AB40" s="36" t="n">
        <f aca="false">COUNTIFS(Contratos!$B$4:$B$503,$A40,Contratos!$E$4:$E$503,"Avaliação")</f>
        <v>0</v>
      </c>
      <c r="AC40" s="39" t="n">
        <f aca="false">SUMIFS(Contratos!$I$4:$I$503,Contratos!$B$4:$B$503,$A40,Contratos!$E$4:$E$503,"Avaliação")</f>
        <v>0</v>
      </c>
      <c r="AD40" s="36" t="n">
        <f aca="false">COUNTIFS(Contratos!$B$4:$B$503,$A40,Contratos!$E$4:$E$503,"Protocolo")</f>
        <v>0</v>
      </c>
      <c r="AE40" s="39" t="n">
        <f aca="false">SUMIFS(Contratos!$I$4:$I$503,Contratos!$B$4:$B$503,$A40,Contratos!$E$4:$E$503,"Protocolo")</f>
        <v>0</v>
      </c>
      <c r="AF40" s="39" t="n">
        <f aca="false">AC40+AE40</f>
        <v>0</v>
      </c>
      <c r="AG40" s="36" t="n">
        <f aca="false">COUNTIFS(Contratos!$B$4:$B$503,$A40,Contratos!$J$4:$J$503,"À vista")</f>
        <v>0</v>
      </c>
      <c r="AH40" s="36" t="n">
        <f aca="false">COUNTIFS(Contratos!$B$4:$B$503,$A40,Contratos!$J$4:$J$503,"Parcelado")</f>
        <v>0</v>
      </c>
      <c r="AI40" s="39" t="n">
        <f aca="false">SUMIFS(Financeiro!$G$4:$G$503,Financeiro!$B$4:$B$503,$A40,Financeiro!$D$4:$D$503,"Receita",Financeiro!$H$4:$H$503,"&lt;&gt;Cancelado")</f>
        <v>0</v>
      </c>
      <c r="AJ40" s="39" t="n">
        <f aca="false">SUMIFS(Financeiro!$G$4:$G$503,Financeiro!$B$4:$B$503,$A40,Financeiro!$D$4:$D$503,"Gasto",Financeiro!$H$4:$H$503,"&lt;&gt;Cancelado")</f>
        <v>0</v>
      </c>
      <c r="AK40" s="39" t="n">
        <f aca="false">SUMIFS(Financeiro!$G$4:$G$503,Financeiro!$B$4:$B$503,$A40,Financeiro!$D$4:$D$503,"Imposto",Financeiro!$H$4:$H$503,"&lt;&gt;Cancelado")</f>
        <v>0</v>
      </c>
      <c r="AL40" s="39" t="n">
        <f aca="false">SUMIFS(Financeiro!$G$4:$G$503,Financeiro!$B$4:$B$503,$A40,Financeiro!$D$4:$D$503,"Marketing",Financeiro!$H$4:$H$503,"&lt;&gt;Cancelado")</f>
        <v>0</v>
      </c>
      <c r="AM40" s="39" t="n">
        <f aca="false">AI40-AJ40-AK40-AL40</f>
        <v>0</v>
      </c>
      <c r="AN40" s="37" t="n">
        <f aca="false">IF(Config!$B$16=0,"",AI40/Config!$B$16)</f>
        <v>0</v>
      </c>
      <c r="AO40" s="37" t="n">
        <f aca="false">IF(Config!$B$17=0,"",AJ40/Config!$B$17)</f>
        <v>0</v>
      </c>
      <c r="AP40" s="39" t="str">
        <f aca="false">IF(T40=0,"",AL40/T40)</f>
        <v/>
      </c>
      <c r="AQ40" s="39" t="n">
        <f aca="false">SUMIFS($AI$4:$AI$107,$D$4:$D$107,$D40,$B$4:$B$107,"&lt;="&amp;$B40)</f>
        <v>0</v>
      </c>
      <c r="AR40" s="39" t="n">
        <f aca="false">SUMIFS($AJ$4:$AJ$107,$D$4:$D$107,$D40,$B$4:$B$107,"&lt;="&amp;$B40)</f>
        <v>0</v>
      </c>
      <c r="AS40" s="36" t="n">
        <f aca="false">SUMIFS(Leads_Canal!$C$4:$C$503,Leads_Canal!$A$4:$A$503,$A40)</f>
        <v>0</v>
      </c>
      <c r="AT40" s="17" t="str">
        <f aca="false">IF(E40=0,"",IF(E40=AR40,"OK","Divergente"))</f>
        <v/>
      </c>
      <c r="AU40" s="17" t="str">
        <f aca="false">IF(N40=0,"",IF(N40=AD40,"OK","Divergente"))</f>
        <v/>
      </c>
    </row>
    <row r="41" customFormat="false" ht="15" hidden="false" customHeight="false" outlineLevel="0" collapsed="false">
      <c r="A41" s="17" t="str">
        <f aca="false">Base_Semanal!A41</f>
        <v>2026-S39</v>
      </c>
      <c r="B41" s="30" t="n">
        <f aca="false">Base_Semanal!B41</f>
        <v>46286</v>
      </c>
      <c r="C41" s="30" t="n">
        <f aca="false">Base_Semanal!C41</f>
        <v>46292</v>
      </c>
      <c r="D41" s="17" t="str">
        <f aca="false">Base_Semanal!D41</f>
        <v>2026-09</v>
      </c>
      <c r="E41" s="36" t="n">
        <f aca="false">Base_Semanal!E41</f>
        <v>38</v>
      </c>
      <c r="F41" s="36" t="n">
        <f aca="false">Base_Semanal!F41</f>
        <v>14</v>
      </c>
      <c r="G41" s="36" t="n">
        <f aca="false">Base_Semanal!G41</f>
        <v>2</v>
      </c>
      <c r="H41" s="36" t="n">
        <f aca="false">Base_Semanal!H41</f>
        <v>6</v>
      </c>
      <c r="I41" s="36" t="n">
        <f aca="false">Base_Semanal!I41</f>
        <v>5</v>
      </c>
      <c r="J41" s="36" t="n">
        <f aca="false">H41+I41</f>
        <v>11</v>
      </c>
      <c r="K41" s="37" t="n">
        <f aca="false">IF(F41=0,"",G41/F41)</f>
        <v>0.142857142857143</v>
      </c>
      <c r="L41" s="36" t="n">
        <f aca="false">Base_Semanal!J41</f>
        <v>4</v>
      </c>
      <c r="M41" s="36" t="n">
        <f aca="false">Base_Semanal!K41</f>
        <v>3</v>
      </c>
      <c r="N41" s="36" t="n">
        <f aca="false">L41+M41</f>
        <v>7</v>
      </c>
      <c r="O41" s="37" t="n">
        <f aca="false">IF(J41=0,"",N41/J41)</f>
        <v>0.636363636363636</v>
      </c>
      <c r="P41" s="36" t="n">
        <f aca="false">Base_Semanal!L41</f>
        <v>58</v>
      </c>
      <c r="Q41" s="36" t="n">
        <f aca="false">Base_Semanal!M41</f>
        <v>52</v>
      </c>
      <c r="R41" s="36" t="n">
        <f aca="false">P41+Q41</f>
        <v>110</v>
      </c>
      <c r="S41" s="36" t="n">
        <f aca="false">Base_Semanal!N41</f>
        <v>7</v>
      </c>
      <c r="T41" s="36" t="n">
        <f aca="false">Base_Semanal!O41</f>
        <v>6</v>
      </c>
      <c r="U41" s="37" t="n">
        <f aca="false">IF(Base_Semanal!P41=0,"",Base_Semanal!Q41/Base_Semanal!P41)</f>
        <v>0.9</v>
      </c>
      <c r="V41" s="37" t="n">
        <f aca="false">IF(Base_Semanal!R41=0,"",Base_Semanal!S41/Base_Semanal!R41)</f>
        <v>0.833333333333333</v>
      </c>
      <c r="W41" s="37" t="n">
        <f aca="false">IF(Base_Semanal!P41+Base_Semanal!R41=0,"",(Base_Semanal!Q41+Base_Semanal!S41)/(Base_Semanal!P41+Base_Semanal!R41))</f>
        <v>0.866666666666667</v>
      </c>
      <c r="X41" s="38" t="n">
        <f aca="false">Base_Semanal!T41</f>
        <v>42.5</v>
      </c>
      <c r="Y41" s="38" t="n">
        <f aca="false">Base_Semanal!U41</f>
        <v>6.1</v>
      </c>
      <c r="Z41" s="38" t="n">
        <f aca="false">Base_Semanal!V41</f>
        <v>39.8</v>
      </c>
      <c r="AA41" s="38" t="n">
        <f aca="false">Base_Semanal!W41</f>
        <v>5.4</v>
      </c>
      <c r="AB41" s="36" t="n">
        <f aca="false">COUNTIFS(Contratos!$B$4:$B$503,$A41,Contratos!$E$4:$E$503,"Avaliação")</f>
        <v>1</v>
      </c>
      <c r="AC41" s="39" t="n">
        <f aca="false">SUMIFS(Contratos!$I$4:$I$503,Contratos!$B$4:$B$503,$A41,Contratos!$E$4:$E$503,"Avaliação")</f>
        <v>150</v>
      </c>
      <c r="AD41" s="36" t="n">
        <f aca="false">COUNTIFS(Contratos!$B$4:$B$503,$A41,Contratos!$E$4:$E$503,"Protocolo")</f>
        <v>2</v>
      </c>
      <c r="AE41" s="39" t="n">
        <f aca="false">SUMIFS(Contratos!$I$4:$I$503,Contratos!$B$4:$B$503,$A41,Contratos!$E$4:$E$503,"Protocolo")</f>
        <v>6200</v>
      </c>
      <c r="AF41" s="39" t="n">
        <f aca="false">AC41+AE41</f>
        <v>6350</v>
      </c>
      <c r="AG41" s="36" t="n">
        <f aca="false">COUNTIFS(Contratos!$B$4:$B$503,$A41,Contratos!$J$4:$J$503,"À vista")</f>
        <v>2</v>
      </c>
      <c r="AH41" s="36" t="n">
        <f aca="false">COUNTIFS(Contratos!$B$4:$B$503,$A41,Contratos!$J$4:$J$503,"Parcelado")</f>
        <v>1</v>
      </c>
      <c r="AI41" s="39" t="n">
        <f aca="false">SUMIFS(Financeiro!$G$4:$G$503,Financeiro!$B$4:$B$503,$A41,Financeiro!$D$4:$D$503,"Receita",Financeiro!$H$4:$H$503,"&lt;&gt;Cancelado")</f>
        <v>3183.33</v>
      </c>
      <c r="AJ41" s="39" t="n">
        <f aca="false">SUMIFS(Financeiro!$G$4:$G$503,Financeiro!$B$4:$B$503,$A41,Financeiro!$D$4:$D$503,"Gasto",Financeiro!$H$4:$H$503,"&lt;&gt;Cancelado")</f>
        <v>2800</v>
      </c>
      <c r="AK41" s="39" t="n">
        <f aca="false">SUMIFS(Financeiro!$G$4:$G$503,Financeiro!$B$4:$B$503,$A41,Financeiro!$D$4:$D$503,"Imposto",Financeiro!$H$4:$H$503,"&lt;&gt;Cancelado")</f>
        <v>0</v>
      </c>
      <c r="AL41" s="39" t="n">
        <f aca="false">SUMIFS(Financeiro!$G$4:$G$503,Financeiro!$B$4:$B$503,$A41,Financeiro!$D$4:$D$503,"Marketing",Financeiro!$H$4:$H$503,"&lt;&gt;Cancelado")</f>
        <v>600</v>
      </c>
      <c r="AM41" s="39" t="n">
        <f aca="false">AI41-AJ41-AK41-AL41</f>
        <v>-216.67</v>
      </c>
      <c r="AN41" s="37" t="n">
        <f aca="false">IF(Config!$B$16=0,"",AI41/Config!$B$16)</f>
        <v>0.106111</v>
      </c>
      <c r="AO41" s="37" t="n">
        <f aca="false">IF(Config!$B$17=0,"",AJ41/Config!$B$17)</f>
        <v>0.155555555555556</v>
      </c>
      <c r="AP41" s="39" t="n">
        <f aca="false">IF(T41=0,"",AL41/T41)</f>
        <v>100</v>
      </c>
      <c r="AQ41" s="39" t="n">
        <f aca="false">SUMIFS($AI$4:$AI$107,$D$4:$D$107,$D41,$B$4:$B$107,"&lt;="&amp;$B41)</f>
        <v>3183.33</v>
      </c>
      <c r="AR41" s="39" t="n">
        <f aca="false">SUMIFS($AJ$4:$AJ$107,$D$4:$D$107,$D41,$B$4:$B$107,"&lt;="&amp;$B41)</f>
        <v>2800</v>
      </c>
      <c r="AS41" s="36" t="n">
        <f aca="false">SUMIFS(Leads_Canal!$C$4:$C$503,Leads_Canal!$A$4:$A$503,$A41)</f>
        <v>38</v>
      </c>
      <c r="AT41" s="17" t="str">
        <f aca="false">IF(E41=0,"",IF(E41=AR41,"OK","Divergente"))</f>
        <v>Divergente</v>
      </c>
      <c r="AU41" s="17" t="str">
        <f aca="false">IF(N41=0,"",IF(N41=AD41,"OK","Divergente"))</f>
        <v>Divergente</v>
      </c>
    </row>
    <row r="42" customFormat="false" ht="15" hidden="false" customHeight="false" outlineLevel="0" collapsed="false">
      <c r="A42" s="17" t="str">
        <f aca="false">Base_Semanal!A42</f>
        <v>2026-S40</v>
      </c>
      <c r="B42" s="30" t="n">
        <f aca="false">Base_Semanal!B42</f>
        <v>46293</v>
      </c>
      <c r="C42" s="30" t="n">
        <f aca="false">Base_Semanal!C42</f>
        <v>46299</v>
      </c>
      <c r="D42" s="17" t="str">
        <f aca="false">Base_Semanal!D42</f>
        <v>2026-09</v>
      </c>
      <c r="E42" s="36" t="n">
        <f aca="false">Base_Semanal!E42</f>
        <v>45</v>
      </c>
      <c r="F42" s="36" t="n">
        <f aca="false">Base_Semanal!F42</f>
        <v>16</v>
      </c>
      <c r="G42" s="36" t="n">
        <f aca="false">Base_Semanal!G42</f>
        <v>1</v>
      </c>
      <c r="H42" s="36" t="n">
        <f aca="false">Base_Semanal!H42</f>
        <v>8</v>
      </c>
      <c r="I42" s="36" t="n">
        <f aca="false">Base_Semanal!I42</f>
        <v>6</v>
      </c>
      <c r="J42" s="36" t="n">
        <f aca="false">H42+I42</f>
        <v>14</v>
      </c>
      <c r="K42" s="37" t="n">
        <f aca="false">IF(F42=0,"",G42/F42)</f>
        <v>0.0625</v>
      </c>
      <c r="L42" s="36" t="n">
        <f aca="false">Base_Semanal!J42</f>
        <v>6</v>
      </c>
      <c r="M42" s="36" t="n">
        <f aca="false">Base_Semanal!K42</f>
        <v>4</v>
      </c>
      <c r="N42" s="36" t="n">
        <f aca="false">L42+M42</f>
        <v>10</v>
      </c>
      <c r="O42" s="37" t="n">
        <f aca="false">IF(J42=0,"",N42/J42)</f>
        <v>0.714285714285714</v>
      </c>
      <c r="P42" s="36" t="n">
        <f aca="false">Base_Semanal!L42</f>
        <v>63</v>
      </c>
      <c r="Q42" s="36" t="n">
        <f aca="false">Base_Semanal!M42</f>
        <v>57</v>
      </c>
      <c r="R42" s="36" t="n">
        <f aca="false">P42+Q42</f>
        <v>120</v>
      </c>
      <c r="S42" s="36" t="n">
        <f aca="false">Base_Semanal!N42</f>
        <v>5</v>
      </c>
      <c r="T42" s="36" t="n">
        <f aca="false">Base_Semanal!O42</f>
        <v>9</v>
      </c>
      <c r="U42" s="37" t="n">
        <f aca="false">IF(Base_Semanal!P42=0,"",Base_Semanal!Q42/Base_Semanal!P42)</f>
        <v>0.95</v>
      </c>
      <c r="V42" s="37" t="n">
        <f aca="false">IF(Base_Semanal!R42=0,"",Base_Semanal!S42/Base_Semanal!R42)</f>
        <v>0.916666666666667</v>
      </c>
      <c r="W42" s="37" t="n">
        <f aca="false">IF(Base_Semanal!P42+Base_Semanal!R42=0,"",(Base_Semanal!Q42+Base_Semanal!S42)/(Base_Semanal!P42+Base_Semanal!R42))</f>
        <v>0.933333333333333</v>
      </c>
      <c r="X42" s="38" t="n">
        <f aca="false">Base_Semanal!T42</f>
        <v>41.2</v>
      </c>
      <c r="Y42" s="38" t="n">
        <f aca="false">Base_Semanal!U42</f>
        <v>5.8</v>
      </c>
      <c r="Z42" s="38" t="n">
        <f aca="false">Base_Semanal!V42</f>
        <v>40.5</v>
      </c>
      <c r="AA42" s="38" t="n">
        <f aca="false">Base_Semanal!W42</f>
        <v>4.9</v>
      </c>
      <c r="AB42" s="36" t="n">
        <f aca="false">COUNTIFS(Contratos!$B$4:$B$503,$A42,Contratos!$E$4:$E$503,"Avaliação")</f>
        <v>2</v>
      </c>
      <c r="AC42" s="39" t="n">
        <f aca="false">SUMIFS(Contratos!$I$4:$I$503,Contratos!$B$4:$B$503,$A42,Contratos!$E$4:$E$503,"Avaliação")</f>
        <v>300</v>
      </c>
      <c r="AD42" s="36" t="n">
        <f aca="false">COUNTIFS(Contratos!$B$4:$B$503,$A42,Contratos!$E$4:$E$503,"Protocolo")</f>
        <v>2</v>
      </c>
      <c r="AE42" s="39" t="n">
        <f aca="false">SUMIFS(Contratos!$I$4:$I$503,Contratos!$B$4:$B$503,$A42,Contratos!$E$4:$E$503,"Protocolo")</f>
        <v>6800</v>
      </c>
      <c r="AF42" s="39" t="n">
        <f aca="false">AC42+AE42</f>
        <v>7100</v>
      </c>
      <c r="AG42" s="36" t="n">
        <f aca="false">COUNTIFS(Contratos!$B$4:$B$503,$A42,Contratos!$J$4:$J$503,"À vista")</f>
        <v>2</v>
      </c>
      <c r="AH42" s="36" t="n">
        <f aca="false">COUNTIFS(Contratos!$B$4:$B$503,$A42,Contratos!$J$4:$J$503,"Parcelado")</f>
        <v>2</v>
      </c>
      <c r="AI42" s="39" t="n">
        <f aca="false">SUMIFS(Financeiro!$G$4:$G$503,Financeiro!$B$4:$B$503,$A42,Financeiro!$D$4:$D$503,"Receita",Financeiro!$H$4:$H$503,"&lt;&gt;Cancelado")</f>
        <v>2860</v>
      </c>
      <c r="AJ42" s="39" t="n">
        <f aca="false">SUMIFS(Financeiro!$G$4:$G$503,Financeiro!$B$4:$B$503,$A42,Financeiro!$D$4:$D$503,"Gasto",Financeiro!$H$4:$H$503,"&lt;&gt;Cancelado")</f>
        <v>4880</v>
      </c>
      <c r="AK42" s="39" t="n">
        <f aca="false">SUMIFS(Financeiro!$G$4:$G$503,Financeiro!$B$4:$B$503,$A42,Financeiro!$D$4:$D$503,"Imposto",Financeiro!$H$4:$H$503,"&lt;&gt;Cancelado")</f>
        <v>1850</v>
      </c>
      <c r="AL42" s="39" t="n">
        <f aca="false">SUMIFS(Financeiro!$G$4:$G$503,Financeiro!$B$4:$B$503,$A42,Financeiro!$D$4:$D$503,"Marketing",Financeiro!$H$4:$H$503,"&lt;&gt;Cancelado")</f>
        <v>700</v>
      </c>
      <c r="AM42" s="39" t="n">
        <f aca="false">AI42-AJ42-AK42-AL42</f>
        <v>-4570</v>
      </c>
      <c r="AN42" s="37" t="n">
        <f aca="false">IF(Config!$B$16=0,"",AI42/Config!$B$16)</f>
        <v>0.0953333333333333</v>
      </c>
      <c r="AO42" s="37" t="n">
        <f aca="false">IF(Config!$B$17=0,"",AJ42/Config!$B$17)</f>
        <v>0.271111111111111</v>
      </c>
      <c r="AP42" s="39" t="n">
        <f aca="false">IF(T42=0,"",AL42/T42)</f>
        <v>77.7777777777778</v>
      </c>
      <c r="AQ42" s="39" t="n">
        <f aca="false">SUMIFS($AI$4:$AI$107,$D$4:$D$107,$D42,$B$4:$B$107,"&lt;="&amp;$B42)</f>
        <v>6043.33</v>
      </c>
      <c r="AR42" s="39" t="n">
        <f aca="false">SUMIFS($AJ$4:$AJ$107,$D$4:$D$107,$D42,$B$4:$B$107,"&lt;="&amp;$B42)</f>
        <v>7680</v>
      </c>
      <c r="AS42" s="36" t="n">
        <f aca="false">SUMIFS(Leads_Canal!$C$4:$C$503,Leads_Canal!$A$4:$A$503,$A42)</f>
        <v>45</v>
      </c>
      <c r="AT42" s="17" t="str">
        <f aca="false">IF(E42=0,"",IF(E42=AR42,"OK","Divergente"))</f>
        <v>Divergente</v>
      </c>
      <c r="AU42" s="17" t="str">
        <f aca="false">IF(N42=0,"",IF(N42=AD42,"OK","Divergente"))</f>
        <v>Divergente</v>
      </c>
    </row>
    <row r="43" customFormat="false" ht="15" hidden="false" customHeight="false" outlineLevel="0" collapsed="false">
      <c r="A43" s="17" t="str">
        <f aca="false">Base_Semanal!A43</f>
        <v>2026-S41</v>
      </c>
      <c r="B43" s="30" t="n">
        <f aca="false">Base_Semanal!B43</f>
        <v>46300</v>
      </c>
      <c r="C43" s="30" t="n">
        <f aca="false">Base_Semanal!C43</f>
        <v>46306</v>
      </c>
      <c r="D43" s="17" t="str">
        <f aca="false">Base_Semanal!D43</f>
        <v>2026-10</v>
      </c>
      <c r="E43" s="36" t="n">
        <f aca="false">Base_Semanal!E43</f>
        <v>0</v>
      </c>
      <c r="F43" s="36" t="n">
        <f aca="false">Base_Semanal!F43</f>
        <v>0</v>
      </c>
      <c r="G43" s="36" t="n">
        <f aca="false">Base_Semanal!G43</f>
        <v>0</v>
      </c>
      <c r="H43" s="36" t="n">
        <f aca="false">Base_Semanal!H43</f>
        <v>0</v>
      </c>
      <c r="I43" s="36" t="n">
        <f aca="false">Base_Semanal!I43</f>
        <v>0</v>
      </c>
      <c r="J43" s="36" t="n">
        <f aca="false">H43+I43</f>
        <v>0</v>
      </c>
      <c r="K43" s="37" t="str">
        <f aca="false">IF(F43=0,"",G43/F43)</f>
        <v/>
      </c>
      <c r="L43" s="36" t="n">
        <f aca="false">Base_Semanal!J43</f>
        <v>0</v>
      </c>
      <c r="M43" s="36" t="n">
        <f aca="false">Base_Semanal!K43</f>
        <v>0</v>
      </c>
      <c r="N43" s="36" t="n">
        <f aca="false">L43+M43</f>
        <v>0</v>
      </c>
      <c r="O43" s="37" t="str">
        <f aca="false">IF(J43=0,"",N43/J43)</f>
        <v/>
      </c>
      <c r="P43" s="36" t="n">
        <f aca="false">Base_Semanal!L43</f>
        <v>0</v>
      </c>
      <c r="Q43" s="36" t="n">
        <f aca="false">Base_Semanal!M43</f>
        <v>0</v>
      </c>
      <c r="R43" s="36" t="n">
        <f aca="false">P43+Q43</f>
        <v>0</v>
      </c>
      <c r="S43" s="36" t="n">
        <f aca="false">Base_Semanal!N43</f>
        <v>0</v>
      </c>
      <c r="T43" s="36" t="n">
        <f aca="false">Base_Semanal!O43</f>
        <v>0</v>
      </c>
      <c r="U43" s="37" t="n">
        <f aca="false">IF(Base_Semanal!P43=0,"",Base_Semanal!Q43/Base_Semanal!P43)</f>
        <v>0.733333333333333</v>
      </c>
      <c r="V43" s="37" t="n">
        <f aca="false">IF(Base_Semanal!R43=0,"",Base_Semanal!S43/Base_Semanal!R43)</f>
        <v>0.633333333333333</v>
      </c>
      <c r="W43" s="37" t="n">
        <f aca="false">IF(Base_Semanal!P43+Base_Semanal!R43=0,"",(Base_Semanal!Q43+Base_Semanal!S43)/(Base_Semanal!P43+Base_Semanal!R43))</f>
        <v>0.683333333333333</v>
      </c>
      <c r="X43" s="38" t="n">
        <f aca="false">Base_Semanal!T43</f>
        <v>0</v>
      </c>
      <c r="Y43" s="38" t="n">
        <f aca="false">Base_Semanal!U43</f>
        <v>0</v>
      </c>
      <c r="Z43" s="38" t="n">
        <f aca="false">Base_Semanal!V43</f>
        <v>0</v>
      </c>
      <c r="AA43" s="38" t="n">
        <f aca="false">Base_Semanal!W43</f>
        <v>0</v>
      </c>
      <c r="AB43" s="36" t="n">
        <f aca="false">COUNTIFS(Contratos!$B$4:$B$503,$A43,Contratos!$E$4:$E$503,"Avaliação")</f>
        <v>0</v>
      </c>
      <c r="AC43" s="39" t="n">
        <f aca="false">SUMIFS(Contratos!$I$4:$I$503,Contratos!$B$4:$B$503,$A43,Contratos!$E$4:$E$503,"Avaliação")</f>
        <v>0</v>
      </c>
      <c r="AD43" s="36" t="n">
        <f aca="false">COUNTIFS(Contratos!$B$4:$B$503,$A43,Contratos!$E$4:$E$503,"Protocolo")</f>
        <v>0</v>
      </c>
      <c r="AE43" s="39" t="n">
        <f aca="false">SUMIFS(Contratos!$I$4:$I$503,Contratos!$B$4:$B$503,$A43,Contratos!$E$4:$E$503,"Protocolo")</f>
        <v>0</v>
      </c>
      <c r="AF43" s="39" t="n">
        <f aca="false">AC43+AE43</f>
        <v>0</v>
      </c>
      <c r="AG43" s="36" t="n">
        <f aca="false">COUNTIFS(Contratos!$B$4:$B$503,$A43,Contratos!$J$4:$J$503,"À vista")</f>
        <v>0</v>
      </c>
      <c r="AH43" s="36" t="n">
        <f aca="false">COUNTIFS(Contratos!$B$4:$B$503,$A43,Contratos!$J$4:$J$503,"Parcelado")</f>
        <v>0</v>
      </c>
      <c r="AI43" s="39" t="n">
        <f aca="false">SUMIFS(Financeiro!$G$4:$G$503,Financeiro!$B$4:$B$503,$A43,Financeiro!$D$4:$D$503,"Receita",Financeiro!$H$4:$H$503,"&lt;&gt;Cancelado")</f>
        <v>0</v>
      </c>
      <c r="AJ43" s="39" t="n">
        <f aca="false">SUMIFS(Financeiro!$G$4:$G$503,Financeiro!$B$4:$B$503,$A43,Financeiro!$D$4:$D$503,"Gasto",Financeiro!$H$4:$H$503,"&lt;&gt;Cancelado")</f>
        <v>0</v>
      </c>
      <c r="AK43" s="39" t="n">
        <f aca="false">SUMIFS(Financeiro!$G$4:$G$503,Financeiro!$B$4:$B$503,$A43,Financeiro!$D$4:$D$503,"Imposto",Financeiro!$H$4:$H$503,"&lt;&gt;Cancelado")</f>
        <v>0</v>
      </c>
      <c r="AL43" s="39" t="n">
        <f aca="false">SUMIFS(Financeiro!$G$4:$G$503,Financeiro!$B$4:$B$503,$A43,Financeiro!$D$4:$D$503,"Marketing",Financeiro!$H$4:$H$503,"&lt;&gt;Cancelado")</f>
        <v>0</v>
      </c>
      <c r="AM43" s="39" t="n">
        <f aca="false">AI43-AJ43-AK43-AL43</f>
        <v>0</v>
      </c>
      <c r="AN43" s="37" t="n">
        <f aca="false">IF(Config!$B$16=0,"",AI43/Config!$B$16)</f>
        <v>0</v>
      </c>
      <c r="AO43" s="37" t="n">
        <f aca="false">IF(Config!$B$17=0,"",AJ43/Config!$B$17)</f>
        <v>0</v>
      </c>
      <c r="AP43" s="39" t="str">
        <f aca="false">IF(T43=0,"",AL43/T43)</f>
        <v/>
      </c>
      <c r="AQ43" s="39" t="n">
        <f aca="false">SUMIFS($AI$4:$AI$107,$D$4:$D$107,$D43,$B$4:$B$107,"&lt;="&amp;$B43)</f>
        <v>0</v>
      </c>
      <c r="AR43" s="39" t="n">
        <f aca="false">SUMIFS($AJ$4:$AJ$107,$D$4:$D$107,$D43,$B$4:$B$107,"&lt;="&amp;$B43)</f>
        <v>0</v>
      </c>
      <c r="AS43" s="36" t="n">
        <f aca="false">SUMIFS(Leads_Canal!$C$4:$C$503,Leads_Canal!$A$4:$A$503,$A43)</f>
        <v>0</v>
      </c>
      <c r="AT43" s="17" t="str">
        <f aca="false">IF(E43=0,"",IF(E43=AR43,"OK","Divergente"))</f>
        <v/>
      </c>
      <c r="AU43" s="17" t="str">
        <f aca="false">IF(N43=0,"",IF(N43=AD43,"OK","Divergente"))</f>
        <v/>
      </c>
    </row>
    <row r="44" customFormat="false" ht="15" hidden="false" customHeight="false" outlineLevel="0" collapsed="false">
      <c r="A44" s="17" t="str">
        <f aca="false">Base_Semanal!A44</f>
        <v>2026-S42</v>
      </c>
      <c r="B44" s="30" t="n">
        <f aca="false">Base_Semanal!B44</f>
        <v>46307</v>
      </c>
      <c r="C44" s="30" t="n">
        <f aca="false">Base_Semanal!C44</f>
        <v>46313</v>
      </c>
      <c r="D44" s="17" t="str">
        <f aca="false">Base_Semanal!D44</f>
        <v>2026-10</v>
      </c>
      <c r="E44" s="36" t="n">
        <f aca="false">Base_Semanal!E44</f>
        <v>0</v>
      </c>
      <c r="F44" s="36" t="n">
        <f aca="false">Base_Semanal!F44</f>
        <v>0</v>
      </c>
      <c r="G44" s="36" t="n">
        <f aca="false">Base_Semanal!G44</f>
        <v>0</v>
      </c>
      <c r="H44" s="36" t="n">
        <f aca="false">Base_Semanal!H44</f>
        <v>0</v>
      </c>
      <c r="I44" s="36" t="n">
        <f aca="false">Base_Semanal!I44</f>
        <v>0</v>
      </c>
      <c r="J44" s="36" t="n">
        <f aca="false">H44+I44</f>
        <v>0</v>
      </c>
      <c r="K44" s="37" t="str">
        <f aca="false">IF(F44=0,"",G44/F44)</f>
        <v/>
      </c>
      <c r="L44" s="36" t="n">
        <f aca="false">Base_Semanal!J44</f>
        <v>0</v>
      </c>
      <c r="M44" s="36" t="n">
        <f aca="false">Base_Semanal!K44</f>
        <v>0</v>
      </c>
      <c r="N44" s="36" t="n">
        <f aca="false">L44+M44</f>
        <v>0</v>
      </c>
      <c r="O44" s="37" t="str">
        <f aca="false">IF(J44=0,"",N44/J44)</f>
        <v/>
      </c>
      <c r="P44" s="36" t="n">
        <f aca="false">Base_Semanal!L44</f>
        <v>0</v>
      </c>
      <c r="Q44" s="36" t="n">
        <f aca="false">Base_Semanal!M44</f>
        <v>0</v>
      </c>
      <c r="R44" s="36" t="n">
        <f aca="false">P44+Q44</f>
        <v>0</v>
      </c>
      <c r="S44" s="36" t="n">
        <f aca="false">Base_Semanal!N44</f>
        <v>0</v>
      </c>
      <c r="T44" s="36" t="n">
        <f aca="false">Base_Semanal!O44</f>
        <v>0</v>
      </c>
      <c r="U44" s="37" t="str">
        <f aca="false">IF(Base_Semanal!P44=0,"",Base_Semanal!Q44/Base_Semanal!P44)</f>
        <v/>
      </c>
      <c r="V44" s="37" t="str">
        <f aca="false">IF(Base_Semanal!R44=0,"",Base_Semanal!S44/Base_Semanal!R44)</f>
        <v/>
      </c>
      <c r="W44" s="37" t="str">
        <f aca="false">IF(Base_Semanal!P44+Base_Semanal!R44=0,"",(Base_Semanal!Q44+Base_Semanal!S44)/(Base_Semanal!P44+Base_Semanal!R44))</f>
        <v/>
      </c>
      <c r="X44" s="38" t="n">
        <f aca="false">Base_Semanal!T44</f>
        <v>0</v>
      </c>
      <c r="Y44" s="38" t="n">
        <f aca="false">Base_Semanal!U44</f>
        <v>0</v>
      </c>
      <c r="Z44" s="38" t="n">
        <f aca="false">Base_Semanal!V44</f>
        <v>0</v>
      </c>
      <c r="AA44" s="38" t="n">
        <f aca="false">Base_Semanal!W44</f>
        <v>0</v>
      </c>
      <c r="AB44" s="36" t="n">
        <f aca="false">COUNTIFS(Contratos!$B$4:$B$503,$A44,Contratos!$E$4:$E$503,"Avaliação")</f>
        <v>0</v>
      </c>
      <c r="AC44" s="39" t="n">
        <f aca="false">SUMIFS(Contratos!$I$4:$I$503,Contratos!$B$4:$B$503,$A44,Contratos!$E$4:$E$503,"Avaliação")</f>
        <v>0</v>
      </c>
      <c r="AD44" s="36" t="n">
        <f aca="false">COUNTIFS(Contratos!$B$4:$B$503,$A44,Contratos!$E$4:$E$503,"Protocolo")</f>
        <v>0</v>
      </c>
      <c r="AE44" s="39" t="n">
        <f aca="false">SUMIFS(Contratos!$I$4:$I$503,Contratos!$B$4:$B$503,$A44,Contratos!$E$4:$E$503,"Protocolo")</f>
        <v>0</v>
      </c>
      <c r="AF44" s="39" t="n">
        <f aca="false">AC44+AE44</f>
        <v>0</v>
      </c>
      <c r="AG44" s="36" t="n">
        <f aca="false">COUNTIFS(Contratos!$B$4:$B$503,$A44,Contratos!$J$4:$J$503,"À vista")</f>
        <v>0</v>
      </c>
      <c r="AH44" s="36" t="n">
        <f aca="false">COUNTIFS(Contratos!$B$4:$B$503,$A44,Contratos!$J$4:$J$503,"Parcelado")</f>
        <v>0</v>
      </c>
      <c r="AI44" s="39" t="n">
        <f aca="false">SUMIFS(Financeiro!$G$4:$G$503,Financeiro!$B$4:$B$503,$A44,Financeiro!$D$4:$D$503,"Receita",Financeiro!$H$4:$H$503,"&lt;&gt;Cancelado")</f>
        <v>0</v>
      </c>
      <c r="AJ44" s="39" t="n">
        <f aca="false">SUMIFS(Financeiro!$G$4:$G$503,Financeiro!$B$4:$B$503,$A44,Financeiro!$D$4:$D$503,"Gasto",Financeiro!$H$4:$H$503,"&lt;&gt;Cancelado")</f>
        <v>0</v>
      </c>
      <c r="AK44" s="39" t="n">
        <f aca="false">SUMIFS(Financeiro!$G$4:$G$503,Financeiro!$B$4:$B$503,$A44,Financeiro!$D$4:$D$503,"Imposto",Financeiro!$H$4:$H$503,"&lt;&gt;Cancelado")</f>
        <v>0</v>
      </c>
      <c r="AL44" s="39" t="n">
        <f aca="false">SUMIFS(Financeiro!$G$4:$G$503,Financeiro!$B$4:$B$503,$A44,Financeiro!$D$4:$D$503,"Marketing",Financeiro!$H$4:$H$503,"&lt;&gt;Cancelado")</f>
        <v>0</v>
      </c>
      <c r="AM44" s="39" t="n">
        <f aca="false">AI44-AJ44-AK44-AL44</f>
        <v>0</v>
      </c>
      <c r="AN44" s="37" t="n">
        <f aca="false">IF(Config!$B$16=0,"",AI44/Config!$B$16)</f>
        <v>0</v>
      </c>
      <c r="AO44" s="37" t="n">
        <f aca="false">IF(Config!$B$17=0,"",AJ44/Config!$B$17)</f>
        <v>0</v>
      </c>
      <c r="AP44" s="39" t="str">
        <f aca="false">IF(T44=0,"",AL44/T44)</f>
        <v/>
      </c>
      <c r="AQ44" s="39" t="n">
        <f aca="false">SUMIFS($AI$4:$AI$107,$D$4:$D$107,$D44,$B$4:$B$107,"&lt;="&amp;$B44)</f>
        <v>0</v>
      </c>
      <c r="AR44" s="39" t="n">
        <f aca="false">SUMIFS($AJ$4:$AJ$107,$D$4:$D$107,$D44,$B$4:$B$107,"&lt;="&amp;$B44)</f>
        <v>0</v>
      </c>
      <c r="AS44" s="36" t="n">
        <f aca="false">SUMIFS(Leads_Canal!$C$4:$C$503,Leads_Canal!$A$4:$A$503,$A44)</f>
        <v>0</v>
      </c>
      <c r="AT44" s="17" t="str">
        <f aca="false">IF(E44=0,"",IF(E44=AR44,"OK","Divergente"))</f>
        <v/>
      </c>
      <c r="AU44" s="17" t="str">
        <f aca="false">IF(N44=0,"",IF(N44=AD44,"OK","Divergente"))</f>
        <v/>
      </c>
    </row>
    <row r="45" customFormat="false" ht="15" hidden="false" customHeight="false" outlineLevel="0" collapsed="false">
      <c r="A45" s="17" t="str">
        <f aca="false">Base_Semanal!A45</f>
        <v>2026-S43</v>
      </c>
      <c r="B45" s="30" t="n">
        <f aca="false">Base_Semanal!B45</f>
        <v>46314</v>
      </c>
      <c r="C45" s="30" t="n">
        <f aca="false">Base_Semanal!C45</f>
        <v>46320</v>
      </c>
      <c r="D45" s="17" t="str">
        <f aca="false">Base_Semanal!D45</f>
        <v>2026-10</v>
      </c>
      <c r="E45" s="36" t="n">
        <f aca="false">Base_Semanal!E45</f>
        <v>0</v>
      </c>
      <c r="F45" s="36" t="n">
        <f aca="false">Base_Semanal!F45</f>
        <v>0</v>
      </c>
      <c r="G45" s="36" t="n">
        <f aca="false">Base_Semanal!G45</f>
        <v>0</v>
      </c>
      <c r="H45" s="36" t="n">
        <f aca="false">Base_Semanal!H45</f>
        <v>0</v>
      </c>
      <c r="I45" s="36" t="n">
        <f aca="false">Base_Semanal!I45</f>
        <v>0</v>
      </c>
      <c r="J45" s="36" t="n">
        <f aca="false">H45+I45</f>
        <v>0</v>
      </c>
      <c r="K45" s="37" t="str">
        <f aca="false">IF(F45=0,"",G45/F45)</f>
        <v/>
      </c>
      <c r="L45" s="36" t="n">
        <f aca="false">Base_Semanal!J45</f>
        <v>0</v>
      </c>
      <c r="M45" s="36" t="n">
        <f aca="false">Base_Semanal!K45</f>
        <v>0</v>
      </c>
      <c r="N45" s="36" t="n">
        <f aca="false">L45+M45</f>
        <v>0</v>
      </c>
      <c r="O45" s="37" t="str">
        <f aca="false">IF(J45=0,"",N45/J45)</f>
        <v/>
      </c>
      <c r="P45" s="36" t="n">
        <f aca="false">Base_Semanal!L45</f>
        <v>0</v>
      </c>
      <c r="Q45" s="36" t="n">
        <f aca="false">Base_Semanal!M45</f>
        <v>0</v>
      </c>
      <c r="R45" s="36" t="n">
        <f aca="false">P45+Q45</f>
        <v>0</v>
      </c>
      <c r="S45" s="36" t="n">
        <f aca="false">Base_Semanal!N45</f>
        <v>0</v>
      </c>
      <c r="T45" s="36" t="n">
        <f aca="false">Base_Semanal!O45</f>
        <v>0</v>
      </c>
      <c r="U45" s="37" t="str">
        <f aca="false">IF(Base_Semanal!P45=0,"",Base_Semanal!Q45/Base_Semanal!P45)</f>
        <v/>
      </c>
      <c r="V45" s="37" t="str">
        <f aca="false">IF(Base_Semanal!R45=0,"",Base_Semanal!S45/Base_Semanal!R45)</f>
        <v/>
      </c>
      <c r="W45" s="37" t="str">
        <f aca="false">IF(Base_Semanal!P45+Base_Semanal!R45=0,"",(Base_Semanal!Q45+Base_Semanal!S45)/(Base_Semanal!P45+Base_Semanal!R45))</f>
        <v/>
      </c>
      <c r="X45" s="38" t="n">
        <f aca="false">Base_Semanal!T45</f>
        <v>0</v>
      </c>
      <c r="Y45" s="38" t="n">
        <f aca="false">Base_Semanal!U45</f>
        <v>0</v>
      </c>
      <c r="Z45" s="38" t="n">
        <f aca="false">Base_Semanal!V45</f>
        <v>0</v>
      </c>
      <c r="AA45" s="38" t="n">
        <f aca="false">Base_Semanal!W45</f>
        <v>0</v>
      </c>
      <c r="AB45" s="36" t="n">
        <f aca="false">COUNTIFS(Contratos!$B$4:$B$503,$A45,Contratos!$E$4:$E$503,"Avaliação")</f>
        <v>0</v>
      </c>
      <c r="AC45" s="39" t="n">
        <f aca="false">SUMIFS(Contratos!$I$4:$I$503,Contratos!$B$4:$B$503,$A45,Contratos!$E$4:$E$503,"Avaliação")</f>
        <v>0</v>
      </c>
      <c r="AD45" s="36" t="n">
        <f aca="false">COUNTIFS(Contratos!$B$4:$B$503,$A45,Contratos!$E$4:$E$503,"Protocolo")</f>
        <v>0</v>
      </c>
      <c r="AE45" s="39" t="n">
        <f aca="false">SUMIFS(Contratos!$I$4:$I$503,Contratos!$B$4:$B$503,$A45,Contratos!$E$4:$E$503,"Protocolo")</f>
        <v>0</v>
      </c>
      <c r="AF45" s="39" t="n">
        <f aca="false">AC45+AE45</f>
        <v>0</v>
      </c>
      <c r="AG45" s="36" t="n">
        <f aca="false">COUNTIFS(Contratos!$B$4:$B$503,$A45,Contratos!$J$4:$J$503,"À vista")</f>
        <v>0</v>
      </c>
      <c r="AH45" s="36" t="n">
        <f aca="false">COUNTIFS(Contratos!$B$4:$B$503,$A45,Contratos!$J$4:$J$503,"Parcelado")</f>
        <v>0</v>
      </c>
      <c r="AI45" s="39" t="n">
        <f aca="false">SUMIFS(Financeiro!$G$4:$G$503,Financeiro!$B$4:$B$503,$A45,Financeiro!$D$4:$D$503,"Receita",Financeiro!$H$4:$H$503,"&lt;&gt;Cancelado")</f>
        <v>0</v>
      </c>
      <c r="AJ45" s="39" t="n">
        <f aca="false">SUMIFS(Financeiro!$G$4:$G$503,Financeiro!$B$4:$B$503,$A45,Financeiro!$D$4:$D$503,"Gasto",Financeiro!$H$4:$H$503,"&lt;&gt;Cancelado")</f>
        <v>0</v>
      </c>
      <c r="AK45" s="39" t="n">
        <f aca="false">SUMIFS(Financeiro!$G$4:$G$503,Financeiro!$B$4:$B$503,$A45,Financeiro!$D$4:$D$503,"Imposto",Financeiro!$H$4:$H$503,"&lt;&gt;Cancelado")</f>
        <v>0</v>
      </c>
      <c r="AL45" s="39" t="n">
        <f aca="false">SUMIFS(Financeiro!$G$4:$G$503,Financeiro!$B$4:$B$503,$A45,Financeiro!$D$4:$D$503,"Marketing",Financeiro!$H$4:$H$503,"&lt;&gt;Cancelado")</f>
        <v>0</v>
      </c>
      <c r="AM45" s="39" t="n">
        <f aca="false">AI45-AJ45-AK45-AL45</f>
        <v>0</v>
      </c>
      <c r="AN45" s="37" t="n">
        <f aca="false">IF(Config!$B$16=0,"",AI45/Config!$B$16)</f>
        <v>0</v>
      </c>
      <c r="AO45" s="37" t="n">
        <f aca="false">IF(Config!$B$17=0,"",AJ45/Config!$B$17)</f>
        <v>0</v>
      </c>
      <c r="AP45" s="39" t="str">
        <f aca="false">IF(T45=0,"",AL45/T45)</f>
        <v/>
      </c>
      <c r="AQ45" s="39" t="n">
        <f aca="false">SUMIFS($AI$4:$AI$107,$D$4:$D$107,$D45,$B$4:$B$107,"&lt;="&amp;$B45)</f>
        <v>0</v>
      </c>
      <c r="AR45" s="39" t="n">
        <f aca="false">SUMIFS($AJ$4:$AJ$107,$D$4:$D$107,$D45,$B$4:$B$107,"&lt;="&amp;$B45)</f>
        <v>0</v>
      </c>
      <c r="AS45" s="36" t="n">
        <f aca="false">SUMIFS(Leads_Canal!$C$4:$C$503,Leads_Canal!$A$4:$A$503,$A45)</f>
        <v>0</v>
      </c>
      <c r="AT45" s="17" t="str">
        <f aca="false">IF(E45=0,"",IF(E45=AR45,"OK","Divergente"))</f>
        <v/>
      </c>
      <c r="AU45" s="17" t="str">
        <f aca="false">IF(N45=0,"",IF(N45=AD45,"OK","Divergente"))</f>
        <v/>
      </c>
    </row>
    <row r="46" customFormat="false" ht="15" hidden="false" customHeight="false" outlineLevel="0" collapsed="false">
      <c r="A46" s="17" t="str">
        <f aca="false">Base_Semanal!A46</f>
        <v>2026-S44</v>
      </c>
      <c r="B46" s="30" t="n">
        <f aca="false">Base_Semanal!B46</f>
        <v>46321</v>
      </c>
      <c r="C46" s="30" t="n">
        <f aca="false">Base_Semanal!C46</f>
        <v>46327</v>
      </c>
      <c r="D46" s="17" t="str">
        <f aca="false">Base_Semanal!D46</f>
        <v>2026-10</v>
      </c>
      <c r="E46" s="36" t="n">
        <f aca="false">Base_Semanal!E46</f>
        <v>0</v>
      </c>
      <c r="F46" s="36" t="n">
        <f aca="false">Base_Semanal!F46</f>
        <v>0</v>
      </c>
      <c r="G46" s="36" t="n">
        <f aca="false">Base_Semanal!G46</f>
        <v>0</v>
      </c>
      <c r="H46" s="36" t="n">
        <f aca="false">Base_Semanal!H46</f>
        <v>0</v>
      </c>
      <c r="I46" s="36" t="n">
        <f aca="false">Base_Semanal!I46</f>
        <v>0</v>
      </c>
      <c r="J46" s="36" t="n">
        <f aca="false">H46+I46</f>
        <v>0</v>
      </c>
      <c r="K46" s="37" t="str">
        <f aca="false">IF(F46=0,"",G46/F46)</f>
        <v/>
      </c>
      <c r="L46" s="36" t="n">
        <f aca="false">Base_Semanal!J46</f>
        <v>0</v>
      </c>
      <c r="M46" s="36" t="n">
        <f aca="false">Base_Semanal!K46</f>
        <v>0</v>
      </c>
      <c r="N46" s="36" t="n">
        <f aca="false">L46+M46</f>
        <v>0</v>
      </c>
      <c r="O46" s="37" t="str">
        <f aca="false">IF(J46=0,"",N46/J46)</f>
        <v/>
      </c>
      <c r="P46" s="36" t="n">
        <f aca="false">Base_Semanal!L46</f>
        <v>0</v>
      </c>
      <c r="Q46" s="36" t="n">
        <f aca="false">Base_Semanal!M46</f>
        <v>0</v>
      </c>
      <c r="R46" s="36" t="n">
        <f aca="false">P46+Q46</f>
        <v>0</v>
      </c>
      <c r="S46" s="36" t="n">
        <f aca="false">Base_Semanal!N46</f>
        <v>0</v>
      </c>
      <c r="T46" s="36" t="n">
        <f aca="false">Base_Semanal!O46</f>
        <v>0</v>
      </c>
      <c r="U46" s="37" t="str">
        <f aca="false">IF(Base_Semanal!P46=0,"",Base_Semanal!Q46/Base_Semanal!P46)</f>
        <v/>
      </c>
      <c r="V46" s="37" t="str">
        <f aca="false">IF(Base_Semanal!R46=0,"",Base_Semanal!S46/Base_Semanal!R46)</f>
        <v/>
      </c>
      <c r="W46" s="37" t="str">
        <f aca="false">IF(Base_Semanal!P46+Base_Semanal!R46=0,"",(Base_Semanal!Q46+Base_Semanal!S46)/(Base_Semanal!P46+Base_Semanal!R46))</f>
        <v/>
      </c>
      <c r="X46" s="38" t="n">
        <f aca="false">Base_Semanal!T46</f>
        <v>0</v>
      </c>
      <c r="Y46" s="38" t="n">
        <f aca="false">Base_Semanal!U46</f>
        <v>0</v>
      </c>
      <c r="Z46" s="38" t="n">
        <f aca="false">Base_Semanal!V46</f>
        <v>0</v>
      </c>
      <c r="AA46" s="38" t="n">
        <f aca="false">Base_Semanal!W46</f>
        <v>0</v>
      </c>
      <c r="AB46" s="36" t="n">
        <f aca="false">COUNTIFS(Contratos!$B$4:$B$503,$A46,Contratos!$E$4:$E$503,"Avaliação")</f>
        <v>0</v>
      </c>
      <c r="AC46" s="39" t="n">
        <f aca="false">SUMIFS(Contratos!$I$4:$I$503,Contratos!$B$4:$B$503,$A46,Contratos!$E$4:$E$503,"Avaliação")</f>
        <v>0</v>
      </c>
      <c r="AD46" s="36" t="n">
        <f aca="false">COUNTIFS(Contratos!$B$4:$B$503,$A46,Contratos!$E$4:$E$503,"Protocolo")</f>
        <v>0</v>
      </c>
      <c r="AE46" s="39" t="n">
        <f aca="false">SUMIFS(Contratos!$I$4:$I$503,Contratos!$B$4:$B$503,$A46,Contratos!$E$4:$E$503,"Protocolo")</f>
        <v>0</v>
      </c>
      <c r="AF46" s="39" t="n">
        <f aca="false">AC46+AE46</f>
        <v>0</v>
      </c>
      <c r="AG46" s="36" t="n">
        <f aca="false">COUNTIFS(Contratos!$B$4:$B$503,$A46,Contratos!$J$4:$J$503,"À vista")</f>
        <v>0</v>
      </c>
      <c r="AH46" s="36" t="n">
        <f aca="false">COUNTIFS(Contratos!$B$4:$B$503,$A46,Contratos!$J$4:$J$503,"Parcelado")</f>
        <v>0</v>
      </c>
      <c r="AI46" s="39" t="n">
        <f aca="false">SUMIFS(Financeiro!$G$4:$G$503,Financeiro!$B$4:$B$503,$A46,Financeiro!$D$4:$D$503,"Receita",Financeiro!$H$4:$H$503,"&lt;&gt;Cancelado")</f>
        <v>0</v>
      </c>
      <c r="AJ46" s="39" t="n">
        <f aca="false">SUMIFS(Financeiro!$G$4:$G$503,Financeiro!$B$4:$B$503,$A46,Financeiro!$D$4:$D$503,"Gasto",Financeiro!$H$4:$H$503,"&lt;&gt;Cancelado")</f>
        <v>0</v>
      </c>
      <c r="AK46" s="39" t="n">
        <f aca="false">SUMIFS(Financeiro!$G$4:$G$503,Financeiro!$B$4:$B$503,$A46,Financeiro!$D$4:$D$503,"Imposto",Financeiro!$H$4:$H$503,"&lt;&gt;Cancelado")</f>
        <v>0</v>
      </c>
      <c r="AL46" s="39" t="n">
        <f aca="false">SUMIFS(Financeiro!$G$4:$G$503,Financeiro!$B$4:$B$503,$A46,Financeiro!$D$4:$D$503,"Marketing",Financeiro!$H$4:$H$503,"&lt;&gt;Cancelado")</f>
        <v>0</v>
      </c>
      <c r="AM46" s="39" t="n">
        <f aca="false">AI46-AJ46-AK46-AL46</f>
        <v>0</v>
      </c>
      <c r="AN46" s="37" t="n">
        <f aca="false">IF(Config!$B$16=0,"",AI46/Config!$B$16)</f>
        <v>0</v>
      </c>
      <c r="AO46" s="37" t="n">
        <f aca="false">IF(Config!$B$17=0,"",AJ46/Config!$B$17)</f>
        <v>0</v>
      </c>
      <c r="AP46" s="39" t="str">
        <f aca="false">IF(T46=0,"",AL46/T46)</f>
        <v/>
      </c>
      <c r="AQ46" s="39" t="n">
        <f aca="false">SUMIFS($AI$4:$AI$107,$D$4:$D$107,$D46,$B$4:$B$107,"&lt;="&amp;$B46)</f>
        <v>0</v>
      </c>
      <c r="AR46" s="39" t="n">
        <f aca="false">SUMIFS($AJ$4:$AJ$107,$D$4:$D$107,$D46,$B$4:$B$107,"&lt;="&amp;$B46)</f>
        <v>0</v>
      </c>
      <c r="AS46" s="36" t="n">
        <f aca="false">SUMIFS(Leads_Canal!$C$4:$C$503,Leads_Canal!$A$4:$A$503,$A46)</f>
        <v>0</v>
      </c>
      <c r="AT46" s="17" t="str">
        <f aca="false">IF(E46=0,"",IF(E46=AR46,"OK","Divergente"))</f>
        <v/>
      </c>
      <c r="AU46" s="17" t="str">
        <f aca="false">IF(N46=0,"",IF(N46=AD46,"OK","Divergente"))</f>
        <v/>
      </c>
    </row>
    <row r="47" customFormat="false" ht="15" hidden="false" customHeight="false" outlineLevel="0" collapsed="false">
      <c r="A47" s="17" t="str">
        <f aca="false">Base_Semanal!A47</f>
        <v>2026-S45</v>
      </c>
      <c r="B47" s="30" t="n">
        <f aca="false">Base_Semanal!B47</f>
        <v>46328</v>
      </c>
      <c r="C47" s="30" t="n">
        <f aca="false">Base_Semanal!C47</f>
        <v>46334</v>
      </c>
      <c r="D47" s="17" t="str">
        <f aca="false">Base_Semanal!D47</f>
        <v>2026-11</v>
      </c>
      <c r="E47" s="36" t="n">
        <f aca="false">Base_Semanal!E47</f>
        <v>0</v>
      </c>
      <c r="F47" s="36" t="n">
        <f aca="false">Base_Semanal!F47</f>
        <v>0</v>
      </c>
      <c r="G47" s="36" t="n">
        <f aca="false">Base_Semanal!G47</f>
        <v>0</v>
      </c>
      <c r="H47" s="36" t="n">
        <f aca="false">Base_Semanal!H47</f>
        <v>0</v>
      </c>
      <c r="I47" s="36" t="n">
        <f aca="false">Base_Semanal!I47</f>
        <v>0</v>
      </c>
      <c r="J47" s="36" t="n">
        <f aca="false">H47+I47</f>
        <v>0</v>
      </c>
      <c r="K47" s="37" t="str">
        <f aca="false">IF(F47=0,"",G47/F47)</f>
        <v/>
      </c>
      <c r="L47" s="36" t="n">
        <f aca="false">Base_Semanal!J47</f>
        <v>0</v>
      </c>
      <c r="M47" s="36" t="n">
        <f aca="false">Base_Semanal!K47</f>
        <v>0</v>
      </c>
      <c r="N47" s="36" t="n">
        <f aca="false">L47+M47</f>
        <v>0</v>
      </c>
      <c r="O47" s="37" t="str">
        <f aca="false">IF(J47=0,"",N47/J47)</f>
        <v/>
      </c>
      <c r="P47" s="36" t="n">
        <f aca="false">Base_Semanal!L47</f>
        <v>0</v>
      </c>
      <c r="Q47" s="36" t="n">
        <f aca="false">Base_Semanal!M47</f>
        <v>0</v>
      </c>
      <c r="R47" s="36" t="n">
        <f aca="false">P47+Q47</f>
        <v>0</v>
      </c>
      <c r="S47" s="36" t="n">
        <f aca="false">Base_Semanal!N47</f>
        <v>0</v>
      </c>
      <c r="T47" s="36" t="n">
        <f aca="false">Base_Semanal!O47</f>
        <v>0</v>
      </c>
      <c r="U47" s="37" t="str">
        <f aca="false">IF(Base_Semanal!P47=0,"",Base_Semanal!Q47/Base_Semanal!P47)</f>
        <v/>
      </c>
      <c r="V47" s="37" t="str">
        <f aca="false">IF(Base_Semanal!R47=0,"",Base_Semanal!S47/Base_Semanal!R47)</f>
        <v/>
      </c>
      <c r="W47" s="37" t="str">
        <f aca="false">IF(Base_Semanal!P47+Base_Semanal!R47=0,"",(Base_Semanal!Q47+Base_Semanal!S47)/(Base_Semanal!P47+Base_Semanal!R47))</f>
        <v/>
      </c>
      <c r="X47" s="38" t="n">
        <f aca="false">Base_Semanal!T47</f>
        <v>0</v>
      </c>
      <c r="Y47" s="38" t="n">
        <f aca="false">Base_Semanal!U47</f>
        <v>0</v>
      </c>
      <c r="Z47" s="38" t="n">
        <f aca="false">Base_Semanal!V47</f>
        <v>0</v>
      </c>
      <c r="AA47" s="38" t="n">
        <f aca="false">Base_Semanal!W47</f>
        <v>0</v>
      </c>
      <c r="AB47" s="36" t="n">
        <f aca="false">COUNTIFS(Contratos!$B$4:$B$503,$A47,Contratos!$E$4:$E$503,"Avaliação")</f>
        <v>0</v>
      </c>
      <c r="AC47" s="39" t="n">
        <f aca="false">SUMIFS(Contratos!$I$4:$I$503,Contratos!$B$4:$B$503,$A47,Contratos!$E$4:$E$503,"Avaliação")</f>
        <v>0</v>
      </c>
      <c r="AD47" s="36" t="n">
        <f aca="false">COUNTIFS(Contratos!$B$4:$B$503,$A47,Contratos!$E$4:$E$503,"Protocolo")</f>
        <v>0</v>
      </c>
      <c r="AE47" s="39" t="n">
        <f aca="false">SUMIFS(Contratos!$I$4:$I$503,Contratos!$B$4:$B$503,$A47,Contratos!$E$4:$E$503,"Protocolo")</f>
        <v>0</v>
      </c>
      <c r="AF47" s="39" t="n">
        <f aca="false">AC47+AE47</f>
        <v>0</v>
      </c>
      <c r="AG47" s="36" t="n">
        <f aca="false">COUNTIFS(Contratos!$B$4:$B$503,$A47,Contratos!$J$4:$J$503,"À vista")</f>
        <v>0</v>
      </c>
      <c r="AH47" s="36" t="n">
        <f aca="false">COUNTIFS(Contratos!$B$4:$B$503,$A47,Contratos!$J$4:$J$503,"Parcelado")</f>
        <v>0</v>
      </c>
      <c r="AI47" s="39" t="n">
        <f aca="false">SUMIFS(Financeiro!$G$4:$G$503,Financeiro!$B$4:$B$503,$A47,Financeiro!$D$4:$D$503,"Receita",Financeiro!$H$4:$H$503,"&lt;&gt;Cancelado")</f>
        <v>0</v>
      </c>
      <c r="AJ47" s="39" t="n">
        <f aca="false">SUMIFS(Financeiro!$G$4:$G$503,Financeiro!$B$4:$B$503,$A47,Financeiro!$D$4:$D$503,"Gasto",Financeiro!$H$4:$H$503,"&lt;&gt;Cancelado")</f>
        <v>0</v>
      </c>
      <c r="AK47" s="39" t="n">
        <f aca="false">SUMIFS(Financeiro!$G$4:$G$503,Financeiro!$B$4:$B$503,$A47,Financeiro!$D$4:$D$503,"Imposto",Financeiro!$H$4:$H$503,"&lt;&gt;Cancelado")</f>
        <v>0</v>
      </c>
      <c r="AL47" s="39" t="n">
        <f aca="false">SUMIFS(Financeiro!$G$4:$G$503,Financeiro!$B$4:$B$503,$A47,Financeiro!$D$4:$D$503,"Marketing",Financeiro!$H$4:$H$503,"&lt;&gt;Cancelado")</f>
        <v>0</v>
      </c>
      <c r="AM47" s="39" t="n">
        <f aca="false">AI47-AJ47-AK47-AL47</f>
        <v>0</v>
      </c>
      <c r="AN47" s="37" t="n">
        <f aca="false">IF(Config!$B$16=0,"",AI47/Config!$B$16)</f>
        <v>0</v>
      </c>
      <c r="AO47" s="37" t="n">
        <f aca="false">IF(Config!$B$17=0,"",AJ47/Config!$B$17)</f>
        <v>0</v>
      </c>
      <c r="AP47" s="39" t="str">
        <f aca="false">IF(T47=0,"",AL47/T47)</f>
        <v/>
      </c>
      <c r="AQ47" s="39" t="n">
        <f aca="false">SUMIFS($AI$4:$AI$107,$D$4:$D$107,$D47,$B$4:$B$107,"&lt;="&amp;$B47)</f>
        <v>0</v>
      </c>
      <c r="AR47" s="39" t="n">
        <f aca="false">SUMIFS($AJ$4:$AJ$107,$D$4:$D$107,$D47,$B$4:$B$107,"&lt;="&amp;$B47)</f>
        <v>0</v>
      </c>
      <c r="AS47" s="36" t="n">
        <f aca="false">SUMIFS(Leads_Canal!$C$4:$C$503,Leads_Canal!$A$4:$A$503,$A47)</f>
        <v>0</v>
      </c>
      <c r="AT47" s="17" t="str">
        <f aca="false">IF(E47=0,"",IF(E47=AR47,"OK","Divergente"))</f>
        <v/>
      </c>
      <c r="AU47" s="17" t="str">
        <f aca="false">IF(N47=0,"",IF(N47=AD47,"OK","Divergente"))</f>
        <v/>
      </c>
    </row>
    <row r="48" customFormat="false" ht="15" hidden="false" customHeight="false" outlineLevel="0" collapsed="false">
      <c r="A48" s="17" t="str">
        <f aca="false">Base_Semanal!A48</f>
        <v>2026-S46</v>
      </c>
      <c r="B48" s="30" t="n">
        <f aca="false">Base_Semanal!B48</f>
        <v>46335</v>
      </c>
      <c r="C48" s="30" t="n">
        <f aca="false">Base_Semanal!C48</f>
        <v>46341</v>
      </c>
      <c r="D48" s="17" t="str">
        <f aca="false">Base_Semanal!D48</f>
        <v>2026-11</v>
      </c>
      <c r="E48" s="36" t="n">
        <f aca="false">Base_Semanal!E48</f>
        <v>0</v>
      </c>
      <c r="F48" s="36" t="n">
        <f aca="false">Base_Semanal!F48</f>
        <v>0</v>
      </c>
      <c r="G48" s="36" t="n">
        <f aca="false">Base_Semanal!G48</f>
        <v>0</v>
      </c>
      <c r="H48" s="36" t="n">
        <f aca="false">Base_Semanal!H48</f>
        <v>0</v>
      </c>
      <c r="I48" s="36" t="n">
        <f aca="false">Base_Semanal!I48</f>
        <v>0</v>
      </c>
      <c r="J48" s="36" t="n">
        <f aca="false">H48+I48</f>
        <v>0</v>
      </c>
      <c r="K48" s="37" t="str">
        <f aca="false">IF(F48=0,"",G48/F48)</f>
        <v/>
      </c>
      <c r="L48" s="36" t="n">
        <f aca="false">Base_Semanal!J48</f>
        <v>0</v>
      </c>
      <c r="M48" s="36" t="n">
        <f aca="false">Base_Semanal!K48</f>
        <v>0</v>
      </c>
      <c r="N48" s="36" t="n">
        <f aca="false">L48+M48</f>
        <v>0</v>
      </c>
      <c r="O48" s="37" t="str">
        <f aca="false">IF(J48=0,"",N48/J48)</f>
        <v/>
      </c>
      <c r="P48" s="36" t="n">
        <f aca="false">Base_Semanal!L48</f>
        <v>0</v>
      </c>
      <c r="Q48" s="36" t="n">
        <f aca="false">Base_Semanal!M48</f>
        <v>0</v>
      </c>
      <c r="R48" s="36" t="n">
        <f aca="false">P48+Q48</f>
        <v>0</v>
      </c>
      <c r="S48" s="36" t="n">
        <f aca="false">Base_Semanal!N48</f>
        <v>0</v>
      </c>
      <c r="T48" s="36" t="n">
        <f aca="false">Base_Semanal!O48</f>
        <v>0</v>
      </c>
      <c r="U48" s="37" t="str">
        <f aca="false">IF(Base_Semanal!P48=0,"",Base_Semanal!Q48/Base_Semanal!P48)</f>
        <v/>
      </c>
      <c r="V48" s="37" t="str">
        <f aca="false">IF(Base_Semanal!R48=0,"",Base_Semanal!S48/Base_Semanal!R48)</f>
        <v/>
      </c>
      <c r="W48" s="37" t="str">
        <f aca="false">IF(Base_Semanal!P48+Base_Semanal!R48=0,"",(Base_Semanal!Q48+Base_Semanal!S48)/(Base_Semanal!P48+Base_Semanal!R48))</f>
        <v/>
      </c>
      <c r="X48" s="38" t="n">
        <f aca="false">Base_Semanal!T48</f>
        <v>0</v>
      </c>
      <c r="Y48" s="38" t="n">
        <f aca="false">Base_Semanal!U48</f>
        <v>0</v>
      </c>
      <c r="Z48" s="38" t="n">
        <f aca="false">Base_Semanal!V48</f>
        <v>0</v>
      </c>
      <c r="AA48" s="38" t="n">
        <f aca="false">Base_Semanal!W48</f>
        <v>0</v>
      </c>
      <c r="AB48" s="36" t="n">
        <f aca="false">COUNTIFS(Contratos!$B$4:$B$503,$A48,Contratos!$E$4:$E$503,"Avaliação")</f>
        <v>0</v>
      </c>
      <c r="AC48" s="39" t="n">
        <f aca="false">SUMIFS(Contratos!$I$4:$I$503,Contratos!$B$4:$B$503,$A48,Contratos!$E$4:$E$503,"Avaliação")</f>
        <v>0</v>
      </c>
      <c r="AD48" s="36" t="n">
        <f aca="false">COUNTIFS(Contratos!$B$4:$B$503,$A48,Contratos!$E$4:$E$503,"Protocolo")</f>
        <v>0</v>
      </c>
      <c r="AE48" s="39" t="n">
        <f aca="false">SUMIFS(Contratos!$I$4:$I$503,Contratos!$B$4:$B$503,$A48,Contratos!$E$4:$E$503,"Protocolo")</f>
        <v>0</v>
      </c>
      <c r="AF48" s="39" t="n">
        <f aca="false">AC48+AE48</f>
        <v>0</v>
      </c>
      <c r="AG48" s="36" t="n">
        <f aca="false">COUNTIFS(Contratos!$B$4:$B$503,$A48,Contratos!$J$4:$J$503,"À vista")</f>
        <v>0</v>
      </c>
      <c r="AH48" s="36" t="n">
        <f aca="false">COUNTIFS(Contratos!$B$4:$B$503,$A48,Contratos!$J$4:$J$503,"Parcelado")</f>
        <v>0</v>
      </c>
      <c r="AI48" s="39" t="n">
        <f aca="false">SUMIFS(Financeiro!$G$4:$G$503,Financeiro!$B$4:$B$503,$A48,Financeiro!$D$4:$D$503,"Receita",Financeiro!$H$4:$H$503,"&lt;&gt;Cancelado")</f>
        <v>0</v>
      </c>
      <c r="AJ48" s="39" t="n">
        <f aca="false">SUMIFS(Financeiro!$G$4:$G$503,Financeiro!$B$4:$B$503,$A48,Financeiro!$D$4:$D$503,"Gasto",Financeiro!$H$4:$H$503,"&lt;&gt;Cancelado")</f>
        <v>0</v>
      </c>
      <c r="AK48" s="39" t="n">
        <f aca="false">SUMIFS(Financeiro!$G$4:$G$503,Financeiro!$B$4:$B$503,$A48,Financeiro!$D$4:$D$503,"Imposto",Financeiro!$H$4:$H$503,"&lt;&gt;Cancelado")</f>
        <v>0</v>
      </c>
      <c r="AL48" s="39" t="n">
        <f aca="false">SUMIFS(Financeiro!$G$4:$G$503,Financeiro!$B$4:$B$503,$A48,Financeiro!$D$4:$D$503,"Marketing",Financeiro!$H$4:$H$503,"&lt;&gt;Cancelado")</f>
        <v>0</v>
      </c>
      <c r="AM48" s="39" t="n">
        <f aca="false">AI48-AJ48-AK48-AL48</f>
        <v>0</v>
      </c>
      <c r="AN48" s="37" t="n">
        <f aca="false">IF(Config!$B$16=0,"",AI48/Config!$B$16)</f>
        <v>0</v>
      </c>
      <c r="AO48" s="37" t="n">
        <f aca="false">IF(Config!$B$17=0,"",AJ48/Config!$B$17)</f>
        <v>0</v>
      </c>
      <c r="AP48" s="39" t="str">
        <f aca="false">IF(T48=0,"",AL48/T48)</f>
        <v/>
      </c>
      <c r="AQ48" s="39" t="n">
        <f aca="false">SUMIFS($AI$4:$AI$107,$D$4:$D$107,$D48,$B$4:$B$107,"&lt;="&amp;$B48)</f>
        <v>0</v>
      </c>
      <c r="AR48" s="39" t="n">
        <f aca="false">SUMIFS($AJ$4:$AJ$107,$D$4:$D$107,$D48,$B$4:$B$107,"&lt;="&amp;$B48)</f>
        <v>0</v>
      </c>
      <c r="AS48" s="36" t="n">
        <f aca="false">SUMIFS(Leads_Canal!$C$4:$C$503,Leads_Canal!$A$4:$A$503,$A48)</f>
        <v>0</v>
      </c>
      <c r="AT48" s="17" t="str">
        <f aca="false">IF(E48=0,"",IF(E48=AR48,"OK","Divergente"))</f>
        <v/>
      </c>
      <c r="AU48" s="17" t="str">
        <f aca="false">IF(N48=0,"",IF(N48=AD48,"OK","Divergente"))</f>
        <v/>
      </c>
    </row>
    <row r="49" customFormat="false" ht="15" hidden="false" customHeight="false" outlineLevel="0" collapsed="false">
      <c r="A49" s="17" t="str">
        <f aca="false">Base_Semanal!A49</f>
        <v>2026-S47</v>
      </c>
      <c r="B49" s="30" t="n">
        <f aca="false">Base_Semanal!B49</f>
        <v>46342</v>
      </c>
      <c r="C49" s="30" t="n">
        <f aca="false">Base_Semanal!C49</f>
        <v>46348</v>
      </c>
      <c r="D49" s="17" t="str">
        <f aca="false">Base_Semanal!D49</f>
        <v>2026-11</v>
      </c>
      <c r="E49" s="36" t="n">
        <f aca="false">Base_Semanal!E49</f>
        <v>0</v>
      </c>
      <c r="F49" s="36" t="n">
        <f aca="false">Base_Semanal!F49</f>
        <v>0</v>
      </c>
      <c r="G49" s="36" t="n">
        <f aca="false">Base_Semanal!G49</f>
        <v>0</v>
      </c>
      <c r="H49" s="36" t="n">
        <f aca="false">Base_Semanal!H49</f>
        <v>0</v>
      </c>
      <c r="I49" s="36" t="n">
        <f aca="false">Base_Semanal!I49</f>
        <v>0</v>
      </c>
      <c r="J49" s="36" t="n">
        <f aca="false">H49+I49</f>
        <v>0</v>
      </c>
      <c r="K49" s="37" t="str">
        <f aca="false">IF(F49=0,"",G49/F49)</f>
        <v/>
      </c>
      <c r="L49" s="36" t="n">
        <f aca="false">Base_Semanal!J49</f>
        <v>0</v>
      </c>
      <c r="M49" s="36" t="n">
        <f aca="false">Base_Semanal!K49</f>
        <v>0</v>
      </c>
      <c r="N49" s="36" t="n">
        <f aca="false">L49+M49</f>
        <v>0</v>
      </c>
      <c r="O49" s="37" t="str">
        <f aca="false">IF(J49=0,"",N49/J49)</f>
        <v/>
      </c>
      <c r="P49" s="36" t="n">
        <f aca="false">Base_Semanal!L49</f>
        <v>0</v>
      </c>
      <c r="Q49" s="36" t="n">
        <f aca="false">Base_Semanal!M49</f>
        <v>0</v>
      </c>
      <c r="R49" s="36" t="n">
        <f aca="false">P49+Q49</f>
        <v>0</v>
      </c>
      <c r="S49" s="36" t="n">
        <f aca="false">Base_Semanal!N49</f>
        <v>0</v>
      </c>
      <c r="T49" s="36" t="n">
        <f aca="false">Base_Semanal!O49</f>
        <v>0</v>
      </c>
      <c r="U49" s="37" t="str">
        <f aca="false">IF(Base_Semanal!P49=0,"",Base_Semanal!Q49/Base_Semanal!P49)</f>
        <v/>
      </c>
      <c r="V49" s="37" t="str">
        <f aca="false">IF(Base_Semanal!R49=0,"",Base_Semanal!S49/Base_Semanal!R49)</f>
        <v/>
      </c>
      <c r="W49" s="37" t="str">
        <f aca="false">IF(Base_Semanal!P49+Base_Semanal!R49=0,"",(Base_Semanal!Q49+Base_Semanal!S49)/(Base_Semanal!P49+Base_Semanal!R49))</f>
        <v/>
      </c>
      <c r="X49" s="38" t="n">
        <f aca="false">Base_Semanal!T49</f>
        <v>0</v>
      </c>
      <c r="Y49" s="38" t="n">
        <f aca="false">Base_Semanal!U49</f>
        <v>0</v>
      </c>
      <c r="Z49" s="38" t="n">
        <f aca="false">Base_Semanal!V49</f>
        <v>0</v>
      </c>
      <c r="AA49" s="38" t="n">
        <f aca="false">Base_Semanal!W49</f>
        <v>0</v>
      </c>
      <c r="AB49" s="36" t="n">
        <f aca="false">COUNTIFS(Contratos!$B$4:$B$503,$A49,Contratos!$E$4:$E$503,"Avaliação")</f>
        <v>0</v>
      </c>
      <c r="AC49" s="39" t="n">
        <f aca="false">SUMIFS(Contratos!$I$4:$I$503,Contratos!$B$4:$B$503,$A49,Contratos!$E$4:$E$503,"Avaliação")</f>
        <v>0</v>
      </c>
      <c r="AD49" s="36" t="n">
        <f aca="false">COUNTIFS(Contratos!$B$4:$B$503,$A49,Contratos!$E$4:$E$503,"Protocolo")</f>
        <v>0</v>
      </c>
      <c r="AE49" s="39" t="n">
        <f aca="false">SUMIFS(Contratos!$I$4:$I$503,Contratos!$B$4:$B$503,$A49,Contratos!$E$4:$E$503,"Protocolo")</f>
        <v>0</v>
      </c>
      <c r="AF49" s="39" t="n">
        <f aca="false">AC49+AE49</f>
        <v>0</v>
      </c>
      <c r="AG49" s="36" t="n">
        <f aca="false">COUNTIFS(Contratos!$B$4:$B$503,$A49,Contratos!$J$4:$J$503,"À vista")</f>
        <v>0</v>
      </c>
      <c r="AH49" s="36" t="n">
        <f aca="false">COUNTIFS(Contratos!$B$4:$B$503,$A49,Contratos!$J$4:$J$503,"Parcelado")</f>
        <v>0</v>
      </c>
      <c r="AI49" s="39" t="n">
        <f aca="false">SUMIFS(Financeiro!$G$4:$G$503,Financeiro!$B$4:$B$503,$A49,Financeiro!$D$4:$D$503,"Receita",Financeiro!$H$4:$H$503,"&lt;&gt;Cancelado")</f>
        <v>0</v>
      </c>
      <c r="AJ49" s="39" t="n">
        <f aca="false">SUMIFS(Financeiro!$G$4:$G$503,Financeiro!$B$4:$B$503,$A49,Financeiro!$D$4:$D$503,"Gasto",Financeiro!$H$4:$H$503,"&lt;&gt;Cancelado")</f>
        <v>0</v>
      </c>
      <c r="AK49" s="39" t="n">
        <f aca="false">SUMIFS(Financeiro!$G$4:$G$503,Financeiro!$B$4:$B$503,$A49,Financeiro!$D$4:$D$503,"Imposto",Financeiro!$H$4:$H$503,"&lt;&gt;Cancelado")</f>
        <v>0</v>
      </c>
      <c r="AL49" s="39" t="n">
        <f aca="false">SUMIFS(Financeiro!$G$4:$G$503,Financeiro!$B$4:$B$503,$A49,Financeiro!$D$4:$D$503,"Marketing",Financeiro!$H$4:$H$503,"&lt;&gt;Cancelado")</f>
        <v>0</v>
      </c>
      <c r="AM49" s="39" t="n">
        <f aca="false">AI49-AJ49-AK49-AL49</f>
        <v>0</v>
      </c>
      <c r="AN49" s="37" t="n">
        <f aca="false">IF(Config!$B$16=0,"",AI49/Config!$B$16)</f>
        <v>0</v>
      </c>
      <c r="AO49" s="37" t="n">
        <f aca="false">IF(Config!$B$17=0,"",AJ49/Config!$B$17)</f>
        <v>0</v>
      </c>
      <c r="AP49" s="39" t="str">
        <f aca="false">IF(T49=0,"",AL49/T49)</f>
        <v/>
      </c>
      <c r="AQ49" s="39" t="n">
        <f aca="false">SUMIFS($AI$4:$AI$107,$D$4:$D$107,$D49,$B$4:$B$107,"&lt;="&amp;$B49)</f>
        <v>0</v>
      </c>
      <c r="AR49" s="39" t="n">
        <f aca="false">SUMIFS($AJ$4:$AJ$107,$D$4:$D$107,$D49,$B$4:$B$107,"&lt;="&amp;$B49)</f>
        <v>0</v>
      </c>
      <c r="AS49" s="36" t="n">
        <f aca="false">SUMIFS(Leads_Canal!$C$4:$C$503,Leads_Canal!$A$4:$A$503,$A49)</f>
        <v>0</v>
      </c>
      <c r="AT49" s="17" t="str">
        <f aca="false">IF(E49=0,"",IF(E49=AR49,"OK","Divergente"))</f>
        <v/>
      </c>
      <c r="AU49" s="17" t="str">
        <f aca="false">IF(N49=0,"",IF(N49=AD49,"OK","Divergente"))</f>
        <v/>
      </c>
    </row>
    <row r="50" customFormat="false" ht="15" hidden="false" customHeight="false" outlineLevel="0" collapsed="false">
      <c r="A50" s="17" t="str">
        <f aca="false">Base_Semanal!A50</f>
        <v>2026-S48</v>
      </c>
      <c r="B50" s="30" t="n">
        <f aca="false">Base_Semanal!B50</f>
        <v>46349</v>
      </c>
      <c r="C50" s="30" t="n">
        <f aca="false">Base_Semanal!C50</f>
        <v>46355</v>
      </c>
      <c r="D50" s="17" t="str">
        <f aca="false">Base_Semanal!D50</f>
        <v>2026-11</v>
      </c>
      <c r="E50" s="36" t="n">
        <f aca="false">Base_Semanal!E50</f>
        <v>0</v>
      </c>
      <c r="F50" s="36" t="n">
        <f aca="false">Base_Semanal!F50</f>
        <v>0</v>
      </c>
      <c r="G50" s="36" t="n">
        <f aca="false">Base_Semanal!G50</f>
        <v>0</v>
      </c>
      <c r="H50" s="36" t="n">
        <f aca="false">Base_Semanal!H50</f>
        <v>0</v>
      </c>
      <c r="I50" s="36" t="n">
        <f aca="false">Base_Semanal!I50</f>
        <v>0</v>
      </c>
      <c r="J50" s="36" t="n">
        <f aca="false">H50+I50</f>
        <v>0</v>
      </c>
      <c r="K50" s="37" t="str">
        <f aca="false">IF(F50=0,"",G50/F50)</f>
        <v/>
      </c>
      <c r="L50" s="36" t="n">
        <f aca="false">Base_Semanal!J50</f>
        <v>0</v>
      </c>
      <c r="M50" s="36" t="n">
        <f aca="false">Base_Semanal!K50</f>
        <v>0</v>
      </c>
      <c r="N50" s="36" t="n">
        <f aca="false">L50+M50</f>
        <v>0</v>
      </c>
      <c r="O50" s="37" t="str">
        <f aca="false">IF(J50=0,"",N50/J50)</f>
        <v/>
      </c>
      <c r="P50" s="36" t="n">
        <f aca="false">Base_Semanal!L50</f>
        <v>0</v>
      </c>
      <c r="Q50" s="36" t="n">
        <f aca="false">Base_Semanal!M50</f>
        <v>0</v>
      </c>
      <c r="R50" s="36" t="n">
        <f aca="false">P50+Q50</f>
        <v>0</v>
      </c>
      <c r="S50" s="36" t="n">
        <f aca="false">Base_Semanal!N50</f>
        <v>0</v>
      </c>
      <c r="T50" s="36" t="n">
        <f aca="false">Base_Semanal!O50</f>
        <v>0</v>
      </c>
      <c r="U50" s="37" t="str">
        <f aca="false">IF(Base_Semanal!P50=0,"",Base_Semanal!Q50/Base_Semanal!P50)</f>
        <v/>
      </c>
      <c r="V50" s="37" t="str">
        <f aca="false">IF(Base_Semanal!R50=0,"",Base_Semanal!S50/Base_Semanal!R50)</f>
        <v/>
      </c>
      <c r="W50" s="37" t="str">
        <f aca="false">IF(Base_Semanal!P50+Base_Semanal!R50=0,"",(Base_Semanal!Q50+Base_Semanal!S50)/(Base_Semanal!P50+Base_Semanal!R50))</f>
        <v/>
      </c>
      <c r="X50" s="38" t="n">
        <f aca="false">Base_Semanal!T50</f>
        <v>0</v>
      </c>
      <c r="Y50" s="38" t="n">
        <f aca="false">Base_Semanal!U50</f>
        <v>0</v>
      </c>
      <c r="Z50" s="38" t="n">
        <f aca="false">Base_Semanal!V50</f>
        <v>0</v>
      </c>
      <c r="AA50" s="38" t="n">
        <f aca="false">Base_Semanal!W50</f>
        <v>0</v>
      </c>
      <c r="AB50" s="36" t="n">
        <f aca="false">COUNTIFS(Contratos!$B$4:$B$503,$A50,Contratos!$E$4:$E$503,"Avaliação")</f>
        <v>0</v>
      </c>
      <c r="AC50" s="39" t="n">
        <f aca="false">SUMIFS(Contratos!$I$4:$I$503,Contratos!$B$4:$B$503,$A50,Contratos!$E$4:$E$503,"Avaliação")</f>
        <v>0</v>
      </c>
      <c r="AD50" s="36" t="n">
        <f aca="false">COUNTIFS(Contratos!$B$4:$B$503,$A50,Contratos!$E$4:$E$503,"Protocolo")</f>
        <v>0</v>
      </c>
      <c r="AE50" s="39" t="n">
        <f aca="false">SUMIFS(Contratos!$I$4:$I$503,Contratos!$B$4:$B$503,$A50,Contratos!$E$4:$E$503,"Protocolo")</f>
        <v>0</v>
      </c>
      <c r="AF50" s="39" t="n">
        <f aca="false">AC50+AE50</f>
        <v>0</v>
      </c>
      <c r="AG50" s="36" t="n">
        <f aca="false">COUNTIFS(Contratos!$B$4:$B$503,$A50,Contratos!$J$4:$J$503,"À vista")</f>
        <v>0</v>
      </c>
      <c r="AH50" s="36" t="n">
        <f aca="false">COUNTIFS(Contratos!$B$4:$B$503,$A50,Contratos!$J$4:$J$503,"Parcelado")</f>
        <v>0</v>
      </c>
      <c r="AI50" s="39" t="n">
        <f aca="false">SUMIFS(Financeiro!$G$4:$G$503,Financeiro!$B$4:$B$503,$A50,Financeiro!$D$4:$D$503,"Receita",Financeiro!$H$4:$H$503,"&lt;&gt;Cancelado")</f>
        <v>0</v>
      </c>
      <c r="AJ50" s="39" t="n">
        <f aca="false">SUMIFS(Financeiro!$G$4:$G$503,Financeiro!$B$4:$B$503,$A50,Financeiro!$D$4:$D$503,"Gasto",Financeiro!$H$4:$H$503,"&lt;&gt;Cancelado")</f>
        <v>0</v>
      </c>
      <c r="AK50" s="39" t="n">
        <f aca="false">SUMIFS(Financeiro!$G$4:$G$503,Financeiro!$B$4:$B$503,$A50,Financeiro!$D$4:$D$503,"Imposto",Financeiro!$H$4:$H$503,"&lt;&gt;Cancelado")</f>
        <v>0</v>
      </c>
      <c r="AL50" s="39" t="n">
        <f aca="false">SUMIFS(Financeiro!$G$4:$G$503,Financeiro!$B$4:$B$503,$A50,Financeiro!$D$4:$D$503,"Marketing",Financeiro!$H$4:$H$503,"&lt;&gt;Cancelado")</f>
        <v>0</v>
      </c>
      <c r="AM50" s="39" t="n">
        <f aca="false">AI50-AJ50-AK50-AL50</f>
        <v>0</v>
      </c>
      <c r="AN50" s="37" t="n">
        <f aca="false">IF(Config!$B$16=0,"",AI50/Config!$B$16)</f>
        <v>0</v>
      </c>
      <c r="AO50" s="37" t="n">
        <f aca="false">IF(Config!$B$17=0,"",AJ50/Config!$B$17)</f>
        <v>0</v>
      </c>
      <c r="AP50" s="39" t="str">
        <f aca="false">IF(T50=0,"",AL50/T50)</f>
        <v/>
      </c>
      <c r="AQ50" s="39" t="n">
        <f aca="false">SUMIFS($AI$4:$AI$107,$D$4:$D$107,$D50,$B$4:$B$107,"&lt;="&amp;$B50)</f>
        <v>0</v>
      </c>
      <c r="AR50" s="39" t="n">
        <f aca="false">SUMIFS($AJ$4:$AJ$107,$D$4:$D$107,$D50,$B$4:$B$107,"&lt;="&amp;$B50)</f>
        <v>0</v>
      </c>
      <c r="AS50" s="36" t="n">
        <f aca="false">SUMIFS(Leads_Canal!$C$4:$C$503,Leads_Canal!$A$4:$A$503,$A50)</f>
        <v>0</v>
      </c>
      <c r="AT50" s="17" t="str">
        <f aca="false">IF(E50=0,"",IF(E50=AR50,"OK","Divergente"))</f>
        <v/>
      </c>
      <c r="AU50" s="17" t="str">
        <f aca="false">IF(N50=0,"",IF(N50=AD50,"OK","Divergente"))</f>
        <v/>
      </c>
    </row>
    <row r="51" customFormat="false" ht="15" hidden="false" customHeight="false" outlineLevel="0" collapsed="false">
      <c r="A51" s="17" t="str">
        <f aca="false">Base_Semanal!A51</f>
        <v>2026-S49</v>
      </c>
      <c r="B51" s="30" t="n">
        <f aca="false">Base_Semanal!B51</f>
        <v>46356</v>
      </c>
      <c r="C51" s="30" t="n">
        <f aca="false">Base_Semanal!C51</f>
        <v>46362</v>
      </c>
      <c r="D51" s="17" t="str">
        <f aca="false">Base_Semanal!D51</f>
        <v>2026-11</v>
      </c>
      <c r="E51" s="36" t="n">
        <f aca="false">Base_Semanal!E51</f>
        <v>0</v>
      </c>
      <c r="F51" s="36" t="n">
        <f aca="false">Base_Semanal!F51</f>
        <v>0</v>
      </c>
      <c r="G51" s="36" t="n">
        <f aca="false">Base_Semanal!G51</f>
        <v>0</v>
      </c>
      <c r="H51" s="36" t="n">
        <f aca="false">Base_Semanal!H51</f>
        <v>0</v>
      </c>
      <c r="I51" s="36" t="n">
        <f aca="false">Base_Semanal!I51</f>
        <v>0</v>
      </c>
      <c r="J51" s="36" t="n">
        <f aca="false">H51+I51</f>
        <v>0</v>
      </c>
      <c r="K51" s="37" t="str">
        <f aca="false">IF(F51=0,"",G51/F51)</f>
        <v/>
      </c>
      <c r="L51" s="36" t="n">
        <f aca="false">Base_Semanal!J51</f>
        <v>0</v>
      </c>
      <c r="M51" s="36" t="n">
        <f aca="false">Base_Semanal!K51</f>
        <v>0</v>
      </c>
      <c r="N51" s="36" t="n">
        <f aca="false">L51+M51</f>
        <v>0</v>
      </c>
      <c r="O51" s="37" t="str">
        <f aca="false">IF(J51=0,"",N51/J51)</f>
        <v/>
      </c>
      <c r="P51" s="36" t="n">
        <f aca="false">Base_Semanal!L51</f>
        <v>0</v>
      </c>
      <c r="Q51" s="36" t="n">
        <f aca="false">Base_Semanal!M51</f>
        <v>0</v>
      </c>
      <c r="R51" s="36" t="n">
        <f aca="false">P51+Q51</f>
        <v>0</v>
      </c>
      <c r="S51" s="36" t="n">
        <f aca="false">Base_Semanal!N51</f>
        <v>0</v>
      </c>
      <c r="T51" s="36" t="n">
        <f aca="false">Base_Semanal!O51</f>
        <v>0</v>
      </c>
      <c r="U51" s="37" t="str">
        <f aca="false">IF(Base_Semanal!P51=0,"",Base_Semanal!Q51/Base_Semanal!P51)</f>
        <v/>
      </c>
      <c r="V51" s="37" t="str">
        <f aca="false">IF(Base_Semanal!R51=0,"",Base_Semanal!S51/Base_Semanal!R51)</f>
        <v/>
      </c>
      <c r="W51" s="37" t="str">
        <f aca="false">IF(Base_Semanal!P51+Base_Semanal!R51=0,"",(Base_Semanal!Q51+Base_Semanal!S51)/(Base_Semanal!P51+Base_Semanal!R51))</f>
        <v/>
      </c>
      <c r="X51" s="38" t="n">
        <f aca="false">Base_Semanal!T51</f>
        <v>0</v>
      </c>
      <c r="Y51" s="38" t="n">
        <f aca="false">Base_Semanal!U51</f>
        <v>0</v>
      </c>
      <c r="Z51" s="38" t="n">
        <f aca="false">Base_Semanal!V51</f>
        <v>0</v>
      </c>
      <c r="AA51" s="38" t="n">
        <f aca="false">Base_Semanal!W51</f>
        <v>0</v>
      </c>
      <c r="AB51" s="36" t="n">
        <f aca="false">COUNTIFS(Contratos!$B$4:$B$503,$A51,Contratos!$E$4:$E$503,"Avaliação")</f>
        <v>0</v>
      </c>
      <c r="AC51" s="39" t="n">
        <f aca="false">SUMIFS(Contratos!$I$4:$I$503,Contratos!$B$4:$B$503,$A51,Contratos!$E$4:$E$503,"Avaliação")</f>
        <v>0</v>
      </c>
      <c r="AD51" s="36" t="n">
        <f aca="false">COUNTIFS(Contratos!$B$4:$B$503,$A51,Contratos!$E$4:$E$503,"Protocolo")</f>
        <v>0</v>
      </c>
      <c r="AE51" s="39" t="n">
        <f aca="false">SUMIFS(Contratos!$I$4:$I$503,Contratos!$B$4:$B$503,$A51,Contratos!$E$4:$E$503,"Protocolo")</f>
        <v>0</v>
      </c>
      <c r="AF51" s="39" t="n">
        <f aca="false">AC51+AE51</f>
        <v>0</v>
      </c>
      <c r="AG51" s="36" t="n">
        <f aca="false">COUNTIFS(Contratos!$B$4:$B$503,$A51,Contratos!$J$4:$J$503,"À vista")</f>
        <v>0</v>
      </c>
      <c r="AH51" s="36" t="n">
        <f aca="false">COUNTIFS(Contratos!$B$4:$B$503,$A51,Contratos!$J$4:$J$503,"Parcelado")</f>
        <v>0</v>
      </c>
      <c r="AI51" s="39" t="n">
        <f aca="false">SUMIFS(Financeiro!$G$4:$G$503,Financeiro!$B$4:$B$503,$A51,Financeiro!$D$4:$D$503,"Receita",Financeiro!$H$4:$H$503,"&lt;&gt;Cancelado")</f>
        <v>0</v>
      </c>
      <c r="AJ51" s="39" t="n">
        <f aca="false">SUMIFS(Financeiro!$G$4:$G$503,Financeiro!$B$4:$B$503,$A51,Financeiro!$D$4:$D$503,"Gasto",Financeiro!$H$4:$H$503,"&lt;&gt;Cancelado")</f>
        <v>0</v>
      </c>
      <c r="AK51" s="39" t="n">
        <f aca="false">SUMIFS(Financeiro!$G$4:$G$503,Financeiro!$B$4:$B$503,$A51,Financeiro!$D$4:$D$503,"Imposto",Financeiro!$H$4:$H$503,"&lt;&gt;Cancelado")</f>
        <v>0</v>
      </c>
      <c r="AL51" s="39" t="n">
        <f aca="false">SUMIFS(Financeiro!$G$4:$G$503,Financeiro!$B$4:$B$503,$A51,Financeiro!$D$4:$D$503,"Marketing",Financeiro!$H$4:$H$503,"&lt;&gt;Cancelado")</f>
        <v>0</v>
      </c>
      <c r="AM51" s="39" t="n">
        <f aca="false">AI51-AJ51-AK51-AL51</f>
        <v>0</v>
      </c>
      <c r="AN51" s="37" t="n">
        <f aca="false">IF(Config!$B$16=0,"",AI51/Config!$B$16)</f>
        <v>0</v>
      </c>
      <c r="AO51" s="37" t="n">
        <f aca="false">IF(Config!$B$17=0,"",AJ51/Config!$B$17)</f>
        <v>0</v>
      </c>
      <c r="AP51" s="39" t="str">
        <f aca="false">IF(T51=0,"",AL51/T51)</f>
        <v/>
      </c>
      <c r="AQ51" s="39" t="n">
        <f aca="false">SUMIFS($AI$4:$AI$107,$D$4:$D$107,$D51,$B$4:$B$107,"&lt;="&amp;$B51)</f>
        <v>0</v>
      </c>
      <c r="AR51" s="39" t="n">
        <f aca="false">SUMIFS($AJ$4:$AJ$107,$D$4:$D$107,$D51,$B$4:$B$107,"&lt;="&amp;$B51)</f>
        <v>0</v>
      </c>
      <c r="AS51" s="36" t="n">
        <f aca="false">SUMIFS(Leads_Canal!$C$4:$C$503,Leads_Canal!$A$4:$A$503,$A51)</f>
        <v>0</v>
      </c>
      <c r="AT51" s="17" t="str">
        <f aca="false">IF(E51=0,"",IF(E51=AR51,"OK","Divergente"))</f>
        <v/>
      </c>
      <c r="AU51" s="17" t="str">
        <f aca="false">IF(N51=0,"",IF(N51=AD51,"OK","Divergente"))</f>
        <v/>
      </c>
    </row>
    <row r="52" customFormat="false" ht="15" hidden="false" customHeight="false" outlineLevel="0" collapsed="false">
      <c r="A52" s="17" t="str">
        <f aca="false">Base_Semanal!A52</f>
        <v>2026-S50</v>
      </c>
      <c r="B52" s="30" t="n">
        <f aca="false">Base_Semanal!B52</f>
        <v>46363</v>
      </c>
      <c r="C52" s="30" t="n">
        <f aca="false">Base_Semanal!C52</f>
        <v>46369</v>
      </c>
      <c r="D52" s="17" t="str">
        <f aca="false">Base_Semanal!D52</f>
        <v>2026-12</v>
      </c>
      <c r="E52" s="36" t="n">
        <f aca="false">Base_Semanal!E52</f>
        <v>0</v>
      </c>
      <c r="F52" s="36" t="n">
        <f aca="false">Base_Semanal!F52</f>
        <v>0</v>
      </c>
      <c r="G52" s="36" t="n">
        <f aca="false">Base_Semanal!G52</f>
        <v>0</v>
      </c>
      <c r="H52" s="36" t="n">
        <f aca="false">Base_Semanal!H52</f>
        <v>0</v>
      </c>
      <c r="I52" s="36" t="n">
        <f aca="false">Base_Semanal!I52</f>
        <v>0</v>
      </c>
      <c r="J52" s="36" t="n">
        <f aca="false">H52+I52</f>
        <v>0</v>
      </c>
      <c r="K52" s="37" t="str">
        <f aca="false">IF(F52=0,"",G52/F52)</f>
        <v/>
      </c>
      <c r="L52" s="36" t="n">
        <f aca="false">Base_Semanal!J52</f>
        <v>0</v>
      </c>
      <c r="M52" s="36" t="n">
        <f aca="false">Base_Semanal!K52</f>
        <v>0</v>
      </c>
      <c r="N52" s="36" t="n">
        <f aca="false">L52+M52</f>
        <v>0</v>
      </c>
      <c r="O52" s="37" t="str">
        <f aca="false">IF(J52=0,"",N52/J52)</f>
        <v/>
      </c>
      <c r="P52" s="36" t="n">
        <f aca="false">Base_Semanal!L52</f>
        <v>0</v>
      </c>
      <c r="Q52" s="36" t="n">
        <f aca="false">Base_Semanal!M52</f>
        <v>0</v>
      </c>
      <c r="R52" s="36" t="n">
        <f aca="false">P52+Q52</f>
        <v>0</v>
      </c>
      <c r="S52" s="36" t="n">
        <f aca="false">Base_Semanal!N52</f>
        <v>0</v>
      </c>
      <c r="T52" s="36" t="n">
        <f aca="false">Base_Semanal!O52</f>
        <v>0</v>
      </c>
      <c r="U52" s="37" t="str">
        <f aca="false">IF(Base_Semanal!P52=0,"",Base_Semanal!Q52/Base_Semanal!P52)</f>
        <v/>
      </c>
      <c r="V52" s="37" t="str">
        <f aca="false">IF(Base_Semanal!R52=0,"",Base_Semanal!S52/Base_Semanal!R52)</f>
        <v/>
      </c>
      <c r="W52" s="37" t="str">
        <f aca="false">IF(Base_Semanal!P52+Base_Semanal!R52=0,"",(Base_Semanal!Q52+Base_Semanal!S52)/(Base_Semanal!P52+Base_Semanal!R52))</f>
        <v/>
      </c>
      <c r="X52" s="38" t="n">
        <f aca="false">Base_Semanal!T52</f>
        <v>0</v>
      </c>
      <c r="Y52" s="38" t="n">
        <f aca="false">Base_Semanal!U52</f>
        <v>0</v>
      </c>
      <c r="Z52" s="38" t="n">
        <f aca="false">Base_Semanal!V52</f>
        <v>0</v>
      </c>
      <c r="AA52" s="38" t="n">
        <f aca="false">Base_Semanal!W52</f>
        <v>0</v>
      </c>
      <c r="AB52" s="36" t="n">
        <f aca="false">COUNTIFS(Contratos!$B$4:$B$503,$A52,Contratos!$E$4:$E$503,"Avaliação")</f>
        <v>0</v>
      </c>
      <c r="AC52" s="39" t="n">
        <f aca="false">SUMIFS(Contratos!$I$4:$I$503,Contratos!$B$4:$B$503,$A52,Contratos!$E$4:$E$503,"Avaliação")</f>
        <v>0</v>
      </c>
      <c r="AD52" s="36" t="n">
        <f aca="false">COUNTIFS(Contratos!$B$4:$B$503,$A52,Contratos!$E$4:$E$503,"Protocolo")</f>
        <v>0</v>
      </c>
      <c r="AE52" s="39" t="n">
        <f aca="false">SUMIFS(Contratos!$I$4:$I$503,Contratos!$B$4:$B$503,$A52,Contratos!$E$4:$E$503,"Protocolo")</f>
        <v>0</v>
      </c>
      <c r="AF52" s="39" t="n">
        <f aca="false">AC52+AE52</f>
        <v>0</v>
      </c>
      <c r="AG52" s="36" t="n">
        <f aca="false">COUNTIFS(Contratos!$B$4:$B$503,$A52,Contratos!$J$4:$J$503,"À vista")</f>
        <v>0</v>
      </c>
      <c r="AH52" s="36" t="n">
        <f aca="false">COUNTIFS(Contratos!$B$4:$B$503,$A52,Contratos!$J$4:$J$503,"Parcelado")</f>
        <v>0</v>
      </c>
      <c r="AI52" s="39" t="n">
        <f aca="false">SUMIFS(Financeiro!$G$4:$G$503,Financeiro!$B$4:$B$503,$A52,Financeiro!$D$4:$D$503,"Receita",Financeiro!$H$4:$H$503,"&lt;&gt;Cancelado")</f>
        <v>0</v>
      </c>
      <c r="AJ52" s="39" t="n">
        <f aca="false">SUMIFS(Financeiro!$G$4:$G$503,Financeiro!$B$4:$B$503,$A52,Financeiro!$D$4:$D$503,"Gasto",Financeiro!$H$4:$H$503,"&lt;&gt;Cancelado")</f>
        <v>0</v>
      </c>
      <c r="AK52" s="39" t="n">
        <f aca="false">SUMIFS(Financeiro!$G$4:$G$503,Financeiro!$B$4:$B$503,$A52,Financeiro!$D$4:$D$503,"Imposto",Financeiro!$H$4:$H$503,"&lt;&gt;Cancelado")</f>
        <v>0</v>
      </c>
      <c r="AL52" s="39" t="n">
        <f aca="false">SUMIFS(Financeiro!$G$4:$G$503,Financeiro!$B$4:$B$503,$A52,Financeiro!$D$4:$D$503,"Marketing",Financeiro!$H$4:$H$503,"&lt;&gt;Cancelado")</f>
        <v>0</v>
      </c>
      <c r="AM52" s="39" t="n">
        <f aca="false">AI52-AJ52-AK52-AL52</f>
        <v>0</v>
      </c>
      <c r="AN52" s="37" t="n">
        <f aca="false">IF(Config!$B$16=0,"",AI52/Config!$B$16)</f>
        <v>0</v>
      </c>
      <c r="AO52" s="37" t="n">
        <f aca="false">IF(Config!$B$17=0,"",AJ52/Config!$B$17)</f>
        <v>0</v>
      </c>
      <c r="AP52" s="39" t="str">
        <f aca="false">IF(T52=0,"",AL52/T52)</f>
        <v/>
      </c>
      <c r="AQ52" s="39" t="n">
        <f aca="false">SUMIFS($AI$4:$AI$107,$D$4:$D$107,$D52,$B$4:$B$107,"&lt;="&amp;$B52)</f>
        <v>0</v>
      </c>
      <c r="AR52" s="39" t="n">
        <f aca="false">SUMIFS($AJ$4:$AJ$107,$D$4:$D$107,$D52,$B$4:$B$107,"&lt;="&amp;$B52)</f>
        <v>0</v>
      </c>
      <c r="AS52" s="36" t="n">
        <f aca="false">SUMIFS(Leads_Canal!$C$4:$C$503,Leads_Canal!$A$4:$A$503,$A52)</f>
        <v>0</v>
      </c>
      <c r="AT52" s="17" t="str">
        <f aca="false">IF(E52=0,"",IF(E52=AR52,"OK","Divergente"))</f>
        <v/>
      </c>
      <c r="AU52" s="17" t="str">
        <f aca="false">IF(N52=0,"",IF(N52=AD52,"OK","Divergente"))</f>
        <v/>
      </c>
    </row>
    <row r="53" customFormat="false" ht="15" hidden="false" customHeight="false" outlineLevel="0" collapsed="false">
      <c r="A53" s="17" t="str">
        <f aca="false">Base_Semanal!A53</f>
        <v>2026-S51</v>
      </c>
      <c r="B53" s="30" t="n">
        <f aca="false">Base_Semanal!B53</f>
        <v>46370</v>
      </c>
      <c r="C53" s="30" t="n">
        <f aca="false">Base_Semanal!C53</f>
        <v>46376</v>
      </c>
      <c r="D53" s="17" t="str">
        <f aca="false">Base_Semanal!D53</f>
        <v>2026-12</v>
      </c>
      <c r="E53" s="36" t="n">
        <f aca="false">Base_Semanal!E53</f>
        <v>0</v>
      </c>
      <c r="F53" s="36" t="n">
        <f aca="false">Base_Semanal!F53</f>
        <v>0</v>
      </c>
      <c r="G53" s="36" t="n">
        <f aca="false">Base_Semanal!G53</f>
        <v>0</v>
      </c>
      <c r="H53" s="36" t="n">
        <f aca="false">Base_Semanal!H53</f>
        <v>0</v>
      </c>
      <c r="I53" s="36" t="n">
        <f aca="false">Base_Semanal!I53</f>
        <v>0</v>
      </c>
      <c r="J53" s="36" t="n">
        <f aca="false">H53+I53</f>
        <v>0</v>
      </c>
      <c r="K53" s="37" t="str">
        <f aca="false">IF(F53=0,"",G53/F53)</f>
        <v/>
      </c>
      <c r="L53" s="36" t="n">
        <f aca="false">Base_Semanal!J53</f>
        <v>0</v>
      </c>
      <c r="M53" s="36" t="n">
        <f aca="false">Base_Semanal!K53</f>
        <v>0</v>
      </c>
      <c r="N53" s="36" t="n">
        <f aca="false">L53+M53</f>
        <v>0</v>
      </c>
      <c r="O53" s="37" t="str">
        <f aca="false">IF(J53=0,"",N53/J53)</f>
        <v/>
      </c>
      <c r="P53" s="36" t="n">
        <f aca="false">Base_Semanal!L53</f>
        <v>0</v>
      </c>
      <c r="Q53" s="36" t="n">
        <f aca="false">Base_Semanal!M53</f>
        <v>0</v>
      </c>
      <c r="R53" s="36" t="n">
        <f aca="false">P53+Q53</f>
        <v>0</v>
      </c>
      <c r="S53" s="36" t="n">
        <f aca="false">Base_Semanal!N53</f>
        <v>0</v>
      </c>
      <c r="T53" s="36" t="n">
        <f aca="false">Base_Semanal!O53</f>
        <v>0</v>
      </c>
      <c r="U53" s="37" t="str">
        <f aca="false">IF(Base_Semanal!P53=0,"",Base_Semanal!Q53/Base_Semanal!P53)</f>
        <v/>
      </c>
      <c r="V53" s="37" t="str">
        <f aca="false">IF(Base_Semanal!R53=0,"",Base_Semanal!S53/Base_Semanal!R53)</f>
        <v/>
      </c>
      <c r="W53" s="37" t="str">
        <f aca="false">IF(Base_Semanal!P53+Base_Semanal!R53=0,"",(Base_Semanal!Q53+Base_Semanal!S53)/(Base_Semanal!P53+Base_Semanal!R53))</f>
        <v/>
      </c>
      <c r="X53" s="38" t="n">
        <f aca="false">Base_Semanal!T53</f>
        <v>0</v>
      </c>
      <c r="Y53" s="38" t="n">
        <f aca="false">Base_Semanal!U53</f>
        <v>0</v>
      </c>
      <c r="Z53" s="38" t="n">
        <f aca="false">Base_Semanal!V53</f>
        <v>0</v>
      </c>
      <c r="AA53" s="38" t="n">
        <f aca="false">Base_Semanal!W53</f>
        <v>0</v>
      </c>
      <c r="AB53" s="36" t="n">
        <f aca="false">COUNTIFS(Contratos!$B$4:$B$503,$A53,Contratos!$E$4:$E$503,"Avaliação")</f>
        <v>0</v>
      </c>
      <c r="AC53" s="39" t="n">
        <f aca="false">SUMIFS(Contratos!$I$4:$I$503,Contratos!$B$4:$B$503,$A53,Contratos!$E$4:$E$503,"Avaliação")</f>
        <v>0</v>
      </c>
      <c r="AD53" s="36" t="n">
        <f aca="false">COUNTIFS(Contratos!$B$4:$B$503,$A53,Contratos!$E$4:$E$503,"Protocolo")</f>
        <v>0</v>
      </c>
      <c r="AE53" s="39" t="n">
        <f aca="false">SUMIFS(Contratos!$I$4:$I$503,Contratos!$B$4:$B$503,$A53,Contratos!$E$4:$E$503,"Protocolo")</f>
        <v>0</v>
      </c>
      <c r="AF53" s="39" t="n">
        <f aca="false">AC53+AE53</f>
        <v>0</v>
      </c>
      <c r="AG53" s="36" t="n">
        <f aca="false">COUNTIFS(Contratos!$B$4:$B$503,$A53,Contratos!$J$4:$J$503,"À vista")</f>
        <v>0</v>
      </c>
      <c r="AH53" s="36" t="n">
        <f aca="false">COUNTIFS(Contratos!$B$4:$B$503,$A53,Contratos!$J$4:$J$503,"Parcelado")</f>
        <v>0</v>
      </c>
      <c r="AI53" s="39" t="n">
        <f aca="false">SUMIFS(Financeiro!$G$4:$G$503,Financeiro!$B$4:$B$503,$A53,Financeiro!$D$4:$D$503,"Receita",Financeiro!$H$4:$H$503,"&lt;&gt;Cancelado")</f>
        <v>0</v>
      </c>
      <c r="AJ53" s="39" t="n">
        <f aca="false">SUMIFS(Financeiro!$G$4:$G$503,Financeiro!$B$4:$B$503,$A53,Financeiro!$D$4:$D$503,"Gasto",Financeiro!$H$4:$H$503,"&lt;&gt;Cancelado")</f>
        <v>0</v>
      </c>
      <c r="AK53" s="39" t="n">
        <f aca="false">SUMIFS(Financeiro!$G$4:$G$503,Financeiro!$B$4:$B$503,$A53,Financeiro!$D$4:$D$503,"Imposto",Financeiro!$H$4:$H$503,"&lt;&gt;Cancelado")</f>
        <v>0</v>
      </c>
      <c r="AL53" s="39" t="n">
        <f aca="false">SUMIFS(Financeiro!$G$4:$G$503,Financeiro!$B$4:$B$503,$A53,Financeiro!$D$4:$D$503,"Marketing",Financeiro!$H$4:$H$503,"&lt;&gt;Cancelado")</f>
        <v>0</v>
      </c>
      <c r="AM53" s="39" t="n">
        <f aca="false">AI53-AJ53-AK53-AL53</f>
        <v>0</v>
      </c>
      <c r="AN53" s="37" t="n">
        <f aca="false">IF(Config!$B$16=0,"",AI53/Config!$B$16)</f>
        <v>0</v>
      </c>
      <c r="AO53" s="37" t="n">
        <f aca="false">IF(Config!$B$17=0,"",AJ53/Config!$B$17)</f>
        <v>0</v>
      </c>
      <c r="AP53" s="39" t="str">
        <f aca="false">IF(T53=0,"",AL53/T53)</f>
        <v/>
      </c>
      <c r="AQ53" s="39" t="n">
        <f aca="false">SUMIFS($AI$4:$AI$107,$D$4:$D$107,$D53,$B$4:$B$107,"&lt;="&amp;$B53)</f>
        <v>0</v>
      </c>
      <c r="AR53" s="39" t="n">
        <f aca="false">SUMIFS($AJ$4:$AJ$107,$D$4:$D$107,$D53,$B$4:$B$107,"&lt;="&amp;$B53)</f>
        <v>0</v>
      </c>
      <c r="AS53" s="36" t="n">
        <f aca="false">SUMIFS(Leads_Canal!$C$4:$C$503,Leads_Canal!$A$4:$A$503,$A53)</f>
        <v>0</v>
      </c>
      <c r="AT53" s="17" t="str">
        <f aca="false">IF(E53=0,"",IF(E53=AR53,"OK","Divergente"))</f>
        <v/>
      </c>
      <c r="AU53" s="17" t="str">
        <f aca="false">IF(N53=0,"",IF(N53=AD53,"OK","Divergente"))</f>
        <v/>
      </c>
    </row>
    <row r="54" customFormat="false" ht="15" hidden="false" customHeight="false" outlineLevel="0" collapsed="false">
      <c r="A54" s="17" t="str">
        <f aca="false">Base_Semanal!A54</f>
        <v>2026-S52</v>
      </c>
      <c r="B54" s="30" t="n">
        <f aca="false">Base_Semanal!B54</f>
        <v>46377</v>
      </c>
      <c r="C54" s="30" t="n">
        <f aca="false">Base_Semanal!C54</f>
        <v>46383</v>
      </c>
      <c r="D54" s="17" t="str">
        <f aca="false">Base_Semanal!D54</f>
        <v>2026-12</v>
      </c>
      <c r="E54" s="36" t="n">
        <f aca="false">Base_Semanal!E54</f>
        <v>0</v>
      </c>
      <c r="F54" s="36" t="n">
        <f aca="false">Base_Semanal!F54</f>
        <v>0</v>
      </c>
      <c r="G54" s="36" t="n">
        <f aca="false">Base_Semanal!G54</f>
        <v>0</v>
      </c>
      <c r="H54" s="36" t="n">
        <f aca="false">Base_Semanal!H54</f>
        <v>0</v>
      </c>
      <c r="I54" s="36" t="n">
        <f aca="false">Base_Semanal!I54</f>
        <v>0</v>
      </c>
      <c r="J54" s="36" t="n">
        <f aca="false">H54+I54</f>
        <v>0</v>
      </c>
      <c r="K54" s="37" t="str">
        <f aca="false">IF(F54=0,"",G54/F54)</f>
        <v/>
      </c>
      <c r="L54" s="36" t="n">
        <f aca="false">Base_Semanal!J54</f>
        <v>0</v>
      </c>
      <c r="M54" s="36" t="n">
        <f aca="false">Base_Semanal!K54</f>
        <v>0</v>
      </c>
      <c r="N54" s="36" t="n">
        <f aca="false">L54+M54</f>
        <v>0</v>
      </c>
      <c r="O54" s="37" t="str">
        <f aca="false">IF(J54=0,"",N54/J54)</f>
        <v/>
      </c>
      <c r="P54" s="36" t="n">
        <f aca="false">Base_Semanal!L54</f>
        <v>0</v>
      </c>
      <c r="Q54" s="36" t="n">
        <f aca="false">Base_Semanal!M54</f>
        <v>0</v>
      </c>
      <c r="R54" s="36" t="n">
        <f aca="false">P54+Q54</f>
        <v>0</v>
      </c>
      <c r="S54" s="36" t="n">
        <f aca="false">Base_Semanal!N54</f>
        <v>0</v>
      </c>
      <c r="T54" s="36" t="n">
        <f aca="false">Base_Semanal!O54</f>
        <v>0</v>
      </c>
      <c r="U54" s="37" t="str">
        <f aca="false">IF(Base_Semanal!P54=0,"",Base_Semanal!Q54/Base_Semanal!P54)</f>
        <v/>
      </c>
      <c r="V54" s="37" t="str">
        <f aca="false">IF(Base_Semanal!R54=0,"",Base_Semanal!S54/Base_Semanal!R54)</f>
        <v/>
      </c>
      <c r="W54" s="37" t="str">
        <f aca="false">IF(Base_Semanal!P54+Base_Semanal!R54=0,"",(Base_Semanal!Q54+Base_Semanal!S54)/(Base_Semanal!P54+Base_Semanal!R54))</f>
        <v/>
      </c>
      <c r="X54" s="38" t="n">
        <f aca="false">Base_Semanal!T54</f>
        <v>0</v>
      </c>
      <c r="Y54" s="38" t="n">
        <f aca="false">Base_Semanal!U54</f>
        <v>0</v>
      </c>
      <c r="Z54" s="38" t="n">
        <f aca="false">Base_Semanal!V54</f>
        <v>0</v>
      </c>
      <c r="AA54" s="38" t="n">
        <f aca="false">Base_Semanal!W54</f>
        <v>0</v>
      </c>
      <c r="AB54" s="36" t="n">
        <f aca="false">COUNTIFS(Contratos!$B$4:$B$503,$A54,Contratos!$E$4:$E$503,"Avaliação")</f>
        <v>0</v>
      </c>
      <c r="AC54" s="39" t="n">
        <f aca="false">SUMIFS(Contratos!$I$4:$I$503,Contratos!$B$4:$B$503,$A54,Contratos!$E$4:$E$503,"Avaliação")</f>
        <v>0</v>
      </c>
      <c r="AD54" s="36" t="n">
        <f aca="false">COUNTIFS(Contratos!$B$4:$B$503,$A54,Contratos!$E$4:$E$503,"Protocolo")</f>
        <v>0</v>
      </c>
      <c r="AE54" s="39" t="n">
        <f aca="false">SUMIFS(Contratos!$I$4:$I$503,Contratos!$B$4:$B$503,$A54,Contratos!$E$4:$E$503,"Protocolo")</f>
        <v>0</v>
      </c>
      <c r="AF54" s="39" t="n">
        <f aca="false">AC54+AE54</f>
        <v>0</v>
      </c>
      <c r="AG54" s="36" t="n">
        <f aca="false">COUNTIFS(Contratos!$B$4:$B$503,$A54,Contratos!$J$4:$J$503,"À vista")</f>
        <v>0</v>
      </c>
      <c r="AH54" s="36" t="n">
        <f aca="false">COUNTIFS(Contratos!$B$4:$B$503,$A54,Contratos!$J$4:$J$503,"Parcelado")</f>
        <v>0</v>
      </c>
      <c r="AI54" s="39" t="n">
        <f aca="false">SUMIFS(Financeiro!$G$4:$G$503,Financeiro!$B$4:$B$503,$A54,Financeiro!$D$4:$D$503,"Receita",Financeiro!$H$4:$H$503,"&lt;&gt;Cancelado")</f>
        <v>0</v>
      </c>
      <c r="AJ54" s="39" t="n">
        <f aca="false">SUMIFS(Financeiro!$G$4:$G$503,Financeiro!$B$4:$B$503,$A54,Financeiro!$D$4:$D$503,"Gasto",Financeiro!$H$4:$H$503,"&lt;&gt;Cancelado")</f>
        <v>0</v>
      </c>
      <c r="AK54" s="39" t="n">
        <f aca="false">SUMIFS(Financeiro!$G$4:$G$503,Financeiro!$B$4:$B$503,$A54,Financeiro!$D$4:$D$503,"Imposto",Financeiro!$H$4:$H$503,"&lt;&gt;Cancelado")</f>
        <v>0</v>
      </c>
      <c r="AL54" s="39" t="n">
        <f aca="false">SUMIFS(Financeiro!$G$4:$G$503,Financeiro!$B$4:$B$503,$A54,Financeiro!$D$4:$D$503,"Marketing",Financeiro!$H$4:$H$503,"&lt;&gt;Cancelado")</f>
        <v>0</v>
      </c>
      <c r="AM54" s="39" t="n">
        <f aca="false">AI54-AJ54-AK54-AL54</f>
        <v>0</v>
      </c>
      <c r="AN54" s="37" t="n">
        <f aca="false">IF(Config!$B$16=0,"",AI54/Config!$B$16)</f>
        <v>0</v>
      </c>
      <c r="AO54" s="37" t="n">
        <f aca="false">IF(Config!$B$17=0,"",AJ54/Config!$B$17)</f>
        <v>0</v>
      </c>
      <c r="AP54" s="39" t="str">
        <f aca="false">IF(T54=0,"",AL54/T54)</f>
        <v/>
      </c>
      <c r="AQ54" s="39" t="n">
        <f aca="false">SUMIFS($AI$4:$AI$107,$D$4:$D$107,$D54,$B$4:$B$107,"&lt;="&amp;$B54)</f>
        <v>0</v>
      </c>
      <c r="AR54" s="39" t="n">
        <f aca="false">SUMIFS($AJ$4:$AJ$107,$D$4:$D$107,$D54,$B$4:$B$107,"&lt;="&amp;$B54)</f>
        <v>0</v>
      </c>
      <c r="AS54" s="36" t="n">
        <f aca="false">SUMIFS(Leads_Canal!$C$4:$C$503,Leads_Canal!$A$4:$A$503,$A54)</f>
        <v>0</v>
      </c>
      <c r="AT54" s="17" t="str">
        <f aca="false">IF(E54=0,"",IF(E54=AR54,"OK","Divergente"))</f>
        <v/>
      </c>
      <c r="AU54" s="17" t="str">
        <f aca="false">IF(N54=0,"",IF(N54=AD54,"OK","Divergente"))</f>
        <v/>
      </c>
    </row>
    <row r="55" customFormat="false" ht="15" hidden="false" customHeight="false" outlineLevel="0" collapsed="false">
      <c r="A55" s="17" t="str">
        <f aca="false">Base_Semanal!A55</f>
        <v>2026-S53</v>
      </c>
      <c r="B55" s="30" t="n">
        <f aca="false">Base_Semanal!B55</f>
        <v>46384</v>
      </c>
      <c r="C55" s="30" t="n">
        <f aca="false">Base_Semanal!C55</f>
        <v>46390</v>
      </c>
      <c r="D55" s="17" t="str">
        <f aca="false">Base_Semanal!D55</f>
        <v>2026-12</v>
      </c>
      <c r="E55" s="36" t="n">
        <f aca="false">Base_Semanal!E55</f>
        <v>0</v>
      </c>
      <c r="F55" s="36" t="n">
        <f aca="false">Base_Semanal!F55</f>
        <v>0</v>
      </c>
      <c r="G55" s="36" t="n">
        <f aca="false">Base_Semanal!G55</f>
        <v>0</v>
      </c>
      <c r="H55" s="36" t="n">
        <f aca="false">Base_Semanal!H55</f>
        <v>0</v>
      </c>
      <c r="I55" s="36" t="n">
        <f aca="false">Base_Semanal!I55</f>
        <v>0</v>
      </c>
      <c r="J55" s="36" t="n">
        <f aca="false">H55+I55</f>
        <v>0</v>
      </c>
      <c r="K55" s="37" t="str">
        <f aca="false">IF(F55=0,"",G55/F55)</f>
        <v/>
      </c>
      <c r="L55" s="36" t="n">
        <f aca="false">Base_Semanal!J55</f>
        <v>0</v>
      </c>
      <c r="M55" s="36" t="n">
        <f aca="false">Base_Semanal!K55</f>
        <v>0</v>
      </c>
      <c r="N55" s="36" t="n">
        <f aca="false">L55+M55</f>
        <v>0</v>
      </c>
      <c r="O55" s="37" t="str">
        <f aca="false">IF(J55=0,"",N55/J55)</f>
        <v/>
      </c>
      <c r="P55" s="36" t="n">
        <f aca="false">Base_Semanal!L55</f>
        <v>0</v>
      </c>
      <c r="Q55" s="36" t="n">
        <f aca="false">Base_Semanal!M55</f>
        <v>0</v>
      </c>
      <c r="R55" s="36" t="n">
        <f aca="false">P55+Q55</f>
        <v>0</v>
      </c>
      <c r="S55" s="36" t="n">
        <f aca="false">Base_Semanal!N55</f>
        <v>0</v>
      </c>
      <c r="T55" s="36" t="n">
        <f aca="false">Base_Semanal!O55</f>
        <v>0</v>
      </c>
      <c r="U55" s="37" t="str">
        <f aca="false">IF(Base_Semanal!P55=0,"",Base_Semanal!Q55/Base_Semanal!P55)</f>
        <v/>
      </c>
      <c r="V55" s="37" t="str">
        <f aca="false">IF(Base_Semanal!R55=0,"",Base_Semanal!S55/Base_Semanal!R55)</f>
        <v/>
      </c>
      <c r="W55" s="37" t="str">
        <f aca="false">IF(Base_Semanal!P55+Base_Semanal!R55=0,"",(Base_Semanal!Q55+Base_Semanal!S55)/(Base_Semanal!P55+Base_Semanal!R55))</f>
        <v/>
      </c>
      <c r="X55" s="38" t="n">
        <f aca="false">Base_Semanal!T55</f>
        <v>0</v>
      </c>
      <c r="Y55" s="38" t="n">
        <f aca="false">Base_Semanal!U55</f>
        <v>0</v>
      </c>
      <c r="Z55" s="38" t="n">
        <f aca="false">Base_Semanal!V55</f>
        <v>0</v>
      </c>
      <c r="AA55" s="38" t="n">
        <f aca="false">Base_Semanal!W55</f>
        <v>0</v>
      </c>
      <c r="AB55" s="36" t="n">
        <f aca="false">COUNTIFS(Contratos!$B$4:$B$503,$A55,Contratos!$E$4:$E$503,"Avaliação")</f>
        <v>0</v>
      </c>
      <c r="AC55" s="39" t="n">
        <f aca="false">SUMIFS(Contratos!$I$4:$I$503,Contratos!$B$4:$B$503,$A55,Contratos!$E$4:$E$503,"Avaliação")</f>
        <v>0</v>
      </c>
      <c r="AD55" s="36" t="n">
        <f aca="false">COUNTIFS(Contratos!$B$4:$B$503,$A55,Contratos!$E$4:$E$503,"Protocolo")</f>
        <v>0</v>
      </c>
      <c r="AE55" s="39" t="n">
        <f aca="false">SUMIFS(Contratos!$I$4:$I$503,Contratos!$B$4:$B$503,$A55,Contratos!$E$4:$E$503,"Protocolo")</f>
        <v>0</v>
      </c>
      <c r="AF55" s="39" t="n">
        <f aca="false">AC55+AE55</f>
        <v>0</v>
      </c>
      <c r="AG55" s="36" t="n">
        <f aca="false">COUNTIFS(Contratos!$B$4:$B$503,$A55,Contratos!$J$4:$J$503,"À vista")</f>
        <v>0</v>
      </c>
      <c r="AH55" s="36" t="n">
        <f aca="false">COUNTIFS(Contratos!$B$4:$B$503,$A55,Contratos!$J$4:$J$503,"Parcelado")</f>
        <v>0</v>
      </c>
      <c r="AI55" s="39" t="n">
        <f aca="false">SUMIFS(Financeiro!$G$4:$G$503,Financeiro!$B$4:$B$503,$A55,Financeiro!$D$4:$D$503,"Receita",Financeiro!$H$4:$H$503,"&lt;&gt;Cancelado")</f>
        <v>0</v>
      </c>
      <c r="AJ55" s="39" t="n">
        <f aca="false">SUMIFS(Financeiro!$G$4:$G$503,Financeiro!$B$4:$B$503,$A55,Financeiro!$D$4:$D$503,"Gasto",Financeiro!$H$4:$H$503,"&lt;&gt;Cancelado")</f>
        <v>0</v>
      </c>
      <c r="AK55" s="39" t="n">
        <f aca="false">SUMIFS(Financeiro!$G$4:$G$503,Financeiro!$B$4:$B$503,$A55,Financeiro!$D$4:$D$503,"Imposto",Financeiro!$H$4:$H$503,"&lt;&gt;Cancelado")</f>
        <v>0</v>
      </c>
      <c r="AL55" s="39" t="n">
        <f aca="false">SUMIFS(Financeiro!$G$4:$G$503,Financeiro!$B$4:$B$503,$A55,Financeiro!$D$4:$D$503,"Marketing",Financeiro!$H$4:$H$503,"&lt;&gt;Cancelado")</f>
        <v>0</v>
      </c>
      <c r="AM55" s="39" t="n">
        <f aca="false">AI55-AJ55-AK55-AL55</f>
        <v>0</v>
      </c>
      <c r="AN55" s="37" t="n">
        <f aca="false">IF(Config!$B$16=0,"",AI55/Config!$B$16)</f>
        <v>0</v>
      </c>
      <c r="AO55" s="37" t="n">
        <f aca="false">IF(Config!$B$17=0,"",AJ55/Config!$B$17)</f>
        <v>0</v>
      </c>
      <c r="AP55" s="39" t="str">
        <f aca="false">IF(T55=0,"",AL55/T55)</f>
        <v/>
      </c>
      <c r="AQ55" s="39" t="n">
        <f aca="false">SUMIFS($AI$4:$AI$107,$D$4:$D$107,$D55,$B$4:$B$107,"&lt;="&amp;$B55)</f>
        <v>0</v>
      </c>
      <c r="AR55" s="39" t="n">
        <f aca="false">SUMIFS($AJ$4:$AJ$107,$D$4:$D$107,$D55,$B$4:$B$107,"&lt;="&amp;$B55)</f>
        <v>0</v>
      </c>
      <c r="AS55" s="36" t="n">
        <f aca="false">SUMIFS(Leads_Canal!$C$4:$C$503,Leads_Canal!$A$4:$A$503,$A55)</f>
        <v>0</v>
      </c>
      <c r="AT55" s="17" t="str">
        <f aca="false">IF(E55=0,"",IF(E55=AR55,"OK","Divergente"))</f>
        <v/>
      </c>
      <c r="AU55" s="17" t="str">
        <f aca="false">IF(N55=0,"",IF(N55=AD55,"OK","Divergente"))</f>
        <v/>
      </c>
    </row>
    <row r="56" customFormat="false" ht="15" hidden="false" customHeight="false" outlineLevel="0" collapsed="false">
      <c r="A56" s="17" t="str">
        <f aca="false">Base_Semanal!A56</f>
        <v>2027-S01</v>
      </c>
      <c r="B56" s="30" t="n">
        <f aca="false">Base_Semanal!B56</f>
        <v>46391</v>
      </c>
      <c r="C56" s="30" t="n">
        <f aca="false">Base_Semanal!C56</f>
        <v>46397</v>
      </c>
      <c r="D56" s="17" t="str">
        <f aca="false">Base_Semanal!D56</f>
        <v>2027-01</v>
      </c>
      <c r="E56" s="36" t="n">
        <f aca="false">Base_Semanal!E56</f>
        <v>0</v>
      </c>
      <c r="F56" s="36" t="n">
        <f aca="false">Base_Semanal!F56</f>
        <v>0</v>
      </c>
      <c r="G56" s="36" t="n">
        <f aca="false">Base_Semanal!G56</f>
        <v>0</v>
      </c>
      <c r="H56" s="36" t="n">
        <f aca="false">Base_Semanal!H56</f>
        <v>0</v>
      </c>
      <c r="I56" s="36" t="n">
        <f aca="false">Base_Semanal!I56</f>
        <v>0</v>
      </c>
      <c r="J56" s="36" t="n">
        <f aca="false">H56+I56</f>
        <v>0</v>
      </c>
      <c r="K56" s="37" t="str">
        <f aca="false">IF(F56=0,"",G56/F56)</f>
        <v/>
      </c>
      <c r="L56" s="36" t="n">
        <f aca="false">Base_Semanal!J56</f>
        <v>0</v>
      </c>
      <c r="M56" s="36" t="n">
        <f aca="false">Base_Semanal!K56</f>
        <v>0</v>
      </c>
      <c r="N56" s="36" t="n">
        <f aca="false">L56+M56</f>
        <v>0</v>
      </c>
      <c r="O56" s="37" t="str">
        <f aca="false">IF(J56=0,"",N56/J56)</f>
        <v/>
      </c>
      <c r="P56" s="36" t="n">
        <f aca="false">Base_Semanal!L56</f>
        <v>0</v>
      </c>
      <c r="Q56" s="36" t="n">
        <f aca="false">Base_Semanal!M56</f>
        <v>0</v>
      </c>
      <c r="R56" s="36" t="n">
        <f aca="false">P56+Q56</f>
        <v>0</v>
      </c>
      <c r="S56" s="36" t="n">
        <f aca="false">Base_Semanal!N56</f>
        <v>0</v>
      </c>
      <c r="T56" s="36" t="n">
        <f aca="false">Base_Semanal!O56</f>
        <v>0</v>
      </c>
      <c r="U56" s="37" t="str">
        <f aca="false">IF(Base_Semanal!P56=0,"",Base_Semanal!Q56/Base_Semanal!P56)</f>
        <v/>
      </c>
      <c r="V56" s="37" t="str">
        <f aca="false">IF(Base_Semanal!R56=0,"",Base_Semanal!S56/Base_Semanal!R56)</f>
        <v/>
      </c>
      <c r="W56" s="37" t="str">
        <f aca="false">IF(Base_Semanal!P56+Base_Semanal!R56=0,"",(Base_Semanal!Q56+Base_Semanal!S56)/(Base_Semanal!P56+Base_Semanal!R56))</f>
        <v/>
      </c>
      <c r="X56" s="38" t="n">
        <f aca="false">Base_Semanal!T56</f>
        <v>0</v>
      </c>
      <c r="Y56" s="38" t="n">
        <f aca="false">Base_Semanal!U56</f>
        <v>0</v>
      </c>
      <c r="Z56" s="38" t="n">
        <f aca="false">Base_Semanal!V56</f>
        <v>0</v>
      </c>
      <c r="AA56" s="38" t="n">
        <f aca="false">Base_Semanal!W56</f>
        <v>0</v>
      </c>
      <c r="AB56" s="36" t="n">
        <f aca="false">COUNTIFS(Contratos!$B$4:$B$503,$A56,Contratos!$E$4:$E$503,"Avaliação")</f>
        <v>0</v>
      </c>
      <c r="AC56" s="39" t="n">
        <f aca="false">SUMIFS(Contratos!$I$4:$I$503,Contratos!$B$4:$B$503,$A56,Contratos!$E$4:$E$503,"Avaliação")</f>
        <v>0</v>
      </c>
      <c r="AD56" s="36" t="n">
        <f aca="false">COUNTIFS(Contratos!$B$4:$B$503,$A56,Contratos!$E$4:$E$503,"Protocolo")</f>
        <v>0</v>
      </c>
      <c r="AE56" s="39" t="n">
        <f aca="false">SUMIFS(Contratos!$I$4:$I$503,Contratos!$B$4:$B$503,$A56,Contratos!$E$4:$E$503,"Protocolo")</f>
        <v>0</v>
      </c>
      <c r="AF56" s="39" t="n">
        <f aca="false">AC56+AE56</f>
        <v>0</v>
      </c>
      <c r="AG56" s="36" t="n">
        <f aca="false">COUNTIFS(Contratos!$B$4:$B$503,$A56,Contratos!$J$4:$J$503,"À vista")</f>
        <v>0</v>
      </c>
      <c r="AH56" s="36" t="n">
        <f aca="false">COUNTIFS(Contratos!$B$4:$B$503,$A56,Contratos!$J$4:$J$503,"Parcelado")</f>
        <v>0</v>
      </c>
      <c r="AI56" s="39" t="n">
        <f aca="false">SUMIFS(Financeiro!$G$4:$G$503,Financeiro!$B$4:$B$503,$A56,Financeiro!$D$4:$D$503,"Receita",Financeiro!$H$4:$H$503,"&lt;&gt;Cancelado")</f>
        <v>0</v>
      </c>
      <c r="AJ56" s="39" t="n">
        <f aca="false">SUMIFS(Financeiro!$G$4:$G$503,Financeiro!$B$4:$B$503,$A56,Financeiro!$D$4:$D$503,"Gasto",Financeiro!$H$4:$H$503,"&lt;&gt;Cancelado")</f>
        <v>0</v>
      </c>
      <c r="AK56" s="39" t="n">
        <f aca="false">SUMIFS(Financeiro!$G$4:$G$503,Financeiro!$B$4:$B$503,$A56,Financeiro!$D$4:$D$503,"Imposto",Financeiro!$H$4:$H$503,"&lt;&gt;Cancelado")</f>
        <v>0</v>
      </c>
      <c r="AL56" s="39" t="n">
        <f aca="false">SUMIFS(Financeiro!$G$4:$G$503,Financeiro!$B$4:$B$503,$A56,Financeiro!$D$4:$D$503,"Marketing",Financeiro!$H$4:$H$503,"&lt;&gt;Cancelado")</f>
        <v>0</v>
      </c>
      <c r="AM56" s="39" t="n">
        <f aca="false">AI56-AJ56-AK56-AL56</f>
        <v>0</v>
      </c>
      <c r="AN56" s="37" t="n">
        <f aca="false">IF(Config!$B$16=0,"",AI56/Config!$B$16)</f>
        <v>0</v>
      </c>
      <c r="AO56" s="37" t="n">
        <f aca="false">IF(Config!$B$17=0,"",AJ56/Config!$B$17)</f>
        <v>0</v>
      </c>
      <c r="AP56" s="39" t="str">
        <f aca="false">IF(T56=0,"",AL56/T56)</f>
        <v/>
      </c>
      <c r="AQ56" s="39" t="n">
        <f aca="false">SUMIFS($AI$4:$AI$107,$D$4:$D$107,$D56,$B$4:$B$107,"&lt;="&amp;$B56)</f>
        <v>0</v>
      </c>
      <c r="AR56" s="39" t="n">
        <f aca="false">SUMIFS($AJ$4:$AJ$107,$D$4:$D$107,$D56,$B$4:$B$107,"&lt;="&amp;$B56)</f>
        <v>0</v>
      </c>
      <c r="AS56" s="36" t="n">
        <f aca="false">SUMIFS(Leads_Canal!$C$4:$C$503,Leads_Canal!$A$4:$A$503,$A56)</f>
        <v>0</v>
      </c>
      <c r="AT56" s="17" t="str">
        <f aca="false">IF(E56=0,"",IF(E56=AR56,"OK","Divergente"))</f>
        <v/>
      </c>
      <c r="AU56" s="17" t="str">
        <f aca="false">IF(N56=0,"",IF(N56=AD56,"OK","Divergente"))</f>
        <v/>
      </c>
    </row>
    <row r="57" customFormat="false" ht="15" hidden="false" customHeight="false" outlineLevel="0" collapsed="false">
      <c r="A57" s="17" t="str">
        <f aca="false">Base_Semanal!A57</f>
        <v>2027-S02</v>
      </c>
      <c r="B57" s="30" t="n">
        <f aca="false">Base_Semanal!B57</f>
        <v>46398</v>
      </c>
      <c r="C57" s="30" t="n">
        <f aca="false">Base_Semanal!C57</f>
        <v>46404</v>
      </c>
      <c r="D57" s="17" t="str">
        <f aca="false">Base_Semanal!D57</f>
        <v>2027-01</v>
      </c>
      <c r="E57" s="36" t="n">
        <f aca="false">Base_Semanal!E57</f>
        <v>0</v>
      </c>
      <c r="F57" s="36" t="n">
        <f aca="false">Base_Semanal!F57</f>
        <v>0</v>
      </c>
      <c r="G57" s="36" t="n">
        <f aca="false">Base_Semanal!G57</f>
        <v>0</v>
      </c>
      <c r="H57" s="36" t="n">
        <f aca="false">Base_Semanal!H57</f>
        <v>0</v>
      </c>
      <c r="I57" s="36" t="n">
        <f aca="false">Base_Semanal!I57</f>
        <v>0</v>
      </c>
      <c r="J57" s="36" t="n">
        <f aca="false">H57+I57</f>
        <v>0</v>
      </c>
      <c r="K57" s="37" t="str">
        <f aca="false">IF(F57=0,"",G57/F57)</f>
        <v/>
      </c>
      <c r="L57" s="36" t="n">
        <f aca="false">Base_Semanal!J57</f>
        <v>0</v>
      </c>
      <c r="M57" s="36" t="n">
        <f aca="false">Base_Semanal!K57</f>
        <v>0</v>
      </c>
      <c r="N57" s="36" t="n">
        <f aca="false">L57+M57</f>
        <v>0</v>
      </c>
      <c r="O57" s="37" t="str">
        <f aca="false">IF(J57=0,"",N57/J57)</f>
        <v/>
      </c>
      <c r="P57" s="36" t="n">
        <f aca="false">Base_Semanal!L57</f>
        <v>0</v>
      </c>
      <c r="Q57" s="36" t="n">
        <f aca="false">Base_Semanal!M57</f>
        <v>0</v>
      </c>
      <c r="R57" s="36" t="n">
        <f aca="false">P57+Q57</f>
        <v>0</v>
      </c>
      <c r="S57" s="36" t="n">
        <f aca="false">Base_Semanal!N57</f>
        <v>0</v>
      </c>
      <c r="T57" s="36" t="n">
        <f aca="false">Base_Semanal!O57</f>
        <v>0</v>
      </c>
      <c r="U57" s="37" t="str">
        <f aca="false">IF(Base_Semanal!P57=0,"",Base_Semanal!Q57/Base_Semanal!P57)</f>
        <v/>
      </c>
      <c r="V57" s="37" t="str">
        <f aca="false">IF(Base_Semanal!R57=0,"",Base_Semanal!S57/Base_Semanal!R57)</f>
        <v/>
      </c>
      <c r="W57" s="37" t="str">
        <f aca="false">IF(Base_Semanal!P57+Base_Semanal!R57=0,"",(Base_Semanal!Q57+Base_Semanal!S57)/(Base_Semanal!P57+Base_Semanal!R57))</f>
        <v/>
      </c>
      <c r="X57" s="38" t="n">
        <f aca="false">Base_Semanal!T57</f>
        <v>0</v>
      </c>
      <c r="Y57" s="38" t="n">
        <f aca="false">Base_Semanal!U57</f>
        <v>0</v>
      </c>
      <c r="Z57" s="38" t="n">
        <f aca="false">Base_Semanal!V57</f>
        <v>0</v>
      </c>
      <c r="AA57" s="38" t="n">
        <f aca="false">Base_Semanal!W57</f>
        <v>0</v>
      </c>
      <c r="AB57" s="36" t="n">
        <f aca="false">COUNTIFS(Contratos!$B$4:$B$503,$A57,Contratos!$E$4:$E$503,"Avaliação")</f>
        <v>0</v>
      </c>
      <c r="AC57" s="39" t="n">
        <f aca="false">SUMIFS(Contratos!$I$4:$I$503,Contratos!$B$4:$B$503,$A57,Contratos!$E$4:$E$503,"Avaliação")</f>
        <v>0</v>
      </c>
      <c r="AD57" s="36" t="n">
        <f aca="false">COUNTIFS(Contratos!$B$4:$B$503,$A57,Contratos!$E$4:$E$503,"Protocolo")</f>
        <v>0</v>
      </c>
      <c r="AE57" s="39" t="n">
        <f aca="false">SUMIFS(Contratos!$I$4:$I$503,Contratos!$B$4:$B$503,$A57,Contratos!$E$4:$E$503,"Protocolo")</f>
        <v>0</v>
      </c>
      <c r="AF57" s="39" t="n">
        <f aca="false">AC57+AE57</f>
        <v>0</v>
      </c>
      <c r="AG57" s="36" t="n">
        <f aca="false">COUNTIFS(Contratos!$B$4:$B$503,$A57,Contratos!$J$4:$J$503,"À vista")</f>
        <v>0</v>
      </c>
      <c r="AH57" s="36" t="n">
        <f aca="false">COUNTIFS(Contratos!$B$4:$B$503,$A57,Contratos!$J$4:$J$503,"Parcelado")</f>
        <v>0</v>
      </c>
      <c r="AI57" s="39" t="n">
        <f aca="false">SUMIFS(Financeiro!$G$4:$G$503,Financeiro!$B$4:$B$503,$A57,Financeiro!$D$4:$D$503,"Receita",Financeiro!$H$4:$H$503,"&lt;&gt;Cancelado")</f>
        <v>0</v>
      </c>
      <c r="AJ57" s="39" t="n">
        <f aca="false">SUMIFS(Financeiro!$G$4:$G$503,Financeiro!$B$4:$B$503,$A57,Financeiro!$D$4:$D$503,"Gasto",Financeiro!$H$4:$H$503,"&lt;&gt;Cancelado")</f>
        <v>0</v>
      </c>
      <c r="AK57" s="39" t="n">
        <f aca="false">SUMIFS(Financeiro!$G$4:$G$503,Financeiro!$B$4:$B$503,$A57,Financeiro!$D$4:$D$503,"Imposto",Financeiro!$H$4:$H$503,"&lt;&gt;Cancelado")</f>
        <v>0</v>
      </c>
      <c r="AL57" s="39" t="n">
        <f aca="false">SUMIFS(Financeiro!$G$4:$G$503,Financeiro!$B$4:$B$503,$A57,Financeiro!$D$4:$D$503,"Marketing",Financeiro!$H$4:$H$503,"&lt;&gt;Cancelado")</f>
        <v>0</v>
      </c>
      <c r="AM57" s="39" t="n">
        <f aca="false">AI57-AJ57-AK57-AL57</f>
        <v>0</v>
      </c>
      <c r="AN57" s="37" t="n">
        <f aca="false">IF(Config!$B$16=0,"",AI57/Config!$B$16)</f>
        <v>0</v>
      </c>
      <c r="AO57" s="37" t="n">
        <f aca="false">IF(Config!$B$17=0,"",AJ57/Config!$B$17)</f>
        <v>0</v>
      </c>
      <c r="AP57" s="39" t="str">
        <f aca="false">IF(T57=0,"",AL57/T57)</f>
        <v/>
      </c>
      <c r="AQ57" s="39" t="n">
        <f aca="false">SUMIFS($AI$4:$AI$107,$D$4:$D$107,$D57,$B$4:$B$107,"&lt;="&amp;$B57)</f>
        <v>0</v>
      </c>
      <c r="AR57" s="39" t="n">
        <f aca="false">SUMIFS($AJ$4:$AJ$107,$D$4:$D$107,$D57,$B$4:$B$107,"&lt;="&amp;$B57)</f>
        <v>0</v>
      </c>
      <c r="AS57" s="36" t="n">
        <f aca="false">SUMIFS(Leads_Canal!$C$4:$C$503,Leads_Canal!$A$4:$A$503,$A57)</f>
        <v>0</v>
      </c>
      <c r="AT57" s="17" t="str">
        <f aca="false">IF(E57=0,"",IF(E57=AR57,"OK","Divergente"))</f>
        <v/>
      </c>
      <c r="AU57" s="17" t="str">
        <f aca="false">IF(N57=0,"",IF(N57=AD57,"OK","Divergente"))</f>
        <v/>
      </c>
    </row>
    <row r="58" customFormat="false" ht="15" hidden="false" customHeight="false" outlineLevel="0" collapsed="false">
      <c r="A58" s="17" t="str">
        <f aca="false">Base_Semanal!A58</f>
        <v>2027-S03</v>
      </c>
      <c r="B58" s="30" t="n">
        <f aca="false">Base_Semanal!B58</f>
        <v>46405</v>
      </c>
      <c r="C58" s="30" t="n">
        <f aca="false">Base_Semanal!C58</f>
        <v>46411</v>
      </c>
      <c r="D58" s="17" t="str">
        <f aca="false">Base_Semanal!D58</f>
        <v>2027-01</v>
      </c>
      <c r="E58" s="36" t="n">
        <f aca="false">Base_Semanal!E58</f>
        <v>0</v>
      </c>
      <c r="F58" s="36" t="n">
        <f aca="false">Base_Semanal!F58</f>
        <v>0</v>
      </c>
      <c r="G58" s="36" t="n">
        <f aca="false">Base_Semanal!G58</f>
        <v>0</v>
      </c>
      <c r="H58" s="36" t="n">
        <f aca="false">Base_Semanal!H58</f>
        <v>0</v>
      </c>
      <c r="I58" s="36" t="n">
        <f aca="false">Base_Semanal!I58</f>
        <v>0</v>
      </c>
      <c r="J58" s="36" t="n">
        <f aca="false">H58+I58</f>
        <v>0</v>
      </c>
      <c r="K58" s="37" t="str">
        <f aca="false">IF(F58=0,"",G58/F58)</f>
        <v/>
      </c>
      <c r="L58" s="36" t="n">
        <f aca="false">Base_Semanal!J58</f>
        <v>0</v>
      </c>
      <c r="M58" s="36" t="n">
        <f aca="false">Base_Semanal!K58</f>
        <v>0</v>
      </c>
      <c r="N58" s="36" t="n">
        <f aca="false">L58+M58</f>
        <v>0</v>
      </c>
      <c r="O58" s="37" t="str">
        <f aca="false">IF(J58=0,"",N58/J58)</f>
        <v/>
      </c>
      <c r="P58" s="36" t="n">
        <f aca="false">Base_Semanal!L58</f>
        <v>0</v>
      </c>
      <c r="Q58" s="36" t="n">
        <f aca="false">Base_Semanal!M58</f>
        <v>0</v>
      </c>
      <c r="R58" s="36" t="n">
        <f aca="false">P58+Q58</f>
        <v>0</v>
      </c>
      <c r="S58" s="36" t="n">
        <f aca="false">Base_Semanal!N58</f>
        <v>0</v>
      </c>
      <c r="T58" s="36" t="n">
        <f aca="false">Base_Semanal!O58</f>
        <v>0</v>
      </c>
      <c r="U58" s="37" t="str">
        <f aca="false">IF(Base_Semanal!P58=0,"",Base_Semanal!Q58/Base_Semanal!P58)</f>
        <v/>
      </c>
      <c r="V58" s="37" t="str">
        <f aca="false">IF(Base_Semanal!R58=0,"",Base_Semanal!S58/Base_Semanal!R58)</f>
        <v/>
      </c>
      <c r="W58" s="37" t="str">
        <f aca="false">IF(Base_Semanal!P58+Base_Semanal!R58=0,"",(Base_Semanal!Q58+Base_Semanal!S58)/(Base_Semanal!P58+Base_Semanal!R58))</f>
        <v/>
      </c>
      <c r="X58" s="38" t="n">
        <f aca="false">Base_Semanal!T58</f>
        <v>0</v>
      </c>
      <c r="Y58" s="38" t="n">
        <f aca="false">Base_Semanal!U58</f>
        <v>0</v>
      </c>
      <c r="Z58" s="38" t="n">
        <f aca="false">Base_Semanal!V58</f>
        <v>0</v>
      </c>
      <c r="AA58" s="38" t="n">
        <f aca="false">Base_Semanal!W58</f>
        <v>0</v>
      </c>
      <c r="AB58" s="36" t="n">
        <f aca="false">COUNTIFS(Contratos!$B$4:$B$503,$A58,Contratos!$E$4:$E$503,"Avaliação")</f>
        <v>0</v>
      </c>
      <c r="AC58" s="39" t="n">
        <f aca="false">SUMIFS(Contratos!$I$4:$I$503,Contratos!$B$4:$B$503,$A58,Contratos!$E$4:$E$503,"Avaliação")</f>
        <v>0</v>
      </c>
      <c r="AD58" s="36" t="n">
        <f aca="false">COUNTIFS(Contratos!$B$4:$B$503,$A58,Contratos!$E$4:$E$503,"Protocolo")</f>
        <v>0</v>
      </c>
      <c r="AE58" s="39" t="n">
        <f aca="false">SUMIFS(Contratos!$I$4:$I$503,Contratos!$B$4:$B$503,$A58,Contratos!$E$4:$E$503,"Protocolo")</f>
        <v>0</v>
      </c>
      <c r="AF58" s="39" t="n">
        <f aca="false">AC58+AE58</f>
        <v>0</v>
      </c>
      <c r="AG58" s="36" t="n">
        <f aca="false">COUNTIFS(Contratos!$B$4:$B$503,$A58,Contratos!$J$4:$J$503,"À vista")</f>
        <v>0</v>
      </c>
      <c r="AH58" s="36" t="n">
        <f aca="false">COUNTIFS(Contratos!$B$4:$B$503,$A58,Contratos!$J$4:$J$503,"Parcelado")</f>
        <v>0</v>
      </c>
      <c r="AI58" s="39" t="n">
        <f aca="false">SUMIFS(Financeiro!$G$4:$G$503,Financeiro!$B$4:$B$503,$A58,Financeiro!$D$4:$D$503,"Receita",Financeiro!$H$4:$H$503,"&lt;&gt;Cancelado")</f>
        <v>0</v>
      </c>
      <c r="AJ58" s="39" t="n">
        <f aca="false">SUMIFS(Financeiro!$G$4:$G$503,Financeiro!$B$4:$B$503,$A58,Financeiro!$D$4:$D$503,"Gasto",Financeiro!$H$4:$H$503,"&lt;&gt;Cancelado")</f>
        <v>0</v>
      </c>
      <c r="AK58" s="39" t="n">
        <f aca="false">SUMIFS(Financeiro!$G$4:$G$503,Financeiro!$B$4:$B$503,$A58,Financeiro!$D$4:$D$503,"Imposto",Financeiro!$H$4:$H$503,"&lt;&gt;Cancelado")</f>
        <v>0</v>
      </c>
      <c r="AL58" s="39" t="n">
        <f aca="false">SUMIFS(Financeiro!$G$4:$G$503,Financeiro!$B$4:$B$503,$A58,Financeiro!$D$4:$D$503,"Marketing",Financeiro!$H$4:$H$503,"&lt;&gt;Cancelado")</f>
        <v>0</v>
      </c>
      <c r="AM58" s="39" t="n">
        <f aca="false">AI58-AJ58-AK58-AL58</f>
        <v>0</v>
      </c>
      <c r="AN58" s="37" t="n">
        <f aca="false">IF(Config!$B$16=0,"",AI58/Config!$B$16)</f>
        <v>0</v>
      </c>
      <c r="AO58" s="37" t="n">
        <f aca="false">IF(Config!$B$17=0,"",AJ58/Config!$B$17)</f>
        <v>0</v>
      </c>
      <c r="AP58" s="39" t="str">
        <f aca="false">IF(T58=0,"",AL58/T58)</f>
        <v/>
      </c>
      <c r="AQ58" s="39" t="n">
        <f aca="false">SUMIFS($AI$4:$AI$107,$D$4:$D$107,$D58,$B$4:$B$107,"&lt;="&amp;$B58)</f>
        <v>0</v>
      </c>
      <c r="AR58" s="39" t="n">
        <f aca="false">SUMIFS($AJ$4:$AJ$107,$D$4:$D$107,$D58,$B$4:$B$107,"&lt;="&amp;$B58)</f>
        <v>0</v>
      </c>
      <c r="AS58" s="36" t="n">
        <f aca="false">SUMIFS(Leads_Canal!$C$4:$C$503,Leads_Canal!$A$4:$A$503,$A58)</f>
        <v>0</v>
      </c>
      <c r="AT58" s="17" t="str">
        <f aca="false">IF(E58=0,"",IF(E58=AR58,"OK","Divergente"))</f>
        <v/>
      </c>
      <c r="AU58" s="17" t="str">
        <f aca="false">IF(N58=0,"",IF(N58=AD58,"OK","Divergente"))</f>
        <v/>
      </c>
    </row>
    <row r="59" customFormat="false" ht="15" hidden="false" customHeight="false" outlineLevel="0" collapsed="false">
      <c r="A59" s="17" t="str">
        <f aca="false">Base_Semanal!A59</f>
        <v>2027-S04</v>
      </c>
      <c r="B59" s="30" t="n">
        <f aca="false">Base_Semanal!B59</f>
        <v>46412</v>
      </c>
      <c r="C59" s="30" t="n">
        <f aca="false">Base_Semanal!C59</f>
        <v>46418</v>
      </c>
      <c r="D59" s="17" t="str">
        <f aca="false">Base_Semanal!D59</f>
        <v>2027-01</v>
      </c>
      <c r="E59" s="36" t="n">
        <f aca="false">Base_Semanal!E59</f>
        <v>0</v>
      </c>
      <c r="F59" s="36" t="n">
        <f aca="false">Base_Semanal!F59</f>
        <v>0</v>
      </c>
      <c r="G59" s="36" t="n">
        <f aca="false">Base_Semanal!G59</f>
        <v>0</v>
      </c>
      <c r="H59" s="36" t="n">
        <f aca="false">Base_Semanal!H59</f>
        <v>0</v>
      </c>
      <c r="I59" s="36" t="n">
        <f aca="false">Base_Semanal!I59</f>
        <v>0</v>
      </c>
      <c r="J59" s="36" t="n">
        <f aca="false">H59+I59</f>
        <v>0</v>
      </c>
      <c r="K59" s="37" t="str">
        <f aca="false">IF(F59=0,"",G59/F59)</f>
        <v/>
      </c>
      <c r="L59" s="36" t="n">
        <f aca="false">Base_Semanal!J59</f>
        <v>0</v>
      </c>
      <c r="M59" s="36" t="n">
        <f aca="false">Base_Semanal!K59</f>
        <v>0</v>
      </c>
      <c r="N59" s="36" t="n">
        <f aca="false">L59+M59</f>
        <v>0</v>
      </c>
      <c r="O59" s="37" t="str">
        <f aca="false">IF(J59=0,"",N59/J59)</f>
        <v/>
      </c>
      <c r="P59" s="36" t="n">
        <f aca="false">Base_Semanal!L59</f>
        <v>0</v>
      </c>
      <c r="Q59" s="36" t="n">
        <f aca="false">Base_Semanal!M59</f>
        <v>0</v>
      </c>
      <c r="R59" s="36" t="n">
        <f aca="false">P59+Q59</f>
        <v>0</v>
      </c>
      <c r="S59" s="36" t="n">
        <f aca="false">Base_Semanal!N59</f>
        <v>0</v>
      </c>
      <c r="T59" s="36" t="n">
        <f aca="false">Base_Semanal!O59</f>
        <v>0</v>
      </c>
      <c r="U59" s="37" t="str">
        <f aca="false">IF(Base_Semanal!P59=0,"",Base_Semanal!Q59/Base_Semanal!P59)</f>
        <v/>
      </c>
      <c r="V59" s="37" t="str">
        <f aca="false">IF(Base_Semanal!R59=0,"",Base_Semanal!S59/Base_Semanal!R59)</f>
        <v/>
      </c>
      <c r="W59" s="37" t="str">
        <f aca="false">IF(Base_Semanal!P59+Base_Semanal!R59=0,"",(Base_Semanal!Q59+Base_Semanal!S59)/(Base_Semanal!P59+Base_Semanal!R59))</f>
        <v/>
      </c>
      <c r="X59" s="38" t="n">
        <f aca="false">Base_Semanal!T59</f>
        <v>0</v>
      </c>
      <c r="Y59" s="38" t="n">
        <f aca="false">Base_Semanal!U59</f>
        <v>0</v>
      </c>
      <c r="Z59" s="38" t="n">
        <f aca="false">Base_Semanal!V59</f>
        <v>0</v>
      </c>
      <c r="AA59" s="38" t="n">
        <f aca="false">Base_Semanal!W59</f>
        <v>0</v>
      </c>
      <c r="AB59" s="36" t="n">
        <f aca="false">COUNTIFS(Contratos!$B$4:$B$503,$A59,Contratos!$E$4:$E$503,"Avaliação")</f>
        <v>0</v>
      </c>
      <c r="AC59" s="39" t="n">
        <f aca="false">SUMIFS(Contratos!$I$4:$I$503,Contratos!$B$4:$B$503,$A59,Contratos!$E$4:$E$503,"Avaliação")</f>
        <v>0</v>
      </c>
      <c r="AD59" s="36" t="n">
        <f aca="false">COUNTIFS(Contratos!$B$4:$B$503,$A59,Contratos!$E$4:$E$503,"Protocolo")</f>
        <v>0</v>
      </c>
      <c r="AE59" s="39" t="n">
        <f aca="false">SUMIFS(Contratos!$I$4:$I$503,Contratos!$B$4:$B$503,$A59,Contratos!$E$4:$E$503,"Protocolo")</f>
        <v>0</v>
      </c>
      <c r="AF59" s="39" t="n">
        <f aca="false">AC59+AE59</f>
        <v>0</v>
      </c>
      <c r="AG59" s="36" t="n">
        <f aca="false">COUNTIFS(Contratos!$B$4:$B$503,$A59,Contratos!$J$4:$J$503,"À vista")</f>
        <v>0</v>
      </c>
      <c r="AH59" s="36" t="n">
        <f aca="false">COUNTIFS(Contratos!$B$4:$B$503,$A59,Contratos!$J$4:$J$503,"Parcelado")</f>
        <v>0</v>
      </c>
      <c r="AI59" s="39" t="n">
        <f aca="false">SUMIFS(Financeiro!$G$4:$G$503,Financeiro!$B$4:$B$503,$A59,Financeiro!$D$4:$D$503,"Receita",Financeiro!$H$4:$H$503,"&lt;&gt;Cancelado")</f>
        <v>0</v>
      </c>
      <c r="AJ59" s="39" t="n">
        <f aca="false">SUMIFS(Financeiro!$G$4:$G$503,Financeiro!$B$4:$B$503,$A59,Financeiro!$D$4:$D$503,"Gasto",Financeiro!$H$4:$H$503,"&lt;&gt;Cancelado")</f>
        <v>0</v>
      </c>
      <c r="AK59" s="39" t="n">
        <f aca="false">SUMIFS(Financeiro!$G$4:$G$503,Financeiro!$B$4:$B$503,$A59,Financeiro!$D$4:$D$503,"Imposto",Financeiro!$H$4:$H$503,"&lt;&gt;Cancelado")</f>
        <v>0</v>
      </c>
      <c r="AL59" s="39" t="n">
        <f aca="false">SUMIFS(Financeiro!$G$4:$G$503,Financeiro!$B$4:$B$503,$A59,Financeiro!$D$4:$D$503,"Marketing",Financeiro!$H$4:$H$503,"&lt;&gt;Cancelado")</f>
        <v>0</v>
      </c>
      <c r="AM59" s="39" t="n">
        <f aca="false">AI59-AJ59-AK59-AL59</f>
        <v>0</v>
      </c>
      <c r="AN59" s="37" t="n">
        <f aca="false">IF(Config!$B$16=0,"",AI59/Config!$B$16)</f>
        <v>0</v>
      </c>
      <c r="AO59" s="37" t="n">
        <f aca="false">IF(Config!$B$17=0,"",AJ59/Config!$B$17)</f>
        <v>0</v>
      </c>
      <c r="AP59" s="39" t="str">
        <f aca="false">IF(T59=0,"",AL59/T59)</f>
        <v/>
      </c>
      <c r="AQ59" s="39" t="n">
        <f aca="false">SUMIFS($AI$4:$AI$107,$D$4:$D$107,$D59,$B$4:$B$107,"&lt;="&amp;$B59)</f>
        <v>0</v>
      </c>
      <c r="AR59" s="39" t="n">
        <f aca="false">SUMIFS($AJ$4:$AJ$107,$D$4:$D$107,$D59,$B$4:$B$107,"&lt;="&amp;$B59)</f>
        <v>0</v>
      </c>
      <c r="AS59" s="36" t="n">
        <f aca="false">SUMIFS(Leads_Canal!$C$4:$C$503,Leads_Canal!$A$4:$A$503,$A59)</f>
        <v>0</v>
      </c>
      <c r="AT59" s="17" t="str">
        <f aca="false">IF(E59=0,"",IF(E59=AR59,"OK","Divergente"))</f>
        <v/>
      </c>
      <c r="AU59" s="17" t="str">
        <f aca="false">IF(N59=0,"",IF(N59=AD59,"OK","Divergente"))</f>
        <v/>
      </c>
    </row>
    <row r="60" customFormat="false" ht="15" hidden="false" customHeight="false" outlineLevel="0" collapsed="false">
      <c r="A60" s="17" t="str">
        <f aca="false">Base_Semanal!A60</f>
        <v>2027-S05</v>
      </c>
      <c r="B60" s="30" t="n">
        <f aca="false">Base_Semanal!B60</f>
        <v>46419</v>
      </c>
      <c r="C60" s="30" t="n">
        <f aca="false">Base_Semanal!C60</f>
        <v>46425</v>
      </c>
      <c r="D60" s="17" t="str">
        <f aca="false">Base_Semanal!D60</f>
        <v>2027-02</v>
      </c>
      <c r="E60" s="36" t="n">
        <f aca="false">Base_Semanal!E60</f>
        <v>0</v>
      </c>
      <c r="F60" s="36" t="n">
        <f aca="false">Base_Semanal!F60</f>
        <v>0</v>
      </c>
      <c r="G60" s="36" t="n">
        <f aca="false">Base_Semanal!G60</f>
        <v>0</v>
      </c>
      <c r="H60" s="36" t="n">
        <f aca="false">Base_Semanal!H60</f>
        <v>0</v>
      </c>
      <c r="I60" s="36" t="n">
        <f aca="false">Base_Semanal!I60</f>
        <v>0</v>
      </c>
      <c r="J60" s="36" t="n">
        <f aca="false">H60+I60</f>
        <v>0</v>
      </c>
      <c r="K60" s="37" t="str">
        <f aca="false">IF(F60=0,"",G60/F60)</f>
        <v/>
      </c>
      <c r="L60" s="36" t="n">
        <f aca="false">Base_Semanal!J60</f>
        <v>0</v>
      </c>
      <c r="M60" s="36" t="n">
        <f aca="false">Base_Semanal!K60</f>
        <v>0</v>
      </c>
      <c r="N60" s="36" t="n">
        <f aca="false">L60+M60</f>
        <v>0</v>
      </c>
      <c r="O60" s="37" t="str">
        <f aca="false">IF(J60=0,"",N60/J60)</f>
        <v/>
      </c>
      <c r="P60" s="36" t="n">
        <f aca="false">Base_Semanal!L60</f>
        <v>0</v>
      </c>
      <c r="Q60" s="36" t="n">
        <f aca="false">Base_Semanal!M60</f>
        <v>0</v>
      </c>
      <c r="R60" s="36" t="n">
        <f aca="false">P60+Q60</f>
        <v>0</v>
      </c>
      <c r="S60" s="36" t="n">
        <f aca="false">Base_Semanal!N60</f>
        <v>0</v>
      </c>
      <c r="T60" s="36" t="n">
        <f aca="false">Base_Semanal!O60</f>
        <v>0</v>
      </c>
      <c r="U60" s="37" t="str">
        <f aca="false">IF(Base_Semanal!P60=0,"",Base_Semanal!Q60/Base_Semanal!P60)</f>
        <v/>
      </c>
      <c r="V60" s="37" t="str">
        <f aca="false">IF(Base_Semanal!R60=0,"",Base_Semanal!S60/Base_Semanal!R60)</f>
        <v/>
      </c>
      <c r="W60" s="37" t="str">
        <f aca="false">IF(Base_Semanal!P60+Base_Semanal!R60=0,"",(Base_Semanal!Q60+Base_Semanal!S60)/(Base_Semanal!P60+Base_Semanal!R60))</f>
        <v/>
      </c>
      <c r="X60" s="38" t="n">
        <f aca="false">Base_Semanal!T60</f>
        <v>0</v>
      </c>
      <c r="Y60" s="38" t="n">
        <f aca="false">Base_Semanal!U60</f>
        <v>0</v>
      </c>
      <c r="Z60" s="38" t="n">
        <f aca="false">Base_Semanal!V60</f>
        <v>0</v>
      </c>
      <c r="AA60" s="38" t="n">
        <f aca="false">Base_Semanal!W60</f>
        <v>0</v>
      </c>
      <c r="AB60" s="36" t="n">
        <f aca="false">COUNTIFS(Contratos!$B$4:$B$503,$A60,Contratos!$E$4:$E$503,"Avaliação")</f>
        <v>0</v>
      </c>
      <c r="AC60" s="39" t="n">
        <f aca="false">SUMIFS(Contratos!$I$4:$I$503,Contratos!$B$4:$B$503,$A60,Contratos!$E$4:$E$503,"Avaliação")</f>
        <v>0</v>
      </c>
      <c r="AD60" s="36" t="n">
        <f aca="false">COUNTIFS(Contratos!$B$4:$B$503,$A60,Contratos!$E$4:$E$503,"Protocolo")</f>
        <v>0</v>
      </c>
      <c r="AE60" s="39" t="n">
        <f aca="false">SUMIFS(Contratos!$I$4:$I$503,Contratos!$B$4:$B$503,$A60,Contratos!$E$4:$E$503,"Protocolo")</f>
        <v>0</v>
      </c>
      <c r="AF60" s="39" t="n">
        <f aca="false">AC60+AE60</f>
        <v>0</v>
      </c>
      <c r="AG60" s="36" t="n">
        <f aca="false">COUNTIFS(Contratos!$B$4:$B$503,$A60,Contratos!$J$4:$J$503,"À vista")</f>
        <v>0</v>
      </c>
      <c r="AH60" s="36" t="n">
        <f aca="false">COUNTIFS(Contratos!$B$4:$B$503,$A60,Contratos!$J$4:$J$503,"Parcelado")</f>
        <v>0</v>
      </c>
      <c r="AI60" s="39" t="n">
        <f aca="false">SUMIFS(Financeiro!$G$4:$G$503,Financeiro!$B$4:$B$503,$A60,Financeiro!$D$4:$D$503,"Receita",Financeiro!$H$4:$H$503,"&lt;&gt;Cancelado")</f>
        <v>0</v>
      </c>
      <c r="AJ60" s="39" t="n">
        <f aca="false">SUMIFS(Financeiro!$G$4:$G$503,Financeiro!$B$4:$B$503,$A60,Financeiro!$D$4:$D$503,"Gasto",Financeiro!$H$4:$H$503,"&lt;&gt;Cancelado")</f>
        <v>0</v>
      </c>
      <c r="AK60" s="39" t="n">
        <f aca="false">SUMIFS(Financeiro!$G$4:$G$503,Financeiro!$B$4:$B$503,$A60,Financeiro!$D$4:$D$503,"Imposto",Financeiro!$H$4:$H$503,"&lt;&gt;Cancelado")</f>
        <v>0</v>
      </c>
      <c r="AL60" s="39" t="n">
        <f aca="false">SUMIFS(Financeiro!$G$4:$G$503,Financeiro!$B$4:$B$503,$A60,Financeiro!$D$4:$D$503,"Marketing",Financeiro!$H$4:$H$503,"&lt;&gt;Cancelado")</f>
        <v>0</v>
      </c>
      <c r="AM60" s="39" t="n">
        <f aca="false">AI60-AJ60-AK60-AL60</f>
        <v>0</v>
      </c>
      <c r="AN60" s="37" t="n">
        <f aca="false">IF(Config!$B$16=0,"",AI60/Config!$B$16)</f>
        <v>0</v>
      </c>
      <c r="AO60" s="37" t="n">
        <f aca="false">IF(Config!$B$17=0,"",AJ60/Config!$B$17)</f>
        <v>0</v>
      </c>
      <c r="AP60" s="39" t="str">
        <f aca="false">IF(T60=0,"",AL60/T60)</f>
        <v/>
      </c>
      <c r="AQ60" s="39" t="n">
        <f aca="false">SUMIFS($AI$4:$AI$107,$D$4:$D$107,$D60,$B$4:$B$107,"&lt;="&amp;$B60)</f>
        <v>0</v>
      </c>
      <c r="AR60" s="39" t="n">
        <f aca="false">SUMIFS($AJ$4:$AJ$107,$D$4:$D$107,$D60,$B$4:$B$107,"&lt;="&amp;$B60)</f>
        <v>0</v>
      </c>
      <c r="AS60" s="36" t="n">
        <f aca="false">SUMIFS(Leads_Canal!$C$4:$C$503,Leads_Canal!$A$4:$A$503,$A60)</f>
        <v>0</v>
      </c>
      <c r="AT60" s="17" t="str">
        <f aca="false">IF(E60=0,"",IF(E60=AR60,"OK","Divergente"))</f>
        <v/>
      </c>
      <c r="AU60" s="17" t="str">
        <f aca="false">IF(N60=0,"",IF(N60=AD60,"OK","Divergente"))</f>
        <v/>
      </c>
    </row>
    <row r="61" customFormat="false" ht="15" hidden="false" customHeight="false" outlineLevel="0" collapsed="false">
      <c r="A61" s="17" t="str">
        <f aca="false">Base_Semanal!A61</f>
        <v>2027-S06</v>
      </c>
      <c r="B61" s="30" t="n">
        <f aca="false">Base_Semanal!B61</f>
        <v>46426</v>
      </c>
      <c r="C61" s="30" t="n">
        <f aca="false">Base_Semanal!C61</f>
        <v>46432</v>
      </c>
      <c r="D61" s="17" t="str">
        <f aca="false">Base_Semanal!D61</f>
        <v>2027-02</v>
      </c>
      <c r="E61" s="36" t="n">
        <f aca="false">Base_Semanal!E61</f>
        <v>0</v>
      </c>
      <c r="F61" s="36" t="n">
        <f aca="false">Base_Semanal!F61</f>
        <v>0</v>
      </c>
      <c r="G61" s="36" t="n">
        <f aca="false">Base_Semanal!G61</f>
        <v>0</v>
      </c>
      <c r="H61" s="36" t="n">
        <f aca="false">Base_Semanal!H61</f>
        <v>0</v>
      </c>
      <c r="I61" s="36" t="n">
        <f aca="false">Base_Semanal!I61</f>
        <v>0</v>
      </c>
      <c r="J61" s="36" t="n">
        <f aca="false">H61+I61</f>
        <v>0</v>
      </c>
      <c r="K61" s="37" t="str">
        <f aca="false">IF(F61=0,"",G61/F61)</f>
        <v/>
      </c>
      <c r="L61" s="36" t="n">
        <f aca="false">Base_Semanal!J61</f>
        <v>0</v>
      </c>
      <c r="M61" s="36" t="n">
        <f aca="false">Base_Semanal!K61</f>
        <v>0</v>
      </c>
      <c r="N61" s="36" t="n">
        <f aca="false">L61+M61</f>
        <v>0</v>
      </c>
      <c r="O61" s="37" t="str">
        <f aca="false">IF(J61=0,"",N61/J61)</f>
        <v/>
      </c>
      <c r="P61" s="36" t="n">
        <f aca="false">Base_Semanal!L61</f>
        <v>0</v>
      </c>
      <c r="Q61" s="36" t="n">
        <f aca="false">Base_Semanal!M61</f>
        <v>0</v>
      </c>
      <c r="R61" s="36" t="n">
        <f aca="false">P61+Q61</f>
        <v>0</v>
      </c>
      <c r="S61" s="36" t="n">
        <f aca="false">Base_Semanal!N61</f>
        <v>0</v>
      </c>
      <c r="T61" s="36" t="n">
        <f aca="false">Base_Semanal!O61</f>
        <v>0</v>
      </c>
      <c r="U61" s="37" t="str">
        <f aca="false">IF(Base_Semanal!P61=0,"",Base_Semanal!Q61/Base_Semanal!P61)</f>
        <v/>
      </c>
      <c r="V61" s="37" t="str">
        <f aca="false">IF(Base_Semanal!R61=0,"",Base_Semanal!S61/Base_Semanal!R61)</f>
        <v/>
      </c>
      <c r="W61" s="37" t="str">
        <f aca="false">IF(Base_Semanal!P61+Base_Semanal!R61=0,"",(Base_Semanal!Q61+Base_Semanal!S61)/(Base_Semanal!P61+Base_Semanal!R61))</f>
        <v/>
      </c>
      <c r="X61" s="38" t="n">
        <f aca="false">Base_Semanal!T61</f>
        <v>0</v>
      </c>
      <c r="Y61" s="38" t="n">
        <f aca="false">Base_Semanal!U61</f>
        <v>0</v>
      </c>
      <c r="Z61" s="38" t="n">
        <f aca="false">Base_Semanal!V61</f>
        <v>0</v>
      </c>
      <c r="AA61" s="38" t="n">
        <f aca="false">Base_Semanal!W61</f>
        <v>0</v>
      </c>
      <c r="AB61" s="36" t="n">
        <f aca="false">COUNTIFS(Contratos!$B$4:$B$503,$A61,Contratos!$E$4:$E$503,"Avaliação")</f>
        <v>0</v>
      </c>
      <c r="AC61" s="39" t="n">
        <f aca="false">SUMIFS(Contratos!$I$4:$I$503,Contratos!$B$4:$B$503,$A61,Contratos!$E$4:$E$503,"Avaliação")</f>
        <v>0</v>
      </c>
      <c r="AD61" s="36" t="n">
        <f aca="false">COUNTIFS(Contratos!$B$4:$B$503,$A61,Contratos!$E$4:$E$503,"Protocolo")</f>
        <v>0</v>
      </c>
      <c r="AE61" s="39" t="n">
        <f aca="false">SUMIFS(Contratos!$I$4:$I$503,Contratos!$B$4:$B$503,$A61,Contratos!$E$4:$E$503,"Protocolo")</f>
        <v>0</v>
      </c>
      <c r="AF61" s="39" t="n">
        <f aca="false">AC61+AE61</f>
        <v>0</v>
      </c>
      <c r="AG61" s="36" t="n">
        <f aca="false">COUNTIFS(Contratos!$B$4:$B$503,$A61,Contratos!$J$4:$J$503,"À vista")</f>
        <v>0</v>
      </c>
      <c r="AH61" s="36" t="n">
        <f aca="false">COUNTIFS(Contratos!$B$4:$B$503,$A61,Contratos!$J$4:$J$503,"Parcelado")</f>
        <v>0</v>
      </c>
      <c r="AI61" s="39" t="n">
        <f aca="false">SUMIFS(Financeiro!$G$4:$G$503,Financeiro!$B$4:$B$503,$A61,Financeiro!$D$4:$D$503,"Receita",Financeiro!$H$4:$H$503,"&lt;&gt;Cancelado")</f>
        <v>0</v>
      </c>
      <c r="AJ61" s="39" t="n">
        <f aca="false">SUMIFS(Financeiro!$G$4:$G$503,Financeiro!$B$4:$B$503,$A61,Financeiro!$D$4:$D$503,"Gasto",Financeiro!$H$4:$H$503,"&lt;&gt;Cancelado")</f>
        <v>0</v>
      </c>
      <c r="AK61" s="39" t="n">
        <f aca="false">SUMIFS(Financeiro!$G$4:$G$503,Financeiro!$B$4:$B$503,$A61,Financeiro!$D$4:$D$503,"Imposto",Financeiro!$H$4:$H$503,"&lt;&gt;Cancelado")</f>
        <v>0</v>
      </c>
      <c r="AL61" s="39" t="n">
        <f aca="false">SUMIFS(Financeiro!$G$4:$G$503,Financeiro!$B$4:$B$503,$A61,Financeiro!$D$4:$D$503,"Marketing",Financeiro!$H$4:$H$503,"&lt;&gt;Cancelado")</f>
        <v>0</v>
      </c>
      <c r="AM61" s="39" t="n">
        <f aca="false">AI61-AJ61-AK61-AL61</f>
        <v>0</v>
      </c>
      <c r="AN61" s="37" t="n">
        <f aca="false">IF(Config!$B$16=0,"",AI61/Config!$B$16)</f>
        <v>0</v>
      </c>
      <c r="AO61" s="37" t="n">
        <f aca="false">IF(Config!$B$17=0,"",AJ61/Config!$B$17)</f>
        <v>0</v>
      </c>
      <c r="AP61" s="39" t="str">
        <f aca="false">IF(T61=0,"",AL61/T61)</f>
        <v/>
      </c>
      <c r="AQ61" s="39" t="n">
        <f aca="false">SUMIFS($AI$4:$AI$107,$D$4:$D$107,$D61,$B$4:$B$107,"&lt;="&amp;$B61)</f>
        <v>0</v>
      </c>
      <c r="AR61" s="39" t="n">
        <f aca="false">SUMIFS($AJ$4:$AJ$107,$D$4:$D$107,$D61,$B$4:$B$107,"&lt;="&amp;$B61)</f>
        <v>0</v>
      </c>
      <c r="AS61" s="36" t="n">
        <f aca="false">SUMIFS(Leads_Canal!$C$4:$C$503,Leads_Canal!$A$4:$A$503,$A61)</f>
        <v>0</v>
      </c>
      <c r="AT61" s="17" t="str">
        <f aca="false">IF(E61=0,"",IF(E61=AR61,"OK","Divergente"))</f>
        <v/>
      </c>
      <c r="AU61" s="17" t="str">
        <f aca="false">IF(N61=0,"",IF(N61=AD61,"OK","Divergente"))</f>
        <v/>
      </c>
    </row>
    <row r="62" customFormat="false" ht="15" hidden="false" customHeight="false" outlineLevel="0" collapsed="false">
      <c r="A62" s="17" t="str">
        <f aca="false">Base_Semanal!A62</f>
        <v>2027-S07</v>
      </c>
      <c r="B62" s="30" t="n">
        <f aca="false">Base_Semanal!B62</f>
        <v>46433</v>
      </c>
      <c r="C62" s="30" t="n">
        <f aca="false">Base_Semanal!C62</f>
        <v>46439</v>
      </c>
      <c r="D62" s="17" t="str">
        <f aca="false">Base_Semanal!D62</f>
        <v>2027-02</v>
      </c>
      <c r="E62" s="36" t="n">
        <f aca="false">Base_Semanal!E62</f>
        <v>0</v>
      </c>
      <c r="F62" s="36" t="n">
        <f aca="false">Base_Semanal!F62</f>
        <v>0</v>
      </c>
      <c r="G62" s="36" t="n">
        <f aca="false">Base_Semanal!G62</f>
        <v>0</v>
      </c>
      <c r="H62" s="36" t="n">
        <f aca="false">Base_Semanal!H62</f>
        <v>0</v>
      </c>
      <c r="I62" s="36" t="n">
        <f aca="false">Base_Semanal!I62</f>
        <v>0</v>
      </c>
      <c r="J62" s="36" t="n">
        <f aca="false">H62+I62</f>
        <v>0</v>
      </c>
      <c r="K62" s="37" t="str">
        <f aca="false">IF(F62=0,"",G62/F62)</f>
        <v/>
      </c>
      <c r="L62" s="36" t="n">
        <f aca="false">Base_Semanal!J62</f>
        <v>0</v>
      </c>
      <c r="M62" s="36" t="n">
        <f aca="false">Base_Semanal!K62</f>
        <v>0</v>
      </c>
      <c r="N62" s="36" t="n">
        <f aca="false">L62+M62</f>
        <v>0</v>
      </c>
      <c r="O62" s="37" t="str">
        <f aca="false">IF(J62=0,"",N62/J62)</f>
        <v/>
      </c>
      <c r="P62" s="36" t="n">
        <f aca="false">Base_Semanal!L62</f>
        <v>0</v>
      </c>
      <c r="Q62" s="36" t="n">
        <f aca="false">Base_Semanal!M62</f>
        <v>0</v>
      </c>
      <c r="R62" s="36" t="n">
        <f aca="false">P62+Q62</f>
        <v>0</v>
      </c>
      <c r="S62" s="36" t="n">
        <f aca="false">Base_Semanal!N62</f>
        <v>0</v>
      </c>
      <c r="T62" s="36" t="n">
        <f aca="false">Base_Semanal!O62</f>
        <v>0</v>
      </c>
      <c r="U62" s="37" t="str">
        <f aca="false">IF(Base_Semanal!P62=0,"",Base_Semanal!Q62/Base_Semanal!P62)</f>
        <v/>
      </c>
      <c r="V62" s="37" t="str">
        <f aca="false">IF(Base_Semanal!R62=0,"",Base_Semanal!S62/Base_Semanal!R62)</f>
        <v/>
      </c>
      <c r="W62" s="37" t="str">
        <f aca="false">IF(Base_Semanal!P62+Base_Semanal!R62=0,"",(Base_Semanal!Q62+Base_Semanal!S62)/(Base_Semanal!P62+Base_Semanal!R62))</f>
        <v/>
      </c>
      <c r="X62" s="38" t="n">
        <f aca="false">Base_Semanal!T62</f>
        <v>0</v>
      </c>
      <c r="Y62" s="38" t="n">
        <f aca="false">Base_Semanal!U62</f>
        <v>0</v>
      </c>
      <c r="Z62" s="38" t="n">
        <f aca="false">Base_Semanal!V62</f>
        <v>0</v>
      </c>
      <c r="AA62" s="38" t="n">
        <f aca="false">Base_Semanal!W62</f>
        <v>0</v>
      </c>
      <c r="AB62" s="36" t="n">
        <f aca="false">COUNTIFS(Contratos!$B$4:$B$503,$A62,Contratos!$E$4:$E$503,"Avaliação")</f>
        <v>0</v>
      </c>
      <c r="AC62" s="39" t="n">
        <f aca="false">SUMIFS(Contratos!$I$4:$I$503,Contratos!$B$4:$B$503,$A62,Contratos!$E$4:$E$503,"Avaliação")</f>
        <v>0</v>
      </c>
      <c r="AD62" s="36" t="n">
        <f aca="false">COUNTIFS(Contratos!$B$4:$B$503,$A62,Contratos!$E$4:$E$503,"Protocolo")</f>
        <v>0</v>
      </c>
      <c r="AE62" s="39" t="n">
        <f aca="false">SUMIFS(Contratos!$I$4:$I$503,Contratos!$B$4:$B$503,$A62,Contratos!$E$4:$E$503,"Protocolo")</f>
        <v>0</v>
      </c>
      <c r="AF62" s="39" t="n">
        <f aca="false">AC62+AE62</f>
        <v>0</v>
      </c>
      <c r="AG62" s="36" t="n">
        <f aca="false">COUNTIFS(Contratos!$B$4:$B$503,$A62,Contratos!$J$4:$J$503,"À vista")</f>
        <v>0</v>
      </c>
      <c r="AH62" s="36" t="n">
        <f aca="false">COUNTIFS(Contratos!$B$4:$B$503,$A62,Contratos!$J$4:$J$503,"Parcelado")</f>
        <v>0</v>
      </c>
      <c r="AI62" s="39" t="n">
        <f aca="false">SUMIFS(Financeiro!$G$4:$G$503,Financeiro!$B$4:$B$503,$A62,Financeiro!$D$4:$D$503,"Receita",Financeiro!$H$4:$H$503,"&lt;&gt;Cancelado")</f>
        <v>0</v>
      </c>
      <c r="AJ62" s="39" t="n">
        <f aca="false">SUMIFS(Financeiro!$G$4:$G$503,Financeiro!$B$4:$B$503,$A62,Financeiro!$D$4:$D$503,"Gasto",Financeiro!$H$4:$H$503,"&lt;&gt;Cancelado")</f>
        <v>0</v>
      </c>
      <c r="AK62" s="39" t="n">
        <f aca="false">SUMIFS(Financeiro!$G$4:$G$503,Financeiro!$B$4:$B$503,$A62,Financeiro!$D$4:$D$503,"Imposto",Financeiro!$H$4:$H$503,"&lt;&gt;Cancelado")</f>
        <v>0</v>
      </c>
      <c r="AL62" s="39" t="n">
        <f aca="false">SUMIFS(Financeiro!$G$4:$G$503,Financeiro!$B$4:$B$503,$A62,Financeiro!$D$4:$D$503,"Marketing",Financeiro!$H$4:$H$503,"&lt;&gt;Cancelado")</f>
        <v>0</v>
      </c>
      <c r="AM62" s="39" t="n">
        <f aca="false">AI62-AJ62-AK62-AL62</f>
        <v>0</v>
      </c>
      <c r="AN62" s="37" t="n">
        <f aca="false">IF(Config!$B$16=0,"",AI62/Config!$B$16)</f>
        <v>0</v>
      </c>
      <c r="AO62" s="37" t="n">
        <f aca="false">IF(Config!$B$17=0,"",AJ62/Config!$B$17)</f>
        <v>0</v>
      </c>
      <c r="AP62" s="39" t="str">
        <f aca="false">IF(T62=0,"",AL62/T62)</f>
        <v/>
      </c>
      <c r="AQ62" s="39" t="n">
        <f aca="false">SUMIFS($AI$4:$AI$107,$D$4:$D$107,$D62,$B$4:$B$107,"&lt;="&amp;$B62)</f>
        <v>0</v>
      </c>
      <c r="AR62" s="39" t="n">
        <f aca="false">SUMIFS($AJ$4:$AJ$107,$D$4:$D$107,$D62,$B$4:$B$107,"&lt;="&amp;$B62)</f>
        <v>0</v>
      </c>
      <c r="AS62" s="36" t="n">
        <f aca="false">SUMIFS(Leads_Canal!$C$4:$C$503,Leads_Canal!$A$4:$A$503,$A62)</f>
        <v>0</v>
      </c>
      <c r="AT62" s="17" t="str">
        <f aca="false">IF(E62=0,"",IF(E62=AR62,"OK","Divergente"))</f>
        <v/>
      </c>
      <c r="AU62" s="17" t="str">
        <f aca="false">IF(N62=0,"",IF(N62=AD62,"OK","Divergente"))</f>
        <v/>
      </c>
    </row>
    <row r="63" customFormat="false" ht="15" hidden="false" customHeight="false" outlineLevel="0" collapsed="false">
      <c r="A63" s="17" t="str">
        <f aca="false">Base_Semanal!A63</f>
        <v>2027-S08</v>
      </c>
      <c r="B63" s="30" t="n">
        <f aca="false">Base_Semanal!B63</f>
        <v>46440</v>
      </c>
      <c r="C63" s="30" t="n">
        <f aca="false">Base_Semanal!C63</f>
        <v>46446</v>
      </c>
      <c r="D63" s="17" t="str">
        <f aca="false">Base_Semanal!D63</f>
        <v>2027-02</v>
      </c>
      <c r="E63" s="36" t="n">
        <f aca="false">Base_Semanal!E63</f>
        <v>0</v>
      </c>
      <c r="F63" s="36" t="n">
        <f aca="false">Base_Semanal!F63</f>
        <v>0</v>
      </c>
      <c r="G63" s="36" t="n">
        <f aca="false">Base_Semanal!G63</f>
        <v>0</v>
      </c>
      <c r="H63" s="36" t="n">
        <f aca="false">Base_Semanal!H63</f>
        <v>0</v>
      </c>
      <c r="I63" s="36" t="n">
        <f aca="false">Base_Semanal!I63</f>
        <v>0</v>
      </c>
      <c r="J63" s="36" t="n">
        <f aca="false">H63+I63</f>
        <v>0</v>
      </c>
      <c r="K63" s="37" t="str">
        <f aca="false">IF(F63=0,"",G63/F63)</f>
        <v/>
      </c>
      <c r="L63" s="36" t="n">
        <f aca="false">Base_Semanal!J63</f>
        <v>0</v>
      </c>
      <c r="M63" s="36" t="n">
        <f aca="false">Base_Semanal!K63</f>
        <v>0</v>
      </c>
      <c r="N63" s="36" t="n">
        <f aca="false">L63+M63</f>
        <v>0</v>
      </c>
      <c r="O63" s="37" t="str">
        <f aca="false">IF(J63=0,"",N63/J63)</f>
        <v/>
      </c>
      <c r="P63" s="36" t="n">
        <f aca="false">Base_Semanal!L63</f>
        <v>0</v>
      </c>
      <c r="Q63" s="36" t="n">
        <f aca="false">Base_Semanal!M63</f>
        <v>0</v>
      </c>
      <c r="R63" s="36" t="n">
        <f aca="false">P63+Q63</f>
        <v>0</v>
      </c>
      <c r="S63" s="36" t="n">
        <f aca="false">Base_Semanal!N63</f>
        <v>0</v>
      </c>
      <c r="T63" s="36" t="n">
        <f aca="false">Base_Semanal!O63</f>
        <v>0</v>
      </c>
      <c r="U63" s="37" t="str">
        <f aca="false">IF(Base_Semanal!P63=0,"",Base_Semanal!Q63/Base_Semanal!P63)</f>
        <v/>
      </c>
      <c r="V63" s="37" t="str">
        <f aca="false">IF(Base_Semanal!R63=0,"",Base_Semanal!S63/Base_Semanal!R63)</f>
        <v/>
      </c>
      <c r="W63" s="37" t="str">
        <f aca="false">IF(Base_Semanal!P63+Base_Semanal!R63=0,"",(Base_Semanal!Q63+Base_Semanal!S63)/(Base_Semanal!P63+Base_Semanal!R63))</f>
        <v/>
      </c>
      <c r="X63" s="38" t="n">
        <f aca="false">Base_Semanal!T63</f>
        <v>0</v>
      </c>
      <c r="Y63" s="38" t="n">
        <f aca="false">Base_Semanal!U63</f>
        <v>0</v>
      </c>
      <c r="Z63" s="38" t="n">
        <f aca="false">Base_Semanal!V63</f>
        <v>0</v>
      </c>
      <c r="AA63" s="38" t="n">
        <f aca="false">Base_Semanal!W63</f>
        <v>0</v>
      </c>
      <c r="AB63" s="36" t="n">
        <f aca="false">COUNTIFS(Contratos!$B$4:$B$503,$A63,Contratos!$E$4:$E$503,"Avaliação")</f>
        <v>0</v>
      </c>
      <c r="AC63" s="39" t="n">
        <f aca="false">SUMIFS(Contratos!$I$4:$I$503,Contratos!$B$4:$B$503,$A63,Contratos!$E$4:$E$503,"Avaliação")</f>
        <v>0</v>
      </c>
      <c r="AD63" s="36" t="n">
        <f aca="false">COUNTIFS(Contratos!$B$4:$B$503,$A63,Contratos!$E$4:$E$503,"Protocolo")</f>
        <v>0</v>
      </c>
      <c r="AE63" s="39" t="n">
        <f aca="false">SUMIFS(Contratos!$I$4:$I$503,Contratos!$B$4:$B$503,$A63,Contratos!$E$4:$E$503,"Protocolo")</f>
        <v>0</v>
      </c>
      <c r="AF63" s="39" t="n">
        <f aca="false">AC63+AE63</f>
        <v>0</v>
      </c>
      <c r="AG63" s="36" t="n">
        <f aca="false">COUNTIFS(Contratos!$B$4:$B$503,$A63,Contratos!$J$4:$J$503,"À vista")</f>
        <v>0</v>
      </c>
      <c r="AH63" s="36" t="n">
        <f aca="false">COUNTIFS(Contratos!$B$4:$B$503,$A63,Contratos!$J$4:$J$503,"Parcelado")</f>
        <v>0</v>
      </c>
      <c r="AI63" s="39" t="n">
        <f aca="false">SUMIFS(Financeiro!$G$4:$G$503,Financeiro!$B$4:$B$503,$A63,Financeiro!$D$4:$D$503,"Receita",Financeiro!$H$4:$H$503,"&lt;&gt;Cancelado")</f>
        <v>0</v>
      </c>
      <c r="AJ63" s="39" t="n">
        <f aca="false">SUMIFS(Financeiro!$G$4:$G$503,Financeiro!$B$4:$B$503,$A63,Financeiro!$D$4:$D$503,"Gasto",Financeiro!$H$4:$H$503,"&lt;&gt;Cancelado")</f>
        <v>0</v>
      </c>
      <c r="AK63" s="39" t="n">
        <f aca="false">SUMIFS(Financeiro!$G$4:$G$503,Financeiro!$B$4:$B$503,$A63,Financeiro!$D$4:$D$503,"Imposto",Financeiro!$H$4:$H$503,"&lt;&gt;Cancelado")</f>
        <v>0</v>
      </c>
      <c r="AL63" s="39" t="n">
        <f aca="false">SUMIFS(Financeiro!$G$4:$G$503,Financeiro!$B$4:$B$503,$A63,Financeiro!$D$4:$D$503,"Marketing",Financeiro!$H$4:$H$503,"&lt;&gt;Cancelado")</f>
        <v>0</v>
      </c>
      <c r="AM63" s="39" t="n">
        <f aca="false">AI63-AJ63-AK63-AL63</f>
        <v>0</v>
      </c>
      <c r="AN63" s="37" t="n">
        <f aca="false">IF(Config!$B$16=0,"",AI63/Config!$B$16)</f>
        <v>0</v>
      </c>
      <c r="AO63" s="37" t="n">
        <f aca="false">IF(Config!$B$17=0,"",AJ63/Config!$B$17)</f>
        <v>0</v>
      </c>
      <c r="AP63" s="39" t="str">
        <f aca="false">IF(T63=0,"",AL63/T63)</f>
        <v/>
      </c>
      <c r="AQ63" s="39" t="n">
        <f aca="false">SUMIFS($AI$4:$AI$107,$D$4:$D$107,$D63,$B$4:$B$107,"&lt;="&amp;$B63)</f>
        <v>0</v>
      </c>
      <c r="AR63" s="39" t="n">
        <f aca="false">SUMIFS($AJ$4:$AJ$107,$D$4:$D$107,$D63,$B$4:$B$107,"&lt;="&amp;$B63)</f>
        <v>0</v>
      </c>
      <c r="AS63" s="36" t="n">
        <f aca="false">SUMIFS(Leads_Canal!$C$4:$C$503,Leads_Canal!$A$4:$A$503,$A63)</f>
        <v>0</v>
      </c>
      <c r="AT63" s="17" t="str">
        <f aca="false">IF(E63=0,"",IF(E63=AR63,"OK","Divergente"))</f>
        <v/>
      </c>
      <c r="AU63" s="17" t="str">
        <f aca="false">IF(N63=0,"",IF(N63=AD63,"OK","Divergente"))</f>
        <v/>
      </c>
    </row>
    <row r="64" customFormat="false" ht="15" hidden="false" customHeight="false" outlineLevel="0" collapsed="false">
      <c r="A64" s="17" t="str">
        <f aca="false">Base_Semanal!A64</f>
        <v>2027-S09</v>
      </c>
      <c r="B64" s="30" t="n">
        <f aca="false">Base_Semanal!B64</f>
        <v>46447</v>
      </c>
      <c r="C64" s="30" t="n">
        <f aca="false">Base_Semanal!C64</f>
        <v>46453</v>
      </c>
      <c r="D64" s="17" t="str">
        <f aca="false">Base_Semanal!D64</f>
        <v>2027-03</v>
      </c>
      <c r="E64" s="36" t="n">
        <f aca="false">Base_Semanal!E64</f>
        <v>0</v>
      </c>
      <c r="F64" s="36" t="n">
        <f aca="false">Base_Semanal!F64</f>
        <v>0</v>
      </c>
      <c r="G64" s="36" t="n">
        <f aca="false">Base_Semanal!G64</f>
        <v>0</v>
      </c>
      <c r="H64" s="36" t="n">
        <f aca="false">Base_Semanal!H64</f>
        <v>0</v>
      </c>
      <c r="I64" s="36" t="n">
        <f aca="false">Base_Semanal!I64</f>
        <v>0</v>
      </c>
      <c r="J64" s="36" t="n">
        <f aca="false">H64+I64</f>
        <v>0</v>
      </c>
      <c r="K64" s="37" t="str">
        <f aca="false">IF(F64=0,"",G64/F64)</f>
        <v/>
      </c>
      <c r="L64" s="36" t="n">
        <f aca="false">Base_Semanal!J64</f>
        <v>0</v>
      </c>
      <c r="M64" s="36" t="n">
        <f aca="false">Base_Semanal!K64</f>
        <v>0</v>
      </c>
      <c r="N64" s="36" t="n">
        <f aca="false">L64+M64</f>
        <v>0</v>
      </c>
      <c r="O64" s="37" t="str">
        <f aca="false">IF(J64=0,"",N64/J64)</f>
        <v/>
      </c>
      <c r="P64" s="36" t="n">
        <f aca="false">Base_Semanal!L64</f>
        <v>0</v>
      </c>
      <c r="Q64" s="36" t="n">
        <f aca="false">Base_Semanal!M64</f>
        <v>0</v>
      </c>
      <c r="R64" s="36" t="n">
        <f aca="false">P64+Q64</f>
        <v>0</v>
      </c>
      <c r="S64" s="36" t="n">
        <f aca="false">Base_Semanal!N64</f>
        <v>0</v>
      </c>
      <c r="T64" s="36" t="n">
        <f aca="false">Base_Semanal!O64</f>
        <v>0</v>
      </c>
      <c r="U64" s="37" t="str">
        <f aca="false">IF(Base_Semanal!P64=0,"",Base_Semanal!Q64/Base_Semanal!P64)</f>
        <v/>
      </c>
      <c r="V64" s="37" t="str">
        <f aca="false">IF(Base_Semanal!R64=0,"",Base_Semanal!S64/Base_Semanal!R64)</f>
        <v/>
      </c>
      <c r="W64" s="37" t="str">
        <f aca="false">IF(Base_Semanal!P64+Base_Semanal!R64=0,"",(Base_Semanal!Q64+Base_Semanal!S64)/(Base_Semanal!P64+Base_Semanal!R64))</f>
        <v/>
      </c>
      <c r="X64" s="38" t="n">
        <f aca="false">Base_Semanal!T64</f>
        <v>0</v>
      </c>
      <c r="Y64" s="38" t="n">
        <f aca="false">Base_Semanal!U64</f>
        <v>0</v>
      </c>
      <c r="Z64" s="38" t="n">
        <f aca="false">Base_Semanal!V64</f>
        <v>0</v>
      </c>
      <c r="AA64" s="38" t="n">
        <f aca="false">Base_Semanal!W64</f>
        <v>0</v>
      </c>
      <c r="AB64" s="36" t="n">
        <f aca="false">COUNTIFS(Contratos!$B$4:$B$503,$A64,Contratos!$E$4:$E$503,"Avaliação")</f>
        <v>0</v>
      </c>
      <c r="AC64" s="39" t="n">
        <f aca="false">SUMIFS(Contratos!$I$4:$I$503,Contratos!$B$4:$B$503,$A64,Contratos!$E$4:$E$503,"Avaliação")</f>
        <v>0</v>
      </c>
      <c r="AD64" s="36" t="n">
        <f aca="false">COUNTIFS(Contratos!$B$4:$B$503,$A64,Contratos!$E$4:$E$503,"Protocolo")</f>
        <v>0</v>
      </c>
      <c r="AE64" s="39" t="n">
        <f aca="false">SUMIFS(Contratos!$I$4:$I$503,Contratos!$B$4:$B$503,$A64,Contratos!$E$4:$E$503,"Protocolo")</f>
        <v>0</v>
      </c>
      <c r="AF64" s="39" t="n">
        <f aca="false">AC64+AE64</f>
        <v>0</v>
      </c>
      <c r="AG64" s="36" t="n">
        <f aca="false">COUNTIFS(Contratos!$B$4:$B$503,$A64,Contratos!$J$4:$J$503,"À vista")</f>
        <v>0</v>
      </c>
      <c r="AH64" s="36" t="n">
        <f aca="false">COUNTIFS(Contratos!$B$4:$B$503,$A64,Contratos!$J$4:$J$503,"Parcelado")</f>
        <v>0</v>
      </c>
      <c r="AI64" s="39" t="n">
        <f aca="false">SUMIFS(Financeiro!$G$4:$G$503,Financeiro!$B$4:$B$503,$A64,Financeiro!$D$4:$D$503,"Receita",Financeiro!$H$4:$H$503,"&lt;&gt;Cancelado")</f>
        <v>0</v>
      </c>
      <c r="AJ64" s="39" t="n">
        <f aca="false">SUMIFS(Financeiro!$G$4:$G$503,Financeiro!$B$4:$B$503,$A64,Financeiro!$D$4:$D$503,"Gasto",Financeiro!$H$4:$H$503,"&lt;&gt;Cancelado")</f>
        <v>0</v>
      </c>
      <c r="AK64" s="39" t="n">
        <f aca="false">SUMIFS(Financeiro!$G$4:$G$503,Financeiro!$B$4:$B$503,$A64,Financeiro!$D$4:$D$503,"Imposto",Financeiro!$H$4:$H$503,"&lt;&gt;Cancelado")</f>
        <v>0</v>
      </c>
      <c r="AL64" s="39" t="n">
        <f aca="false">SUMIFS(Financeiro!$G$4:$G$503,Financeiro!$B$4:$B$503,$A64,Financeiro!$D$4:$D$503,"Marketing",Financeiro!$H$4:$H$503,"&lt;&gt;Cancelado")</f>
        <v>0</v>
      </c>
      <c r="AM64" s="39" t="n">
        <f aca="false">AI64-AJ64-AK64-AL64</f>
        <v>0</v>
      </c>
      <c r="AN64" s="37" t="n">
        <f aca="false">IF(Config!$B$16=0,"",AI64/Config!$B$16)</f>
        <v>0</v>
      </c>
      <c r="AO64" s="37" t="n">
        <f aca="false">IF(Config!$B$17=0,"",AJ64/Config!$B$17)</f>
        <v>0</v>
      </c>
      <c r="AP64" s="39" t="str">
        <f aca="false">IF(T64=0,"",AL64/T64)</f>
        <v/>
      </c>
      <c r="AQ64" s="39" t="n">
        <f aca="false">SUMIFS($AI$4:$AI$107,$D$4:$D$107,$D64,$B$4:$B$107,"&lt;="&amp;$B64)</f>
        <v>0</v>
      </c>
      <c r="AR64" s="39" t="n">
        <f aca="false">SUMIFS($AJ$4:$AJ$107,$D$4:$D$107,$D64,$B$4:$B$107,"&lt;="&amp;$B64)</f>
        <v>0</v>
      </c>
      <c r="AS64" s="36" t="n">
        <f aca="false">SUMIFS(Leads_Canal!$C$4:$C$503,Leads_Canal!$A$4:$A$503,$A64)</f>
        <v>0</v>
      </c>
      <c r="AT64" s="17" t="str">
        <f aca="false">IF(E64=0,"",IF(E64=AR64,"OK","Divergente"))</f>
        <v/>
      </c>
      <c r="AU64" s="17" t="str">
        <f aca="false">IF(N64=0,"",IF(N64=AD64,"OK","Divergente"))</f>
        <v/>
      </c>
    </row>
    <row r="65" customFormat="false" ht="15" hidden="false" customHeight="false" outlineLevel="0" collapsed="false">
      <c r="A65" s="17" t="str">
        <f aca="false">Base_Semanal!A65</f>
        <v>2027-S10</v>
      </c>
      <c r="B65" s="30" t="n">
        <f aca="false">Base_Semanal!B65</f>
        <v>46454</v>
      </c>
      <c r="C65" s="30" t="n">
        <f aca="false">Base_Semanal!C65</f>
        <v>46460</v>
      </c>
      <c r="D65" s="17" t="str">
        <f aca="false">Base_Semanal!D65</f>
        <v>2027-03</v>
      </c>
      <c r="E65" s="36" t="n">
        <f aca="false">Base_Semanal!E65</f>
        <v>0</v>
      </c>
      <c r="F65" s="36" t="n">
        <f aca="false">Base_Semanal!F65</f>
        <v>0</v>
      </c>
      <c r="G65" s="36" t="n">
        <f aca="false">Base_Semanal!G65</f>
        <v>0</v>
      </c>
      <c r="H65" s="36" t="n">
        <f aca="false">Base_Semanal!H65</f>
        <v>0</v>
      </c>
      <c r="I65" s="36" t="n">
        <f aca="false">Base_Semanal!I65</f>
        <v>0</v>
      </c>
      <c r="J65" s="36" t="n">
        <f aca="false">H65+I65</f>
        <v>0</v>
      </c>
      <c r="K65" s="37" t="str">
        <f aca="false">IF(F65=0,"",G65/F65)</f>
        <v/>
      </c>
      <c r="L65" s="36" t="n">
        <f aca="false">Base_Semanal!J65</f>
        <v>0</v>
      </c>
      <c r="M65" s="36" t="n">
        <f aca="false">Base_Semanal!K65</f>
        <v>0</v>
      </c>
      <c r="N65" s="36" t="n">
        <f aca="false">L65+M65</f>
        <v>0</v>
      </c>
      <c r="O65" s="37" t="str">
        <f aca="false">IF(J65=0,"",N65/J65)</f>
        <v/>
      </c>
      <c r="P65" s="36" t="n">
        <f aca="false">Base_Semanal!L65</f>
        <v>0</v>
      </c>
      <c r="Q65" s="36" t="n">
        <f aca="false">Base_Semanal!M65</f>
        <v>0</v>
      </c>
      <c r="R65" s="36" t="n">
        <f aca="false">P65+Q65</f>
        <v>0</v>
      </c>
      <c r="S65" s="36" t="n">
        <f aca="false">Base_Semanal!N65</f>
        <v>0</v>
      </c>
      <c r="T65" s="36" t="n">
        <f aca="false">Base_Semanal!O65</f>
        <v>0</v>
      </c>
      <c r="U65" s="37" t="str">
        <f aca="false">IF(Base_Semanal!P65=0,"",Base_Semanal!Q65/Base_Semanal!P65)</f>
        <v/>
      </c>
      <c r="V65" s="37" t="str">
        <f aca="false">IF(Base_Semanal!R65=0,"",Base_Semanal!S65/Base_Semanal!R65)</f>
        <v/>
      </c>
      <c r="W65" s="37" t="str">
        <f aca="false">IF(Base_Semanal!P65+Base_Semanal!R65=0,"",(Base_Semanal!Q65+Base_Semanal!S65)/(Base_Semanal!P65+Base_Semanal!R65))</f>
        <v/>
      </c>
      <c r="X65" s="38" t="n">
        <f aca="false">Base_Semanal!T65</f>
        <v>0</v>
      </c>
      <c r="Y65" s="38" t="n">
        <f aca="false">Base_Semanal!U65</f>
        <v>0</v>
      </c>
      <c r="Z65" s="38" t="n">
        <f aca="false">Base_Semanal!V65</f>
        <v>0</v>
      </c>
      <c r="AA65" s="38" t="n">
        <f aca="false">Base_Semanal!W65</f>
        <v>0</v>
      </c>
      <c r="AB65" s="36" t="n">
        <f aca="false">COUNTIFS(Contratos!$B$4:$B$503,$A65,Contratos!$E$4:$E$503,"Avaliação")</f>
        <v>0</v>
      </c>
      <c r="AC65" s="39" t="n">
        <f aca="false">SUMIFS(Contratos!$I$4:$I$503,Contratos!$B$4:$B$503,$A65,Contratos!$E$4:$E$503,"Avaliação")</f>
        <v>0</v>
      </c>
      <c r="AD65" s="36" t="n">
        <f aca="false">COUNTIFS(Contratos!$B$4:$B$503,$A65,Contratos!$E$4:$E$503,"Protocolo")</f>
        <v>0</v>
      </c>
      <c r="AE65" s="39" t="n">
        <f aca="false">SUMIFS(Contratos!$I$4:$I$503,Contratos!$B$4:$B$503,$A65,Contratos!$E$4:$E$503,"Protocolo")</f>
        <v>0</v>
      </c>
      <c r="AF65" s="39" t="n">
        <f aca="false">AC65+AE65</f>
        <v>0</v>
      </c>
      <c r="AG65" s="36" t="n">
        <f aca="false">COUNTIFS(Contratos!$B$4:$B$503,$A65,Contratos!$J$4:$J$503,"À vista")</f>
        <v>0</v>
      </c>
      <c r="AH65" s="36" t="n">
        <f aca="false">COUNTIFS(Contratos!$B$4:$B$503,$A65,Contratos!$J$4:$J$503,"Parcelado")</f>
        <v>0</v>
      </c>
      <c r="AI65" s="39" t="n">
        <f aca="false">SUMIFS(Financeiro!$G$4:$G$503,Financeiro!$B$4:$B$503,$A65,Financeiro!$D$4:$D$503,"Receita",Financeiro!$H$4:$H$503,"&lt;&gt;Cancelado")</f>
        <v>0</v>
      </c>
      <c r="AJ65" s="39" t="n">
        <f aca="false">SUMIFS(Financeiro!$G$4:$G$503,Financeiro!$B$4:$B$503,$A65,Financeiro!$D$4:$D$503,"Gasto",Financeiro!$H$4:$H$503,"&lt;&gt;Cancelado")</f>
        <v>0</v>
      </c>
      <c r="AK65" s="39" t="n">
        <f aca="false">SUMIFS(Financeiro!$G$4:$G$503,Financeiro!$B$4:$B$503,$A65,Financeiro!$D$4:$D$503,"Imposto",Financeiro!$H$4:$H$503,"&lt;&gt;Cancelado")</f>
        <v>0</v>
      </c>
      <c r="AL65" s="39" t="n">
        <f aca="false">SUMIFS(Financeiro!$G$4:$G$503,Financeiro!$B$4:$B$503,$A65,Financeiro!$D$4:$D$503,"Marketing",Financeiro!$H$4:$H$503,"&lt;&gt;Cancelado")</f>
        <v>0</v>
      </c>
      <c r="AM65" s="39" t="n">
        <f aca="false">AI65-AJ65-AK65-AL65</f>
        <v>0</v>
      </c>
      <c r="AN65" s="37" t="n">
        <f aca="false">IF(Config!$B$16=0,"",AI65/Config!$B$16)</f>
        <v>0</v>
      </c>
      <c r="AO65" s="37" t="n">
        <f aca="false">IF(Config!$B$17=0,"",AJ65/Config!$B$17)</f>
        <v>0</v>
      </c>
      <c r="AP65" s="39" t="str">
        <f aca="false">IF(T65=0,"",AL65/T65)</f>
        <v/>
      </c>
      <c r="AQ65" s="39" t="n">
        <f aca="false">SUMIFS($AI$4:$AI$107,$D$4:$D$107,$D65,$B$4:$B$107,"&lt;="&amp;$B65)</f>
        <v>0</v>
      </c>
      <c r="AR65" s="39" t="n">
        <f aca="false">SUMIFS($AJ$4:$AJ$107,$D$4:$D$107,$D65,$B$4:$B$107,"&lt;="&amp;$B65)</f>
        <v>0</v>
      </c>
      <c r="AS65" s="36" t="n">
        <f aca="false">SUMIFS(Leads_Canal!$C$4:$C$503,Leads_Canal!$A$4:$A$503,$A65)</f>
        <v>0</v>
      </c>
      <c r="AT65" s="17" t="str">
        <f aca="false">IF(E65=0,"",IF(E65=AR65,"OK","Divergente"))</f>
        <v/>
      </c>
      <c r="AU65" s="17" t="str">
        <f aca="false">IF(N65=0,"",IF(N65=AD65,"OK","Divergente"))</f>
        <v/>
      </c>
    </row>
    <row r="66" customFormat="false" ht="15" hidden="false" customHeight="false" outlineLevel="0" collapsed="false">
      <c r="A66" s="17" t="str">
        <f aca="false">Base_Semanal!A66</f>
        <v>2027-S11</v>
      </c>
      <c r="B66" s="30" t="n">
        <f aca="false">Base_Semanal!B66</f>
        <v>46461</v>
      </c>
      <c r="C66" s="30" t="n">
        <f aca="false">Base_Semanal!C66</f>
        <v>46467</v>
      </c>
      <c r="D66" s="17" t="str">
        <f aca="false">Base_Semanal!D66</f>
        <v>2027-03</v>
      </c>
      <c r="E66" s="36" t="n">
        <f aca="false">Base_Semanal!E66</f>
        <v>0</v>
      </c>
      <c r="F66" s="36" t="n">
        <f aca="false">Base_Semanal!F66</f>
        <v>0</v>
      </c>
      <c r="G66" s="36" t="n">
        <f aca="false">Base_Semanal!G66</f>
        <v>0</v>
      </c>
      <c r="H66" s="36" t="n">
        <f aca="false">Base_Semanal!H66</f>
        <v>0</v>
      </c>
      <c r="I66" s="36" t="n">
        <f aca="false">Base_Semanal!I66</f>
        <v>0</v>
      </c>
      <c r="J66" s="36" t="n">
        <f aca="false">H66+I66</f>
        <v>0</v>
      </c>
      <c r="K66" s="37" t="str">
        <f aca="false">IF(F66=0,"",G66/F66)</f>
        <v/>
      </c>
      <c r="L66" s="36" t="n">
        <f aca="false">Base_Semanal!J66</f>
        <v>0</v>
      </c>
      <c r="M66" s="36" t="n">
        <f aca="false">Base_Semanal!K66</f>
        <v>0</v>
      </c>
      <c r="N66" s="36" t="n">
        <f aca="false">L66+M66</f>
        <v>0</v>
      </c>
      <c r="O66" s="37" t="str">
        <f aca="false">IF(J66=0,"",N66/J66)</f>
        <v/>
      </c>
      <c r="P66" s="36" t="n">
        <f aca="false">Base_Semanal!L66</f>
        <v>0</v>
      </c>
      <c r="Q66" s="36" t="n">
        <f aca="false">Base_Semanal!M66</f>
        <v>0</v>
      </c>
      <c r="R66" s="36" t="n">
        <f aca="false">P66+Q66</f>
        <v>0</v>
      </c>
      <c r="S66" s="36" t="n">
        <f aca="false">Base_Semanal!N66</f>
        <v>0</v>
      </c>
      <c r="T66" s="36" t="n">
        <f aca="false">Base_Semanal!O66</f>
        <v>0</v>
      </c>
      <c r="U66" s="37" t="str">
        <f aca="false">IF(Base_Semanal!P66=0,"",Base_Semanal!Q66/Base_Semanal!P66)</f>
        <v/>
      </c>
      <c r="V66" s="37" t="str">
        <f aca="false">IF(Base_Semanal!R66=0,"",Base_Semanal!S66/Base_Semanal!R66)</f>
        <v/>
      </c>
      <c r="W66" s="37" t="str">
        <f aca="false">IF(Base_Semanal!P66+Base_Semanal!R66=0,"",(Base_Semanal!Q66+Base_Semanal!S66)/(Base_Semanal!P66+Base_Semanal!R66))</f>
        <v/>
      </c>
      <c r="X66" s="38" t="n">
        <f aca="false">Base_Semanal!T66</f>
        <v>0</v>
      </c>
      <c r="Y66" s="38" t="n">
        <f aca="false">Base_Semanal!U66</f>
        <v>0</v>
      </c>
      <c r="Z66" s="38" t="n">
        <f aca="false">Base_Semanal!V66</f>
        <v>0</v>
      </c>
      <c r="AA66" s="38" t="n">
        <f aca="false">Base_Semanal!W66</f>
        <v>0</v>
      </c>
      <c r="AB66" s="36" t="n">
        <f aca="false">COUNTIFS(Contratos!$B$4:$B$503,$A66,Contratos!$E$4:$E$503,"Avaliação")</f>
        <v>0</v>
      </c>
      <c r="AC66" s="39" t="n">
        <f aca="false">SUMIFS(Contratos!$I$4:$I$503,Contratos!$B$4:$B$503,$A66,Contratos!$E$4:$E$503,"Avaliação")</f>
        <v>0</v>
      </c>
      <c r="AD66" s="36" t="n">
        <f aca="false">COUNTIFS(Contratos!$B$4:$B$503,$A66,Contratos!$E$4:$E$503,"Protocolo")</f>
        <v>0</v>
      </c>
      <c r="AE66" s="39" t="n">
        <f aca="false">SUMIFS(Contratos!$I$4:$I$503,Contratos!$B$4:$B$503,$A66,Contratos!$E$4:$E$503,"Protocolo")</f>
        <v>0</v>
      </c>
      <c r="AF66" s="39" t="n">
        <f aca="false">AC66+AE66</f>
        <v>0</v>
      </c>
      <c r="AG66" s="36" t="n">
        <f aca="false">COUNTIFS(Contratos!$B$4:$B$503,$A66,Contratos!$J$4:$J$503,"À vista")</f>
        <v>0</v>
      </c>
      <c r="AH66" s="36" t="n">
        <f aca="false">COUNTIFS(Contratos!$B$4:$B$503,$A66,Contratos!$J$4:$J$503,"Parcelado")</f>
        <v>0</v>
      </c>
      <c r="AI66" s="39" t="n">
        <f aca="false">SUMIFS(Financeiro!$G$4:$G$503,Financeiro!$B$4:$B$503,$A66,Financeiro!$D$4:$D$503,"Receita",Financeiro!$H$4:$H$503,"&lt;&gt;Cancelado")</f>
        <v>0</v>
      </c>
      <c r="AJ66" s="39" t="n">
        <f aca="false">SUMIFS(Financeiro!$G$4:$G$503,Financeiro!$B$4:$B$503,$A66,Financeiro!$D$4:$D$503,"Gasto",Financeiro!$H$4:$H$503,"&lt;&gt;Cancelado")</f>
        <v>0</v>
      </c>
      <c r="AK66" s="39" t="n">
        <f aca="false">SUMIFS(Financeiro!$G$4:$G$503,Financeiro!$B$4:$B$503,$A66,Financeiro!$D$4:$D$503,"Imposto",Financeiro!$H$4:$H$503,"&lt;&gt;Cancelado")</f>
        <v>0</v>
      </c>
      <c r="AL66" s="39" t="n">
        <f aca="false">SUMIFS(Financeiro!$G$4:$G$503,Financeiro!$B$4:$B$503,$A66,Financeiro!$D$4:$D$503,"Marketing",Financeiro!$H$4:$H$503,"&lt;&gt;Cancelado")</f>
        <v>0</v>
      </c>
      <c r="AM66" s="39" t="n">
        <f aca="false">AI66-AJ66-AK66-AL66</f>
        <v>0</v>
      </c>
      <c r="AN66" s="37" t="n">
        <f aca="false">IF(Config!$B$16=0,"",AI66/Config!$B$16)</f>
        <v>0</v>
      </c>
      <c r="AO66" s="37" t="n">
        <f aca="false">IF(Config!$B$17=0,"",AJ66/Config!$B$17)</f>
        <v>0</v>
      </c>
      <c r="AP66" s="39" t="str">
        <f aca="false">IF(T66=0,"",AL66/T66)</f>
        <v/>
      </c>
      <c r="AQ66" s="39" t="n">
        <f aca="false">SUMIFS($AI$4:$AI$107,$D$4:$D$107,$D66,$B$4:$B$107,"&lt;="&amp;$B66)</f>
        <v>0</v>
      </c>
      <c r="AR66" s="39" t="n">
        <f aca="false">SUMIFS($AJ$4:$AJ$107,$D$4:$D$107,$D66,$B$4:$B$107,"&lt;="&amp;$B66)</f>
        <v>0</v>
      </c>
      <c r="AS66" s="36" t="n">
        <f aca="false">SUMIFS(Leads_Canal!$C$4:$C$503,Leads_Canal!$A$4:$A$503,$A66)</f>
        <v>0</v>
      </c>
      <c r="AT66" s="17" t="str">
        <f aca="false">IF(E66=0,"",IF(E66=AR66,"OK","Divergente"))</f>
        <v/>
      </c>
      <c r="AU66" s="17" t="str">
        <f aca="false">IF(N66=0,"",IF(N66=AD66,"OK","Divergente"))</f>
        <v/>
      </c>
    </row>
    <row r="67" customFormat="false" ht="15" hidden="false" customHeight="false" outlineLevel="0" collapsed="false">
      <c r="A67" s="17" t="str">
        <f aca="false">Base_Semanal!A67</f>
        <v>2027-S12</v>
      </c>
      <c r="B67" s="30" t="n">
        <f aca="false">Base_Semanal!B67</f>
        <v>46468</v>
      </c>
      <c r="C67" s="30" t="n">
        <f aca="false">Base_Semanal!C67</f>
        <v>46474</v>
      </c>
      <c r="D67" s="17" t="str">
        <f aca="false">Base_Semanal!D67</f>
        <v>2027-03</v>
      </c>
      <c r="E67" s="36" t="n">
        <f aca="false">Base_Semanal!E67</f>
        <v>0</v>
      </c>
      <c r="F67" s="36" t="n">
        <f aca="false">Base_Semanal!F67</f>
        <v>0</v>
      </c>
      <c r="G67" s="36" t="n">
        <f aca="false">Base_Semanal!G67</f>
        <v>0</v>
      </c>
      <c r="H67" s="36" t="n">
        <f aca="false">Base_Semanal!H67</f>
        <v>0</v>
      </c>
      <c r="I67" s="36" t="n">
        <f aca="false">Base_Semanal!I67</f>
        <v>0</v>
      </c>
      <c r="J67" s="36" t="n">
        <f aca="false">H67+I67</f>
        <v>0</v>
      </c>
      <c r="K67" s="37" t="str">
        <f aca="false">IF(F67=0,"",G67/F67)</f>
        <v/>
      </c>
      <c r="L67" s="36" t="n">
        <f aca="false">Base_Semanal!J67</f>
        <v>0</v>
      </c>
      <c r="M67" s="36" t="n">
        <f aca="false">Base_Semanal!K67</f>
        <v>0</v>
      </c>
      <c r="N67" s="36" t="n">
        <f aca="false">L67+M67</f>
        <v>0</v>
      </c>
      <c r="O67" s="37" t="str">
        <f aca="false">IF(J67=0,"",N67/J67)</f>
        <v/>
      </c>
      <c r="P67" s="36" t="n">
        <f aca="false">Base_Semanal!L67</f>
        <v>0</v>
      </c>
      <c r="Q67" s="36" t="n">
        <f aca="false">Base_Semanal!M67</f>
        <v>0</v>
      </c>
      <c r="R67" s="36" t="n">
        <f aca="false">P67+Q67</f>
        <v>0</v>
      </c>
      <c r="S67" s="36" t="n">
        <f aca="false">Base_Semanal!N67</f>
        <v>0</v>
      </c>
      <c r="T67" s="36" t="n">
        <f aca="false">Base_Semanal!O67</f>
        <v>0</v>
      </c>
      <c r="U67" s="37" t="str">
        <f aca="false">IF(Base_Semanal!P67=0,"",Base_Semanal!Q67/Base_Semanal!P67)</f>
        <v/>
      </c>
      <c r="V67" s="37" t="str">
        <f aca="false">IF(Base_Semanal!R67=0,"",Base_Semanal!S67/Base_Semanal!R67)</f>
        <v/>
      </c>
      <c r="W67" s="37" t="str">
        <f aca="false">IF(Base_Semanal!P67+Base_Semanal!R67=0,"",(Base_Semanal!Q67+Base_Semanal!S67)/(Base_Semanal!P67+Base_Semanal!R67))</f>
        <v/>
      </c>
      <c r="X67" s="38" t="n">
        <f aca="false">Base_Semanal!T67</f>
        <v>0</v>
      </c>
      <c r="Y67" s="38" t="n">
        <f aca="false">Base_Semanal!U67</f>
        <v>0</v>
      </c>
      <c r="Z67" s="38" t="n">
        <f aca="false">Base_Semanal!V67</f>
        <v>0</v>
      </c>
      <c r="AA67" s="38" t="n">
        <f aca="false">Base_Semanal!W67</f>
        <v>0</v>
      </c>
      <c r="AB67" s="36" t="n">
        <f aca="false">COUNTIFS(Contratos!$B$4:$B$503,$A67,Contratos!$E$4:$E$503,"Avaliação")</f>
        <v>0</v>
      </c>
      <c r="AC67" s="39" t="n">
        <f aca="false">SUMIFS(Contratos!$I$4:$I$503,Contratos!$B$4:$B$503,$A67,Contratos!$E$4:$E$503,"Avaliação")</f>
        <v>0</v>
      </c>
      <c r="AD67" s="36" t="n">
        <f aca="false">COUNTIFS(Contratos!$B$4:$B$503,$A67,Contratos!$E$4:$E$503,"Protocolo")</f>
        <v>0</v>
      </c>
      <c r="AE67" s="39" t="n">
        <f aca="false">SUMIFS(Contratos!$I$4:$I$503,Contratos!$B$4:$B$503,$A67,Contratos!$E$4:$E$503,"Protocolo")</f>
        <v>0</v>
      </c>
      <c r="AF67" s="39" t="n">
        <f aca="false">AC67+AE67</f>
        <v>0</v>
      </c>
      <c r="AG67" s="36" t="n">
        <f aca="false">COUNTIFS(Contratos!$B$4:$B$503,$A67,Contratos!$J$4:$J$503,"À vista")</f>
        <v>0</v>
      </c>
      <c r="AH67" s="36" t="n">
        <f aca="false">COUNTIFS(Contratos!$B$4:$B$503,$A67,Contratos!$J$4:$J$503,"Parcelado")</f>
        <v>0</v>
      </c>
      <c r="AI67" s="39" t="n">
        <f aca="false">SUMIFS(Financeiro!$G$4:$G$503,Financeiro!$B$4:$B$503,$A67,Financeiro!$D$4:$D$503,"Receita",Financeiro!$H$4:$H$503,"&lt;&gt;Cancelado")</f>
        <v>0</v>
      </c>
      <c r="AJ67" s="39" t="n">
        <f aca="false">SUMIFS(Financeiro!$G$4:$G$503,Financeiro!$B$4:$B$503,$A67,Financeiro!$D$4:$D$503,"Gasto",Financeiro!$H$4:$H$503,"&lt;&gt;Cancelado")</f>
        <v>0</v>
      </c>
      <c r="AK67" s="39" t="n">
        <f aca="false">SUMIFS(Financeiro!$G$4:$G$503,Financeiro!$B$4:$B$503,$A67,Financeiro!$D$4:$D$503,"Imposto",Financeiro!$H$4:$H$503,"&lt;&gt;Cancelado")</f>
        <v>0</v>
      </c>
      <c r="AL67" s="39" t="n">
        <f aca="false">SUMIFS(Financeiro!$G$4:$G$503,Financeiro!$B$4:$B$503,$A67,Financeiro!$D$4:$D$503,"Marketing",Financeiro!$H$4:$H$503,"&lt;&gt;Cancelado")</f>
        <v>0</v>
      </c>
      <c r="AM67" s="39" t="n">
        <f aca="false">AI67-AJ67-AK67-AL67</f>
        <v>0</v>
      </c>
      <c r="AN67" s="37" t="n">
        <f aca="false">IF(Config!$B$16=0,"",AI67/Config!$B$16)</f>
        <v>0</v>
      </c>
      <c r="AO67" s="37" t="n">
        <f aca="false">IF(Config!$B$17=0,"",AJ67/Config!$B$17)</f>
        <v>0</v>
      </c>
      <c r="AP67" s="39" t="str">
        <f aca="false">IF(T67=0,"",AL67/T67)</f>
        <v/>
      </c>
      <c r="AQ67" s="39" t="n">
        <f aca="false">SUMIFS($AI$4:$AI$107,$D$4:$D$107,$D67,$B$4:$B$107,"&lt;="&amp;$B67)</f>
        <v>0</v>
      </c>
      <c r="AR67" s="39" t="n">
        <f aca="false">SUMIFS($AJ$4:$AJ$107,$D$4:$D$107,$D67,$B$4:$B$107,"&lt;="&amp;$B67)</f>
        <v>0</v>
      </c>
      <c r="AS67" s="36" t="n">
        <f aca="false">SUMIFS(Leads_Canal!$C$4:$C$503,Leads_Canal!$A$4:$A$503,$A67)</f>
        <v>0</v>
      </c>
      <c r="AT67" s="17" t="str">
        <f aca="false">IF(E67=0,"",IF(E67=AR67,"OK","Divergente"))</f>
        <v/>
      </c>
      <c r="AU67" s="17" t="str">
        <f aca="false">IF(N67=0,"",IF(N67=AD67,"OK","Divergente"))</f>
        <v/>
      </c>
    </row>
    <row r="68" customFormat="false" ht="15" hidden="false" customHeight="false" outlineLevel="0" collapsed="false">
      <c r="A68" s="17" t="str">
        <f aca="false">Base_Semanal!A68</f>
        <v>2027-S13</v>
      </c>
      <c r="B68" s="30" t="n">
        <f aca="false">Base_Semanal!B68</f>
        <v>46475</v>
      </c>
      <c r="C68" s="30" t="n">
        <f aca="false">Base_Semanal!C68</f>
        <v>46481</v>
      </c>
      <c r="D68" s="17" t="str">
        <f aca="false">Base_Semanal!D68</f>
        <v>2027-03</v>
      </c>
      <c r="E68" s="36" t="n">
        <f aca="false">Base_Semanal!E68</f>
        <v>0</v>
      </c>
      <c r="F68" s="36" t="n">
        <f aca="false">Base_Semanal!F68</f>
        <v>0</v>
      </c>
      <c r="G68" s="36" t="n">
        <f aca="false">Base_Semanal!G68</f>
        <v>0</v>
      </c>
      <c r="H68" s="36" t="n">
        <f aca="false">Base_Semanal!H68</f>
        <v>0</v>
      </c>
      <c r="I68" s="36" t="n">
        <f aca="false">Base_Semanal!I68</f>
        <v>0</v>
      </c>
      <c r="J68" s="36" t="n">
        <f aca="false">H68+I68</f>
        <v>0</v>
      </c>
      <c r="K68" s="37" t="str">
        <f aca="false">IF(F68=0,"",G68/F68)</f>
        <v/>
      </c>
      <c r="L68" s="36" t="n">
        <f aca="false">Base_Semanal!J68</f>
        <v>0</v>
      </c>
      <c r="M68" s="36" t="n">
        <f aca="false">Base_Semanal!K68</f>
        <v>0</v>
      </c>
      <c r="N68" s="36" t="n">
        <f aca="false">L68+M68</f>
        <v>0</v>
      </c>
      <c r="O68" s="37" t="str">
        <f aca="false">IF(J68=0,"",N68/J68)</f>
        <v/>
      </c>
      <c r="P68" s="36" t="n">
        <f aca="false">Base_Semanal!L68</f>
        <v>0</v>
      </c>
      <c r="Q68" s="36" t="n">
        <f aca="false">Base_Semanal!M68</f>
        <v>0</v>
      </c>
      <c r="R68" s="36" t="n">
        <f aca="false">P68+Q68</f>
        <v>0</v>
      </c>
      <c r="S68" s="36" t="n">
        <f aca="false">Base_Semanal!N68</f>
        <v>0</v>
      </c>
      <c r="T68" s="36" t="n">
        <f aca="false">Base_Semanal!O68</f>
        <v>0</v>
      </c>
      <c r="U68" s="37" t="str">
        <f aca="false">IF(Base_Semanal!P68=0,"",Base_Semanal!Q68/Base_Semanal!P68)</f>
        <v/>
      </c>
      <c r="V68" s="37" t="str">
        <f aca="false">IF(Base_Semanal!R68=0,"",Base_Semanal!S68/Base_Semanal!R68)</f>
        <v/>
      </c>
      <c r="W68" s="37" t="str">
        <f aca="false">IF(Base_Semanal!P68+Base_Semanal!R68=0,"",(Base_Semanal!Q68+Base_Semanal!S68)/(Base_Semanal!P68+Base_Semanal!R68))</f>
        <v/>
      </c>
      <c r="X68" s="38" t="n">
        <f aca="false">Base_Semanal!T68</f>
        <v>0</v>
      </c>
      <c r="Y68" s="38" t="n">
        <f aca="false">Base_Semanal!U68</f>
        <v>0</v>
      </c>
      <c r="Z68" s="38" t="n">
        <f aca="false">Base_Semanal!V68</f>
        <v>0</v>
      </c>
      <c r="AA68" s="38" t="n">
        <f aca="false">Base_Semanal!W68</f>
        <v>0</v>
      </c>
      <c r="AB68" s="36" t="n">
        <f aca="false">COUNTIFS(Contratos!$B$4:$B$503,$A68,Contratos!$E$4:$E$503,"Avaliação")</f>
        <v>0</v>
      </c>
      <c r="AC68" s="39" t="n">
        <f aca="false">SUMIFS(Contratos!$I$4:$I$503,Contratos!$B$4:$B$503,$A68,Contratos!$E$4:$E$503,"Avaliação")</f>
        <v>0</v>
      </c>
      <c r="AD68" s="36" t="n">
        <f aca="false">COUNTIFS(Contratos!$B$4:$B$503,$A68,Contratos!$E$4:$E$503,"Protocolo")</f>
        <v>0</v>
      </c>
      <c r="AE68" s="39" t="n">
        <f aca="false">SUMIFS(Contratos!$I$4:$I$503,Contratos!$B$4:$B$503,$A68,Contratos!$E$4:$E$503,"Protocolo")</f>
        <v>0</v>
      </c>
      <c r="AF68" s="39" t="n">
        <f aca="false">AC68+AE68</f>
        <v>0</v>
      </c>
      <c r="AG68" s="36" t="n">
        <f aca="false">COUNTIFS(Contratos!$B$4:$B$503,$A68,Contratos!$J$4:$J$503,"À vista")</f>
        <v>0</v>
      </c>
      <c r="AH68" s="36" t="n">
        <f aca="false">COUNTIFS(Contratos!$B$4:$B$503,$A68,Contratos!$J$4:$J$503,"Parcelado")</f>
        <v>0</v>
      </c>
      <c r="AI68" s="39" t="n">
        <f aca="false">SUMIFS(Financeiro!$G$4:$G$503,Financeiro!$B$4:$B$503,$A68,Financeiro!$D$4:$D$503,"Receita",Financeiro!$H$4:$H$503,"&lt;&gt;Cancelado")</f>
        <v>0</v>
      </c>
      <c r="AJ68" s="39" t="n">
        <f aca="false">SUMIFS(Financeiro!$G$4:$G$503,Financeiro!$B$4:$B$503,$A68,Financeiro!$D$4:$D$503,"Gasto",Financeiro!$H$4:$H$503,"&lt;&gt;Cancelado")</f>
        <v>0</v>
      </c>
      <c r="AK68" s="39" t="n">
        <f aca="false">SUMIFS(Financeiro!$G$4:$G$503,Financeiro!$B$4:$B$503,$A68,Financeiro!$D$4:$D$503,"Imposto",Financeiro!$H$4:$H$503,"&lt;&gt;Cancelado")</f>
        <v>0</v>
      </c>
      <c r="AL68" s="39" t="n">
        <f aca="false">SUMIFS(Financeiro!$G$4:$G$503,Financeiro!$B$4:$B$503,$A68,Financeiro!$D$4:$D$503,"Marketing",Financeiro!$H$4:$H$503,"&lt;&gt;Cancelado")</f>
        <v>0</v>
      </c>
      <c r="AM68" s="39" t="n">
        <f aca="false">AI68-AJ68-AK68-AL68</f>
        <v>0</v>
      </c>
      <c r="AN68" s="37" t="n">
        <f aca="false">IF(Config!$B$16=0,"",AI68/Config!$B$16)</f>
        <v>0</v>
      </c>
      <c r="AO68" s="37" t="n">
        <f aca="false">IF(Config!$B$17=0,"",AJ68/Config!$B$17)</f>
        <v>0</v>
      </c>
      <c r="AP68" s="39" t="str">
        <f aca="false">IF(T68=0,"",AL68/T68)</f>
        <v/>
      </c>
      <c r="AQ68" s="39" t="n">
        <f aca="false">SUMIFS($AI$4:$AI$107,$D$4:$D$107,$D68,$B$4:$B$107,"&lt;="&amp;$B68)</f>
        <v>0</v>
      </c>
      <c r="AR68" s="39" t="n">
        <f aca="false">SUMIFS($AJ$4:$AJ$107,$D$4:$D$107,$D68,$B$4:$B$107,"&lt;="&amp;$B68)</f>
        <v>0</v>
      </c>
      <c r="AS68" s="36" t="n">
        <f aca="false">SUMIFS(Leads_Canal!$C$4:$C$503,Leads_Canal!$A$4:$A$503,$A68)</f>
        <v>0</v>
      </c>
      <c r="AT68" s="17" t="str">
        <f aca="false">IF(E68=0,"",IF(E68=AR68,"OK","Divergente"))</f>
        <v/>
      </c>
      <c r="AU68" s="17" t="str">
        <f aca="false">IF(N68=0,"",IF(N68=AD68,"OK","Divergente"))</f>
        <v/>
      </c>
    </row>
    <row r="69" customFormat="false" ht="15" hidden="false" customHeight="false" outlineLevel="0" collapsed="false">
      <c r="A69" s="17" t="str">
        <f aca="false">Base_Semanal!A69</f>
        <v>2027-S14</v>
      </c>
      <c r="B69" s="30" t="n">
        <f aca="false">Base_Semanal!B69</f>
        <v>46482</v>
      </c>
      <c r="C69" s="30" t="n">
        <f aca="false">Base_Semanal!C69</f>
        <v>46488</v>
      </c>
      <c r="D69" s="17" t="str">
        <f aca="false">Base_Semanal!D69</f>
        <v>2027-04</v>
      </c>
      <c r="E69" s="36" t="n">
        <f aca="false">Base_Semanal!E69</f>
        <v>0</v>
      </c>
      <c r="F69" s="36" t="n">
        <f aca="false">Base_Semanal!F69</f>
        <v>0</v>
      </c>
      <c r="G69" s="36" t="n">
        <f aca="false">Base_Semanal!G69</f>
        <v>0</v>
      </c>
      <c r="H69" s="36" t="n">
        <f aca="false">Base_Semanal!H69</f>
        <v>0</v>
      </c>
      <c r="I69" s="36" t="n">
        <f aca="false">Base_Semanal!I69</f>
        <v>0</v>
      </c>
      <c r="J69" s="36" t="n">
        <f aca="false">H69+I69</f>
        <v>0</v>
      </c>
      <c r="K69" s="37" t="str">
        <f aca="false">IF(F69=0,"",G69/F69)</f>
        <v/>
      </c>
      <c r="L69" s="36" t="n">
        <f aca="false">Base_Semanal!J69</f>
        <v>0</v>
      </c>
      <c r="M69" s="36" t="n">
        <f aca="false">Base_Semanal!K69</f>
        <v>0</v>
      </c>
      <c r="N69" s="36" t="n">
        <f aca="false">L69+M69</f>
        <v>0</v>
      </c>
      <c r="O69" s="37" t="str">
        <f aca="false">IF(J69=0,"",N69/J69)</f>
        <v/>
      </c>
      <c r="P69" s="36" t="n">
        <f aca="false">Base_Semanal!L69</f>
        <v>0</v>
      </c>
      <c r="Q69" s="36" t="n">
        <f aca="false">Base_Semanal!M69</f>
        <v>0</v>
      </c>
      <c r="R69" s="36" t="n">
        <f aca="false">P69+Q69</f>
        <v>0</v>
      </c>
      <c r="S69" s="36" t="n">
        <f aca="false">Base_Semanal!N69</f>
        <v>0</v>
      </c>
      <c r="T69" s="36" t="n">
        <f aca="false">Base_Semanal!O69</f>
        <v>0</v>
      </c>
      <c r="U69" s="37" t="str">
        <f aca="false">IF(Base_Semanal!P69=0,"",Base_Semanal!Q69/Base_Semanal!P69)</f>
        <v/>
      </c>
      <c r="V69" s="37" t="str">
        <f aca="false">IF(Base_Semanal!R69=0,"",Base_Semanal!S69/Base_Semanal!R69)</f>
        <v/>
      </c>
      <c r="W69" s="37" t="str">
        <f aca="false">IF(Base_Semanal!P69+Base_Semanal!R69=0,"",(Base_Semanal!Q69+Base_Semanal!S69)/(Base_Semanal!P69+Base_Semanal!R69))</f>
        <v/>
      </c>
      <c r="X69" s="38" t="n">
        <f aca="false">Base_Semanal!T69</f>
        <v>0</v>
      </c>
      <c r="Y69" s="38" t="n">
        <f aca="false">Base_Semanal!U69</f>
        <v>0</v>
      </c>
      <c r="Z69" s="38" t="n">
        <f aca="false">Base_Semanal!V69</f>
        <v>0</v>
      </c>
      <c r="AA69" s="38" t="n">
        <f aca="false">Base_Semanal!W69</f>
        <v>0</v>
      </c>
      <c r="AB69" s="36" t="n">
        <f aca="false">COUNTIFS(Contratos!$B$4:$B$503,$A69,Contratos!$E$4:$E$503,"Avaliação")</f>
        <v>0</v>
      </c>
      <c r="AC69" s="39" t="n">
        <f aca="false">SUMIFS(Contratos!$I$4:$I$503,Contratos!$B$4:$B$503,$A69,Contratos!$E$4:$E$503,"Avaliação")</f>
        <v>0</v>
      </c>
      <c r="AD69" s="36" t="n">
        <f aca="false">COUNTIFS(Contratos!$B$4:$B$503,$A69,Contratos!$E$4:$E$503,"Protocolo")</f>
        <v>0</v>
      </c>
      <c r="AE69" s="39" t="n">
        <f aca="false">SUMIFS(Contratos!$I$4:$I$503,Contratos!$B$4:$B$503,$A69,Contratos!$E$4:$E$503,"Protocolo")</f>
        <v>0</v>
      </c>
      <c r="AF69" s="39" t="n">
        <f aca="false">AC69+AE69</f>
        <v>0</v>
      </c>
      <c r="AG69" s="36" t="n">
        <f aca="false">COUNTIFS(Contratos!$B$4:$B$503,$A69,Contratos!$J$4:$J$503,"À vista")</f>
        <v>0</v>
      </c>
      <c r="AH69" s="36" t="n">
        <f aca="false">COUNTIFS(Contratos!$B$4:$B$503,$A69,Contratos!$J$4:$J$503,"Parcelado")</f>
        <v>0</v>
      </c>
      <c r="AI69" s="39" t="n">
        <f aca="false">SUMIFS(Financeiro!$G$4:$G$503,Financeiro!$B$4:$B$503,$A69,Financeiro!$D$4:$D$503,"Receita",Financeiro!$H$4:$H$503,"&lt;&gt;Cancelado")</f>
        <v>0</v>
      </c>
      <c r="AJ69" s="39" t="n">
        <f aca="false">SUMIFS(Financeiro!$G$4:$G$503,Financeiro!$B$4:$B$503,$A69,Financeiro!$D$4:$D$503,"Gasto",Financeiro!$H$4:$H$503,"&lt;&gt;Cancelado")</f>
        <v>0</v>
      </c>
      <c r="AK69" s="39" t="n">
        <f aca="false">SUMIFS(Financeiro!$G$4:$G$503,Financeiro!$B$4:$B$503,$A69,Financeiro!$D$4:$D$503,"Imposto",Financeiro!$H$4:$H$503,"&lt;&gt;Cancelado")</f>
        <v>0</v>
      </c>
      <c r="AL69" s="39" t="n">
        <f aca="false">SUMIFS(Financeiro!$G$4:$G$503,Financeiro!$B$4:$B$503,$A69,Financeiro!$D$4:$D$503,"Marketing",Financeiro!$H$4:$H$503,"&lt;&gt;Cancelado")</f>
        <v>0</v>
      </c>
      <c r="AM69" s="39" t="n">
        <f aca="false">AI69-AJ69-AK69-AL69</f>
        <v>0</v>
      </c>
      <c r="AN69" s="37" t="n">
        <f aca="false">IF(Config!$B$16=0,"",AI69/Config!$B$16)</f>
        <v>0</v>
      </c>
      <c r="AO69" s="37" t="n">
        <f aca="false">IF(Config!$B$17=0,"",AJ69/Config!$B$17)</f>
        <v>0</v>
      </c>
      <c r="AP69" s="39" t="str">
        <f aca="false">IF(T69=0,"",AL69/T69)</f>
        <v/>
      </c>
      <c r="AQ69" s="39" t="n">
        <f aca="false">SUMIFS($AI$4:$AI$107,$D$4:$D$107,$D69,$B$4:$B$107,"&lt;="&amp;$B69)</f>
        <v>0</v>
      </c>
      <c r="AR69" s="39" t="n">
        <f aca="false">SUMIFS($AJ$4:$AJ$107,$D$4:$D$107,$D69,$B$4:$B$107,"&lt;="&amp;$B69)</f>
        <v>0</v>
      </c>
      <c r="AS69" s="36" t="n">
        <f aca="false">SUMIFS(Leads_Canal!$C$4:$C$503,Leads_Canal!$A$4:$A$503,$A69)</f>
        <v>0</v>
      </c>
      <c r="AT69" s="17" t="str">
        <f aca="false">IF(E69=0,"",IF(E69=AR69,"OK","Divergente"))</f>
        <v/>
      </c>
      <c r="AU69" s="17" t="str">
        <f aca="false">IF(N69=0,"",IF(N69=AD69,"OK","Divergente"))</f>
        <v/>
      </c>
    </row>
    <row r="70" customFormat="false" ht="15" hidden="false" customHeight="false" outlineLevel="0" collapsed="false">
      <c r="A70" s="17" t="str">
        <f aca="false">Base_Semanal!A70</f>
        <v>2027-S15</v>
      </c>
      <c r="B70" s="30" t="n">
        <f aca="false">Base_Semanal!B70</f>
        <v>46489</v>
      </c>
      <c r="C70" s="30" t="n">
        <f aca="false">Base_Semanal!C70</f>
        <v>46495</v>
      </c>
      <c r="D70" s="17" t="str">
        <f aca="false">Base_Semanal!D70</f>
        <v>2027-04</v>
      </c>
      <c r="E70" s="36" t="n">
        <f aca="false">Base_Semanal!E70</f>
        <v>0</v>
      </c>
      <c r="F70" s="36" t="n">
        <f aca="false">Base_Semanal!F70</f>
        <v>0</v>
      </c>
      <c r="G70" s="36" t="n">
        <f aca="false">Base_Semanal!G70</f>
        <v>0</v>
      </c>
      <c r="H70" s="36" t="n">
        <f aca="false">Base_Semanal!H70</f>
        <v>0</v>
      </c>
      <c r="I70" s="36" t="n">
        <f aca="false">Base_Semanal!I70</f>
        <v>0</v>
      </c>
      <c r="J70" s="36" t="n">
        <f aca="false">H70+I70</f>
        <v>0</v>
      </c>
      <c r="K70" s="37" t="str">
        <f aca="false">IF(F70=0,"",G70/F70)</f>
        <v/>
      </c>
      <c r="L70" s="36" t="n">
        <f aca="false">Base_Semanal!J70</f>
        <v>0</v>
      </c>
      <c r="M70" s="36" t="n">
        <f aca="false">Base_Semanal!K70</f>
        <v>0</v>
      </c>
      <c r="N70" s="36" t="n">
        <f aca="false">L70+M70</f>
        <v>0</v>
      </c>
      <c r="O70" s="37" t="str">
        <f aca="false">IF(J70=0,"",N70/J70)</f>
        <v/>
      </c>
      <c r="P70" s="36" t="n">
        <f aca="false">Base_Semanal!L70</f>
        <v>0</v>
      </c>
      <c r="Q70" s="36" t="n">
        <f aca="false">Base_Semanal!M70</f>
        <v>0</v>
      </c>
      <c r="R70" s="36" t="n">
        <f aca="false">P70+Q70</f>
        <v>0</v>
      </c>
      <c r="S70" s="36" t="n">
        <f aca="false">Base_Semanal!N70</f>
        <v>0</v>
      </c>
      <c r="T70" s="36" t="n">
        <f aca="false">Base_Semanal!O70</f>
        <v>0</v>
      </c>
      <c r="U70" s="37" t="str">
        <f aca="false">IF(Base_Semanal!P70=0,"",Base_Semanal!Q70/Base_Semanal!P70)</f>
        <v/>
      </c>
      <c r="V70" s="37" t="str">
        <f aca="false">IF(Base_Semanal!R70=0,"",Base_Semanal!S70/Base_Semanal!R70)</f>
        <v/>
      </c>
      <c r="W70" s="37" t="str">
        <f aca="false">IF(Base_Semanal!P70+Base_Semanal!R70=0,"",(Base_Semanal!Q70+Base_Semanal!S70)/(Base_Semanal!P70+Base_Semanal!R70))</f>
        <v/>
      </c>
      <c r="X70" s="38" t="n">
        <f aca="false">Base_Semanal!T70</f>
        <v>0</v>
      </c>
      <c r="Y70" s="38" t="n">
        <f aca="false">Base_Semanal!U70</f>
        <v>0</v>
      </c>
      <c r="Z70" s="38" t="n">
        <f aca="false">Base_Semanal!V70</f>
        <v>0</v>
      </c>
      <c r="AA70" s="38" t="n">
        <f aca="false">Base_Semanal!W70</f>
        <v>0</v>
      </c>
      <c r="AB70" s="36" t="n">
        <f aca="false">COUNTIFS(Contratos!$B$4:$B$503,$A70,Contratos!$E$4:$E$503,"Avaliação")</f>
        <v>0</v>
      </c>
      <c r="AC70" s="39" t="n">
        <f aca="false">SUMIFS(Contratos!$I$4:$I$503,Contratos!$B$4:$B$503,$A70,Contratos!$E$4:$E$503,"Avaliação")</f>
        <v>0</v>
      </c>
      <c r="AD70" s="36" t="n">
        <f aca="false">COUNTIFS(Contratos!$B$4:$B$503,$A70,Contratos!$E$4:$E$503,"Protocolo")</f>
        <v>0</v>
      </c>
      <c r="AE70" s="39" t="n">
        <f aca="false">SUMIFS(Contratos!$I$4:$I$503,Contratos!$B$4:$B$503,$A70,Contratos!$E$4:$E$503,"Protocolo")</f>
        <v>0</v>
      </c>
      <c r="AF70" s="39" t="n">
        <f aca="false">AC70+AE70</f>
        <v>0</v>
      </c>
      <c r="AG70" s="36" t="n">
        <f aca="false">COUNTIFS(Contratos!$B$4:$B$503,$A70,Contratos!$J$4:$J$503,"À vista")</f>
        <v>0</v>
      </c>
      <c r="AH70" s="36" t="n">
        <f aca="false">COUNTIFS(Contratos!$B$4:$B$503,$A70,Contratos!$J$4:$J$503,"Parcelado")</f>
        <v>0</v>
      </c>
      <c r="AI70" s="39" t="n">
        <f aca="false">SUMIFS(Financeiro!$G$4:$G$503,Financeiro!$B$4:$B$503,$A70,Financeiro!$D$4:$D$503,"Receita",Financeiro!$H$4:$H$503,"&lt;&gt;Cancelado")</f>
        <v>0</v>
      </c>
      <c r="AJ70" s="39" t="n">
        <f aca="false">SUMIFS(Financeiro!$G$4:$G$503,Financeiro!$B$4:$B$503,$A70,Financeiro!$D$4:$D$503,"Gasto",Financeiro!$H$4:$H$503,"&lt;&gt;Cancelado")</f>
        <v>0</v>
      </c>
      <c r="AK70" s="39" t="n">
        <f aca="false">SUMIFS(Financeiro!$G$4:$G$503,Financeiro!$B$4:$B$503,$A70,Financeiro!$D$4:$D$503,"Imposto",Financeiro!$H$4:$H$503,"&lt;&gt;Cancelado")</f>
        <v>0</v>
      </c>
      <c r="AL70" s="39" t="n">
        <f aca="false">SUMIFS(Financeiro!$G$4:$G$503,Financeiro!$B$4:$B$503,$A70,Financeiro!$D$4:$D$503,"Marketing",Financeiro!$H$4:$H$503,"&lt;&gt;Cancelado")</f>
        <v>0</v>
      </c>
      <c r="AM70" s="39" t="n">
        <f aca="false">AI70-AJ70-AK70-AL70</f>
        <v>0</v>
      </c>
      <c r="AN70" s="37" t="n">
        <f aca="false">IF(Config!$B$16=0,"",AI70/Config!$B$16)</f>
        <v>0</v>
      </c>
      <c r="AO70" s="37" t="n">
        <f aca="false">IF(Config!$B$17=0,"",AJ70/Config!$B$17)</f>
        <v>0</v>
      </c>
      <c r="AP70" s="39" t="str">
        <f aca="false">IF(T70=0,"",AL70/T70)</f>
        <v/>
      </c>
      <c r="AQ70" s="39" t="n">
        <f aca="false">SUMIFS($AI$4:$AI$107,$D$4:$D$107,$D70,$B$4:$B$107,"&lt;="&amp;$B70)</f>
        <v>0</v>
      </c>
      <c r="AR70" s="39" t="n">
        <f aca="false">SUMIFS($AJ$4:$AJ$107,$D$4:$D$107,$D70,$B$4:$B$107,"&lt;="&amp;$B70)</f>
        <v>0</v>
      </c>
      <c r="AS70" s="36" t="n">
        <f aca="false">SUMIFS(Leads_Canal!$C$4:$C$503,Leads_Canal!$A$4:$A$503,$A70)</f>
        <v>0</v>
      </c>
      <c r="AT70" s="17" t="str">
        <f aca="false">IF(E70=0,"",IF(E70=AR70,"OK","Divergente"))</f>
        <v/>
      </c>
      <c r="AU70" s="17" t="str">
        <f aca="false">IF(N70=0,"",IF(N70=AD70,"OK","Divergente"))</f>
        <v/>
      </c>
    </row>
    <row r="71" customFormat="false" ht="15" hidden="false" customHeight="false" outlineLevel="0" collapsed="false">
      <c r="A71" s="17" t="str">
        <f aca="false">Base_Semanal!A71</f>
        <v>2027-S16</v>
      </c>
      <c r="B71" s="30" t="n">
        <f aca="false">Base_Semanal!B71</f>
        <v>46496</v>
      </c>
      <c r="C71" s="30" t="n">
        <f aca="false">Base_Semanal!C71</f>
        <v>46502</v>
      </c>
      <c r="D71" s="17" t="str">
        <f aca="false">Base_Semanal!D71</f>
        <v>2027-04</v>
      </c>
      <c r="E71" s="36" t="n">
        <f aca="false">Base_Semanal!E71</f>
        <v>0</v>
      </c>
      <c r="F71" s="36" t="n">
        <f aca="false">Base_Semanal!F71</f>
        <v>0</v>
      </c>
      <c r="G71" s="36" t="n">
        <f aca="false">Base_Semanal!G71</f>
        <v>0</v>
      </c>
      <c r="H71" s="36" t="n">
        <f aca="false">Base_Semanal!H71</f>
        <v>0</v>
      </c>
      <c r="I71" s="36" t="n">
        <f aca="false">Base_Semanal!I71</f>
        <v>0</v>
      </c>
      <c r="J71" s="36" t="n">
        <f aca="false">H71+I71</f>
        <v>0</v>
      </c>
      <c r="K71" s="37" t="str">
        <f aca="false">IF(F71=0,"",G71/F71)</f>
        <v/>
      </c>
      <c r="L71" s="36" t="n">
        <f aca="false">Base_Semanal!J71</f>
        <v>0</v>
      </c>
      <c r="M71" s="36" t="n">
        <f aca="false">Base_Semanal!K71</f>
        <v>0</v>
      </c>
      <c r="N71" s="36" t="n">
        <f aca="false">L71+M71</f>
        <v>0</v>
      </c>
      <c r="O71" s="37" t="str">
        <f aca="false">IF(J71=0,"",N71/J71)</f>
        <v/>
      </c>
      <c r="P71" s="36" t="n">
        <f aca="false">Base_Semanal!L71</f>
        <v>0</v>
      </c>
      <c r="Q71" s="36" t="n">
        <f aca="false">Base_Semanal!M71</f>
        <v>0</v>
      </c>
      <c r="R71" s="36" t="n">
        <f aca="false">P71+Q71</f>
        <v>0</v>
      </c>
      <c r="S71" s="36" t="n">
        <f aca="false">Base_Semanal!N71</f>
        <v>0</v>
      </c>
      <c r="T71" s="36" t="n">
        <f aca="false">Base_Semanal!O71</f>
        <v>0</v>
      </c>
      <c r="U71" s="37" t="str">
        <f aca="false">IF(Base_Semanal!P71=0,"",Base_Semanal!Q71/Base_Semanal!P71)</f>
        <v/>
      </c>
      <c r="V71" s="37" t="str">
        <f aca="false">IF(Base_Semanal!R71=0,"",Base_Semanal!S71/Base_Semanal!R71)</f>
        <v/>
      </c>
      <c r="W71" s="37" t="str">
        <f aca="false">IF(Base_Semanal!P71+Base_Semanal!R71=0,"",(Base_Semanal!Q71+Base_Semanal!S71)/(Base_Semanal!P71+Base_Semanal!R71))</f>
        <v/>
      </c>
      <c r="X71" s="38" t="n">
        <f aca="false">Base_Semanal!T71</f>
        <v>0</v>
      </c>
      <c r="Y71" s="38" t="n">
        <f aca="false">Base_Semanal!U71</f>
        <v>0</v>
      </c>
      <c r="Z71" s="38" t="n">
        <f aca="false">Base_Semanal!V71</f>
        <v>0</v>
      </c>
      <c r="AA71" s="38" t="n">
        <f aca="false">Base_Semanal!W71</f>
        <v>0</v>
      </c>
      <c r="AB71" s="36" t="n">
        <f aca="false">COUNTIFS(Contratos!$B$4:$B$503,$A71,Contratos!$E$4:$E$503,"Avaliação")</f>
        <v>0</v>
      </c>
      <c r="AC71" s="39" t="n">
        <f aca="false">SUMIFS(Contratos!$I$4:$I$503,Contratos!$B$4:$B$503,$A71,Contratos!$E$4:$E$503,"Avaliação")</f>
        <v>0</v>
      </c>
      <c r="AD71" s="36" t="n">
        <f aca="false">COUNTIFS(Contratos!$B$4:$B$503,$A71,Contratos!$E$4:$E$503,"Protocolo")</f>
        <v>0</v>
      </c>
      <c r="AE71" s="39" t="n">
        <f aca="false">SUMIFS(Contratos!$I$4:$I$503,Contratos!$B$4:$B$503,$A71,Contratos!$E$4:$E$503,"Protocolo")</f>
        <v>0</v>
      </c>
      <c r="AF71" s="39" t="n">
        <f aca="false">AC71+AE71</f>
        <v>0</v>
      </c>
      <c r="AG71" s="36" t="n">
        <f aca="false">COUNTIFS(Contratos!$B$4:$B$503,$A71,Contratos!$J$4:$J$503,"À vista")</f>
        <v>0</v>
      </c>
      <c r="AH71" s="36" t="n">
        <f aca="false">COUNTIFS(Contratos!$B$4:$B$503,$A71,Contratos!$J$4:$J$503,"Parcelado")</f>
        <v>0</v>
      </c>
      <c r="AI71" s="39" t="n">
        <f aca="false">SUMIFS(Financeiro!$G$4:$G$503,Financeiro!$B$4:$B$503,$A71,Financeiro!$D$4:$D$503,"Receita",Financeiro!$H$4:$H$503,"&lt;&gt;Cancelado")</f>
        <v>0</v>
      </c>
      <c r="AJ71" s="39" t="n">
        <f aca="false">SUMIFS(Financeiro!$G$4:$G$503,Financeiro!$B$4:$B$503,$A71,Financeiro!$D$4:$D$503,"Gasto",Financeiro!$H$4:$H$503,"&lt;&gt;Cancelado")</f>
        <v>0</v>
      </c>
      <c r="AK71" s="39" t="n">
        <f aca="false">SUMIFS(Financeiro!$G$4:$G$503,Financeiro!$B$4:$B$503,$A71,Financeiro!$D$4:$D$503,"Imposto",Financeiro!$H$4:$H$503,"&lt;&gt;Cancelado")</f>
        <v>0</v>
      </c>
      <c r="AL71" s="39" t="n">
        <f aca="false">SUMIFS(Financeiro!$G$4:$G$503,Financeiro!$B$4:$B$503,$A71,Financeiro!$D$4:$D$503,"Marketing",Financeiro!$H$4:$H$503,"&lt;&gt;Cancelado")</f>
        <v>0</v>
      </c>
      <c r="AM71" s="39" t="n">
        <f aca="false">AI71-AJ71-AK71-AL71</f>
        <v>0</v>
      </c>
      <c r="AN71" s="37" t="n">
        <f aca="false">IF(Config!$B$16=0,"",AI71/Config!$B$16)</f>
        <v>0</v>
      </c>
      <c r="AO71" s="37" t="n">
        <f aca="false">IF(Config!$B$17=0,"",AJ71/Config!$B$17)</f>
        <v>0</v>
      </c>
      <c r="AP71" s="39" t="str">
        <f aca="false">IF(T71=0,"",AL71/T71)</f>
        <v/>
      </c>
      <c r="AQ71" s="39" t="n">
        <f aca="false">SUMIFS($AI$4:$AI$107,$D$4:$D$107,$D71,$B$4:$B$107,"&lt;="&amp;$B71)</f>
        <v>0</v>
      </c>
      <c r="AR71" s="39" t="n">
        <f aca="false">SUMIFS($AJ$4:$AJ$107,$D$4:$D$107,$D71,$B$4:$B$107,"&lt;="&amp;$B71)</f>
        <v>0</v>
      </c>
      <c r="AS71" s="36" t="n">
        <f aca="false">SUMIFS(Leads_Canal!$C$4:$C$503,Leads_Canal!$A$4:$A$503,$A71)</f>
        <v>0</v>
      </c>
      <c r="AT71" s="17" t="str">
        <f aca="false">IF(E71=0,"",IF(E71=AR71,"OK","Divergente"))</f>
        <v/>
      </c>
      <c r="AU71" s="17" t="str">
        <f aca="false">IF(N71=0,"",IF(N71=AD71,"OK","Divergente"))</f>
        <v/>
      </c>
    </row>
    <row r="72" customFormat="false" ht="15" hidden="false" customHeight="false" outlineLevel="0" collapsed="false">
      <c r="A72" s="17" t="str">
        <f aca="false">Base_Semanal!A72</f>
        <v>2027-S17</v>
      </c>
      <c r="B72" s="30" t="n">
        <f aca="false">Base_Semanal!B72</f>
        <v>46503</v>
      </c>
      <c r="C72" s="30" t="n">
        <f aca="false">Base_Semanal!C72</f>
        <v>46509</v>
      </c>
      <c r="D72" s="17" t="str">
        <f aca="false">Base_Semanal!D72</f>
        <v>2027-04</v>
      </c>
      <c r="E72" s="36" t="n">
        <f aca="false">Base_Semanal!E72</f>
        <v>0</v>
      </c>
      <c r="F72" s="36" t="n">
        <f aca="false">Base_Semanal!F72</f>
        <v>0</v>
      </c>
      <c r="G72" s="36" t="n">
        <f aca="false">Base_Semanal!G72</f>
        <v>0</v>
      </c>
      <c r="H72" s="36" t="n">
        <f aca="false">Base_Semanal!H72</f>
        <v>0</v>
      </c>
      <c r="I72" s="36" t="n">
        <f aca="false">Base_Semanal!I72</f>
        <v>0</v>
      </c>
      <c r="J72" s="36" t="n">
        <f aca="false">H72+I72</f>
        <v>0</v>
      </c>
      <c r="K72" s="37" t="str">
        <f aca="false">IF(F72=0,"",G72/F72)</f>
        <v/>
      </c>
      <c r="L72" s="36" t="n">
        <f aca="false">Base_Semanal!J72</f>
        <v>0</v>
      </c>
      <c r="M72" s="36" t="n">
        <f aca="false">Base_Semanal!K72</f>
        <v>0</v>
      </c>
      <c r="N72" s="36" t="n">
        <f aca="false">L72+M72</f>
        <v>0</v>
      </c>
      <c r="O72" s="37" t="str">
        <f aca="false">IF(J72=0,"",N72/J72)</f>
        <v/>
      </c>
      <c r="P72" s="36" t="n">
        <f aca="false">Base_Semanal!L72</f>
        <v>0</v>
      </c>
      <c r="Q72" s="36" t="n">
        <f aca="false">Base_Semanal!M72</f>
        <v>0</v>
      </c>
      <c r="R72" s="36" t="n">
        <f aca="false">P72+Q72</f>
        <v>0</v>
      </c>
      <c r="S72" s="36" t="n">
        <f aca="false">Base_Semanal!N72</f>
        <v>0</v>
      </c>
      <c r="T72" s="36" t="n">
        <f aca="false">Base_Semanal!O72</f>
        <v>0</v>
      </c>
      <c r="U72" s="37" t="str">
        <f aca="false">IF(Base_Semanal!P72=0,"",Base_Semanal!Q72/Base_Semanal!P72)</f>
        <v/>
      </c>
      <c r="V72" s="37" t="str">
        <f aca="false">IF(Base_Semanal!R72=0,"",Base_Semanal!S72/Base_Semanal!R72)</f>
        <v/>
      </c>
      <c r="W72" s="37" t="str">
        <f aca="false">IF(Base_Semanal!P72+Base_Semanal!R72=0,"",(Base_Semanal!Q72+Base_Semanal!S72)/(Base_Semanal!P72+Base_Semanal!R72))</f>
        <v/>
      </c>
      <c r="X72" s="38" t="n">
        <f aca="false">Base_Semanal!T72</f>
        <v>0</v>
      </c>
      <c r="Y72" s="38" t="n">
        <f aca="false">Base_Semanal!U72</f>
        <v>0</v>
      </c>
      <c r="Z72" s="38" t="n">
        <f aca="false">Base_Semanal!V72</f>
        <v>0</v>
      </c>
      <c r="AA72" s="38" t="n">
        <f aca="false">Base_Semanal!W72</f>
        <v>0</v>
      </c>
      <c r="AB72" s="36" t="n">
        <f aca="false">COUNTIFS(Contratos!$B$4:$B$503,$A72,Contratos!$E$4:$E$503,"Avaliação")</f>
        <v>0</v>
      </c>
      <c r="AC72" s="39" t="n">
        <f aca="false">SUMIFS(Contratos!$I$4:$I$503,Contratos!$B$4:$B$503,$A72,Contratos!$E$4:$E$503,"Avaliação")</f>
        <v>0</v>
      </c>
      <c r="AD72" s="36" t="n">
        <f aca="false">COUNTIFS(Contratos!$B$4:$B$503,$A72,Contratos!$E$4:$E$503,"Protocolo")</f>
        <v>0</v>
      </c>
      <c r="AE72" s="39" t="n">
        <f aca="false">SUMIFS(Contratos!$I$4:$I$503,Contratos!$B$4:$B$503,$A72,Contratos!$E$4:$E$503,"Protocolo")</f>
        <v>0</v>
      </c>
      <c r="AF72" s="39" t="n">
        <f aca="false">AC72+AE72</f>
        <v>0</v>
      </c>
      <c r="AG72" s="36" t="n">
        <f aca="false">COUNTIFS(Contratos!$B$4:$B$503,$A72,Contratos!$J$4:$J$503,"À vista")</f>
        <v>0</v>
      </c>
      <c r="AH72" s="36" t="n">
        <f aca="false">COUNTIFS(Contratos!$B$4:$B$503,$A72,Contratos!$J$4:$J$503,"Parcelado")</f>
        <v>0</v>
      </c>
      <c r="AI72" s="39" t="n">
        <f aca="false">SUMIFS(Financeiro!$G$4:$G$503,Financeiro!$B$4:$B$503,$A72,Financeiro!$D$4:$D$503,"Receita",Financeiro!$H$4:$H$503,"&lt;&gt;Cancelado")</f>
        <v>0</v>
      </c>
      <c r="AJ72" s="39" t="n">
        <f aca="false">SUMIFS(Financeiro!$G$4:$G$503,Financeiro!$B$4:$B$503,$A72,Financeiro!$D$4:$D$503,"Gasto",Financeiro!$H$4:$H$503,"&lt;&gt;Cancelado")</f>
        <v>0</v>
      </c>
      <c r="AK72" s="39" t="n">
        <f aca="false">SUMIFS(Financeiro!$G$4:$G$503,Financeiro!$B$4:$B$503,$A72,Financeiro!$D$4:$D$503,"Imposto",Financeiro!$H$4:$H$503,"&lt;&gt;Cancelado")</f>
        <v>0</v>
      </c>
      <c r="AL72" s="39" t="n">
        <f aca="false">SUMIFS(Financeiro!$G$4:$G$503,Financeiro!$B$4:$B$503,$A72,Financeiro!$D$4:$D$503,"Marketing",Financeiro!$H$4:$H$503,"&lt;&gt;Cancelado")</f>
        <v>0</v>
      </c>
      <c r="AM72" s="39" t="n">
        <f aca="false">AI72-AJ72-AK72-AL72</f>
        <v>0</v>
      </c>
      <c r="AN72" s="37" t="n">
        <f aca="false">IF(Config!$B$16=0,"",AI72/Config!$B$16)</f>
        <v>0</v>
      </c>
      <c r="AO72" s="37" t="n">
        <f aca="false">IF(Config!$B$17=0,"",AJ72/Config!$B$17)</f>
        <v>0</v>
      </c>
      <c r="AP72" s="39" t="str">
        <f aca="false">IF(T72=0,"",AL72/T72)</f>
        <v/>
      </c>
      <c r="AQ72" s="39" t="n">
        <f aca="false">SUMIFS($AI$4:$AI$107,$D$4:$D$107,$D72,$B$4:$B$107,"&lt;="&amp;$B72)</f>
        <v>0</v>
      </c>
      <c r="AR72" s="39" t="n">
        <f aca="false">SUMIFS($AJ$4:$AJ$107,$D$4:$D$107,$D72,$B$4:$B$107,"&lt;="&amp;$B72)</f>
        <v>0</v>
      </c>
      <c r="AS72" s="36" t="n">
        <f aca="false">SUMIFS(Leads_Canal!$C$4:$C$503,Leads_Canal!$A$4:$A$503,$A72)</f>
        <v>0</v>
      </c>
      <c r="AT72" s="17" t="str">
        <f aca="false">IF(E72=0,"",IF(E72=AR72,"OK","Divergente"))</f>
        <v/>
      </c>
      <c r="AU72" s="17" t="str">
        <f aca="false">IF(N72=0,"",IF(N72=AD72,"OK","Divergente"))</f>
        <v/>
      </c>
    </row>
    <row r="73" customFormat="false" ht="15" hidden="false" customHeight="false" outlineLevel="0" collapsed="false">
      <c r="A73" s="17" t="str">
        <f aca="false">Base_Semanal!A73</f>
        <v>2027-S18</v>
      </c>
      <c r="B73" s="30" t="n">
        <f aca="false">Base_Semanal!B73</f>
        <v>46510</v>
      </c>
      <c r="C73" s="30" t="n">
        <f aca="false">Base_Semanal!C73</f>
        <v>46516</v>
      </c>
      <c r="D73" s="17" t="str">
        <f aca="false">Base_Semanal!D73</f>
        <v>2027-05</v>
      </c>
      <c r="E73" s="36" t="n">
        <f aca="false">Base_Semanal!E73</f>
        <v>0</v>
      </c>
      <c r="F73" s="36" t="n">
        <f aca="false">Base_Semanal!F73</f>
        <v>0</v>
      </c>
      <c r="G73" s="36" t="n">
        <f aca="false">Base_Semanal!G73</f>
        <v>0</v>
      </c>
      <c r="H73" s="36" t="n">
        <f aca="false">Base_Semanal!H73</f>
        <v>0</v>
      </c>
      <c r="I73" s="36" t="n">
        <f aca="false">Base_Semanal!I73</f>
        <v>0</v>
      </c>
      <c r="J73" s="36" t="n">
        <f aca="false">H73+I73</f>
        <v>0</v>
      </c>
      <c r="K73" s="37" t="str">
        <f aca="false">IF(F73=0,"",G73/F73)</f>
        <v/>
      </c>
      <c r="L73" s="36" t="n">
        <f aca="false">Base_Semanal!J73</f>
        <v>0</v>
      </c>
      <c r="M73" s="36" t="n">
        <f aca="false">Base_Semanal!K73</f>
        <v>0</v>
      </c>
      <c r="N73" s="36" t="n">
        <f aca="false">L73+M73</f>
        <v>0</v>
      </c>
      <c r="O73" s="37" t="str">
        <f aca="false">IF(J73=0,"",N73/J73)</f>
        <v/>
      </c>
      <c r="P73" s="36" t="n">
        <f aca="false">Base_Semanal!L73</f>
        <v>0</v>
      </c>
      <c r="Q73" s="36" t="n">
        <f aca="false">Base_Semanal!M73</f>
        <v>0</v>
      </c>
      <c r="R73" s="36" t="n">
        <f aca="false">P73+Q73</f>
        <v>0</v>
      </c>
      <c r="S73" s="36" t="n">
        <f aca="false">Base_Semanal!N73</f>
        <v>0</v>
      </c>
      <c r="T73" s="36" t="n">
        <f aca="false">Base_Semanal!O73</f>
        <v>0</v>
      </c>
      <c r="U73" s="37" t="str">
        <f aca="false">IF(Base_Semanal!P73=0,"",Base_Semanal!Q73/Base_Semanal!P73)</f>
        <v/>
      </c>
      <c r="V73" s="37" t="str">
        <f aca="false">IF(Base_Semanal!R73=0,"",Base_Semanal!S73/Base_Semanal!R73)</f>
        <v/>
      </c>
      <c r="W73" s="37" t="str">
        <f aca="false">IF(Base_Semanal!P73+Base_Semanal!R73=0,"",(Base_Semanal!Q73+Base_Semanal!S73)/(Base_Semanal!P73+Base_Semanal!R73))</f>
        <v/>
      </c>
      <c r="X73" s="38" t="n">
        <f aca="false">Base_Semanal!T73</f>
        <v>0</v>
      </c>
      <c r="Y73" s="38" t="n">
        <f aca="false">Base_Semanal!U73</f>
        <v>0</v>
      </c>
      <c r="Z73" s="38" t="n">
        <f aca="false">Base_Semanal!V73</f>
        <v>0</v>
      </c>
      <c r="AA73" s="38" t="n">
        <f aca="false">Base_Semanal!W73</f>
        <v>0</v>
      </c>
      <c r="AB73" s="36" t="n">
        <f aca="false">COUNTIFS(Contratos!$B$4:$B$503,$A73,Contratos!$E$4:$E$503,"Avaliação")</f>
        <v>0</v>
      </c>
      <c r="AC73" s="39" t="n">
        <f aca="false">SUMIFS(Contratos!$I$4:$I$503,Contratos!$B$4:$B$503,$A73,Contratos!$E$4:$E$503,"Avaliação")</f>
        <v>0</v>
      </c>
      <c r="AD73" s="36" t="n">
        <f aca="false">COUNTIFS(Contratos!$B$4:$B$503,$A73,Contratos!$E$4:$E$503,"Protocolo")</f>
        <v>0</v>
      </c>
      <c r="AE73" s="39" t="n">
        <f aca="false">SUMIFS(Contratos!$I$4:$I$503,Contratos!$B$4:$B$503,$A73,Contratos!$E$4:$E$503,"Protocolo")</f>
        <v>0</v>
      </c>
      <c r="AF73" s="39" t="n">
        <f aca="false">AC73+AE73</f>
        <v>0</v>
      </c>
      <c r="AG73" s="36" t="n">
        <f aca="false">COUNTIFS(Contratos!$B$4:$B$503,$A73,Contratos!$J$4:$J$503,"À vista")</f>
        <v>0</v>
      </c>
      <c r="AH73" s="36" t="n">
        <f aca="false">COUNTIFS(Contratos!$B$4:$B$503,$A73,Contratos!$J$4:$J$503,"Parcelado")</f>
        <v>0</v>
      </c>
      <c r="AI73" s="39" t="n">
        <f aca="false">SUMIFS(Financeiro!$G$4:$G$503,Financeiro!$B$4:$B$503,$A73,Financeiro!$D$4:$D$503,"Receita",Financeiro!$H$4:$H$503,"&lt;&gt;Cancelado")</f>
        <v>0</v>
      </c>
      <c r="AJ73" s="39" t="n">
        <f aca="false">SUMIFS(Financeiro!$G$4:$G$503,Financeiro!$B$4:$B$503,$A73,Financeiro!$D$4:$D$503,"Gasto",Financeiro!$H$4:$H$503,"&lt;&gt;Cancelado")</f>
        <v>0</v>
      </c>
      <c r="AK73" s="39" t="n">
        <f aca="false">SUMIFS(Financeiro!$G$4:$G$503,Financeiro!$B$4:$B$503,$A73,Financeiro!$D$4:$D$503,"Imposto",Financeiro!$H$4:$H$503,"&lt;&gt;Cancelado")</f>
        <v>0</v>
      </c>
      <c r="AL73" s="39" t="n">
        <f aca="false">SUMIFS(Financeiro!$G$4:$G$503,Financeiro!$B$4:$B$503,$A73,Financeiro!$D$4:$D$503,"Marketing",Financeiro!$H$4:$H$503,"&lt;&gt;Cancelado")</f>
        <v>0</v>
      </c>
      <c r="AM73" s="39" t="n">
        <f aca="false">AI73-AJ73-AK73-AL73</f>
        <v>0</v>
      </c>
      <c r="AN73" s="37" t="n">
        <f aca="false">IF(Config!$B$16=0,"",AI73/Config!$B$16)</f>
        <v>0</v>
      </c>
      <c r="AO73" s="37" t="n">
        <f aca="false">IF(Config!$B$17=0,"",AJ73/Config!$B$17)</f>
        <v>0</v>
      </c>
      <c r="AP73" s="39" t="str">
        <f aca="false">IF(T73=0,"",AL73/T73)</f>
        <v/>
      </c>
      <c r="AQ73" s="39" t="n">
        <f aca="false">SUMIFS($AI$4:$AI$107,$D$4:$D$107,$D73,$B$4:$B$107,"&lt;="&amp;$B73)</f>
        <v>0</v>
      </c>
      <c r="AR73" s="39" t="n">
        <f aca="false">SUMIFS($AJ$4:$AJ$107,$D$4:$D$107,$D73,$B$4:$B$107,"&lt;="&amp;$B73)</f>
        <v>0</v>
      </c>
      <c r="AS73" s="36" t="n">
        <f aca="false">SUMIFS(Leads_Canal!$C$4:$C$503,Leads_Canal!$A$4:$A$503,$A73)</f>
        <v>0</v>
      </c>
      <c r="AT73" s="17" t="str">
        <f aca="false">IF(E73=0,"",IF(E73=AR73,"OK","Divergente"))</f>
        <v/>
      </c>
      <c r="AU73" s="17" t="str">
        <f aca="false">IF(N73=0,"",IF(N73=AD73,"OK","Divergente"))</f>
        <v/>
      </c>
    </row>
    <row r="74" customFormat="false" ht="15" hidden="false" customHeight="false" outlineLevel="0" collapsed="false">
      <c r="A74" s="17" t="str">
        <f aca="false">Base_Semanal!A74</f>
        <v>2027-S19</v>
      </c>
      <c r="B74" s="30" t="n">
        <f aca="false">Base_Semanal!B74</f>
        <v>46517</v>
      </c>
      <c r="C74" s="30" t="n">
        <f aca="false">Base_Semanal!C74</f>
        <v>46523</v>
      </c>
      <c r="D74" s="17" t="str">
        <f aca="false">Base_Semanal!D74</f>
        <v>2027-05</v>
      </c>
      <c r="E74" s="36" t="n">
        <f aca="false">Base_Semanal!E74</f>
        <v>0</v>
      </c>
      <c r="F74" s="36" t="n">
        <f aca="false">Base_Semanal!F74</f>
        <v>0</v>
      </c>
      <c r="G74" s="36" t="n">
        <f aca="false">Base_Semanal!G74</f>
        <v>0</v>
      </c>
      <c r="H74" s="36" t="n">
        <f aca="false">Base_Semanal!H74</f>
        <v>0</v>
      </c>
      <c r="I74" s="36" t="n">
        <f aca="false">Base_Semanal!I74</f>
        <v>0</v>
      </c>
      <c r="J74" s="36" t="n">
        <f aca="false">H74+I74</f>
        <v>0</v>
      </c>
      <c r="K74" s="37" t="str">
        <f aca="false">IF(F74=0,"",G74/F74)</f>
        <v/>
      </c>
      <c r="L74" s="36" t="n">
        <f aca="false">Base_Semanal!J74</f>
        <v>0</v>
      </c>
      <c r="M74" s="36" t="n">
        <f aca="false">Base_Semanal!K74</f>
        <v>0</v>
      </c>
      <c r="N74" s="36" t="n">
        <f aca="false">L74+M74</f>
        <v>0</v>
      </c>
      <c r="O74" s="37" t="str">
        <f aca="false">IF(J74=0,"",N74/J74)</f>
        <v/>
      </c>
      <c r="P74" s="36" t="n">
        <f aca="false">Base_Semanal!L74</f>
        <v>0</v>
      </c>
      <c r="Q74" s="36" t="n">
        <f aca="false">Base_Semanal!M74</f>
        <v>0</v>
      </c>
      <c r="R74" s="36" t="n">
        <f aca="false">P74+Q74</f>
        <v>0</v>
      </c>
      <c r="S74" s="36" t="n">
        <f aca="false">Base_Semanal!N74</f>
        <v>0</v>
      </c>
      <c r="T74" s="36" t="n">
        <f aca="false">Base_Semanal!O74</f>
        <v>0</v>
      </c>
      <c r="U74" s="37" t="str">
        <f aca="false">IF(Base_Semanal!P74=0,"",Base_Semanal!Q74/Base_Semanal!P74)</f>
        <v/>
      </c>
      <c r="V74" s="37" t="str">
        <f aca="false">IF(Base_Semanal!R74=0,"",Base_Semanal!S74/Base_Semanal!R74)</f>
        <v/>
      </c>
      <c r="W74" s="37" t="str">
        <f aca="false">IF(Base_Semanal!P74+Base_Semanal!R74=0,"",(Base_Semanal!Q74+Base_Semanal!S74)/(Base_Semanal!P74+Base_Semanal!R74))</f>
        <v/>
      </c>
      <c r="X74" s="38" t="n">
        <f aca="false">Base_Semanal!T74</f>
        <v>0</v>
      </c>
      <c r="Y74" s="38" t="n">
        <f aca="false">Base_Semanal!U74</f>
        <v>0</v>
      </c>
      <c r="Z74" s="38" t="n">
        <f aca="false">Base_Semanal!V74</f>
        <v>0</v>
      </c>
      <c r="AA74" s="38" t="n">
        <f aca="false">Base_Semanal!W74</f>
        <v>0</v>
      </c>
      <c r="AB74" s="36" t="n">
        <f aca="false">COUNTIFS(Contratos!$B$4:$B$503,$A74,Contratos!$E$4:$E$503,"Avaliação")</f>
        <v>0</v>
      </c>
      <c r="AC74" s="39" t="n">
        <f aca="false">SUMIFS(Contratos!$I$4:$I$503,Contratos!$B$4:$B$503,$A74,Contratos!$E$4:$E$503,"Avaliação")</f>
        <v>0</v>
      </c>
      <c r="AD74" s="36" t="n">
        <f aca="false">COUNTIFS(Contratos!$B$4:$B$503,$A74,Contratos!$E$4:$E$503,"Protocolo")</f>
        <v>0</v>
      </c>
      <c r="AE74" s="39" t="n">
        <f aca="false">SUMIFS(Contratos!$I$4:$I$503,Contratos!$B$4:$B$503,$A74,Contratos!$E$4:$E$503,"Protocolo")</f>
        <v>0</v>
      </c>
      <c r="AF74" s="39" t="n">
        <f aca="false">AC74+AE74</f>
        <v>0</v>
      </c>
      <c r="AG74" s="36" t="n">
        <f aca="false">COUNTIFS(Contratos!$B$4:$B$503,$A74,Contratos!$J$4:$J$503,"À vista")</f>
        <v>0</v>
      </c>
      <c r="AH74" s="36" t="n">
        <f aca="false">COUNTIFS(Contratos!$B$4:$B$503,$A74,Contratos!$J$4:$J$503,"Parcelado")</f>
        <v>0</v>
      </c>
      <c r="AI74" s="39" t="n">
        <f aca="false">SUMIFS(Financeiro!$G$4:$G$503,Financeiro!$B$4:$B$503,$A74,Financeiro!$D$4:$D$503,"Receita",Financeiro!$H$4:$H$503,"&lt;&gt;Cancelado")</f>
        <v>0</v>
      </c>
      <c r="AJ74" s="39" t="n">
        <f aca="false">SUMIFS(Financeiro!$G$4:$G$503,Financeiro!$B$4:$B$503,$A74,Financeiro!$D$4:$D$503,"Gasto",Financeiro!$H$4:$H$503,"&lt;&gt;Cancelado")</f>
        <v>0</v>
      </c>
      <c r="AK74" s="39" t="n">
        <f aca="false">SUMIFS(Financeiro!$G$4:$G$503,Financeiro!$B$4:$B$503,$A74,Financeiro!$D$4:$D$503,"Imposto",Financeiro!$H$4:$H$503,"&lt;&gt;Cancelado")</f>
        <v>0</v>
      </c>
      <c r="AL74" s="39" t="n">
        <f aca="false">SUMIFS(Financeiro!$G$4:$G$503,Financeiro!$B$4:$B$503,$A74,Financeiro!$D$4:$D$503,"Marketing",Financeiro!$H$4:$H$503,"&lt;&gt;Cancelado")</f>
        <v>0</v>
      </c>
      <c r="AM74" s="39" t="n">
        <f aca="false">AI74-AJ74-AK74-AL74</f>
        <v>0</v>
      </c>
      <c r="AN74" s="37" t="n">
        <f aca="false">IF(Config!$B$16=0,"",AI74/Config!$B$16)</f>
        <v>0</v>
      </c>
      <c r="AO74" s="37" t="n">
        <f aca="false">IF(Config!$B$17=0,"",AJ74/Config!$B$17)</f>
        <v>0</v>
      </c>
      <c r="AP74" s="39" t="str">
        <f aca="false">IF(T74=0,"",AL74/T74)</f>
        <v/>
      </c>
      <c r="AQ74" s="39" t="n">
        <f aca="false">SUMIFS($AI$4:$AI$107,$D$4:$D$107,$D74,$B$4:$B$107,"&lt;="&amp;$B74)</f>
        <v>0</v>
      </c>
      <c r="AR74" s="39" t="n">
        <f aca="false">SUMIFS($AJ$4:$AJ$107,$D$4:$D$107,$D74,$B$4:$B$107,"&lt;="&amp;$B74)</f>
        <v>0</v>
      </c>
      <c r="AS74" s="36" t="n">
        <f aca="false">SUMIFS(Leads_Canal!$C$4:$C$503,Leads_Canal!$A$4:$A$503,$A74)</f>
        <v>0</v>
      </c>
      <c r="AT74" s="17" t="str">
        <f aca="false">IF(E74=0,"",IF(E74=AR74,"OK","Divergente"))</f>
        <v/>
      </c>
      <c r="AU74" s="17" t="str">
        <f aca="false">IF(N74=0,"",IF(N74=AD74,"OK","Divergente"))</f>
        <v/>
      </c>
    </row>
    <row r="75" customFormat="false" ht="15" hidden="false" customHeight="false" outlineLevel="0" collapsed="false">
      <c r="A75" s="17" t="str">
        <f aca="false">Base_Semanal!A75</f>
        <v>2027-S20</v>
      </c>
      <c r="B75" s="30" t="n">
        <f aca="false">Base_Semanal!B75</f>
        <v>46524</v>
      </c>
      <c r="C75" s="30" t="n">
        <f aca="false">Base_Semanal!C75</f>
        <v>46530</v>
      </c>
      <c r="D75" s="17" t="str">
        <f aca="false">Base_Semanal!D75</f>
        <v>2027-05</v>
      </c>
      <c r="E75" s="36" t="n">
        <f aca="false">Base_Semanal!E75</f>
        <v>0</v>
      </c>
      <c r="F75" s="36" t="n">
        <f aca="false">Base_Semanal!F75</f>
        <v>0</v>
      </c>
      <c r="G75" s="36" t="n">
        <f aca="false">Base_Semanal!G75</f>
        <v>0</v>
      </c>
      <c r="H75" s="36" t="n">
        <f aca="false">Base_Semanal!H75</f>
        <v>0</v>
      </c>
      <c r="I75" s="36" t="n">
        <f aca="false">Base_Semanal!I75</f>
        <v>0</v>
      </c>
      <c r="J75" s="36" t="n">
        <f aca="false">H75+I75</f>
        <v>0</v>
      </c>
      <c r="K75" s="37" t="str">
        <f aca="false">IF(F75=0,"",G75/F75)</f>
        <v/>
      </c>
      <c r="L75" s="36" t="n">
        <f aca="false">Base_Semanal!J75</f>
        <v>0</v>
      </c>
      <c r="M75" s="36" t="n">
        <f aca="false">Base_Semanal!K75</f>
        <v>0</v>
      </c>
      <c r="N75" s="36" t="n">
        <f aca="false">L75+M75</f>
        <v>0</v>
      </c>
      <c r="O75" s="37" t="str">
        <f aca="false">IF(J75=0,"",N75/J75)</f>
        <v/>
      </c>
      <c r="P75" s="36" t="n">
        <f aca="false">Base_Semanal!L75</f>
        <v>0</v>
      </c>
      <c r="Q75" s="36" t="n">
        <f aca="false">Base_Semanal!M75</f>
        <v>0</v>
      </c>
      <c r="R75" s="36" t="n">
        <f aca="false">P75+Q75</f>
        <v>0</v>
      </c>
      <c r="S75" s="36" t="n">
        <f aca="false">Base_Semanal!N75</f>
        <v>0</v>
      </c>
      <c r="T75" s="36" t="n">
        <f aca="false">Base_Semanal!O75</f>
        <v>0</v>
      </c>
      <c r="U75" s="37" t="str">
        <f aca="false">IF(Base_Semanal!P75=0,"",Base_Semanal!Q75/Base_Semanal!P75)</f>
        <v/>
      </c>
      <c r="V75" s="37" t="str">
        <f aca="false">IF(Base_Semanal!R75=0,"",Base_Semanal!S75/Base_Semanal!R75)</f>
        <v/>
      </c>
      <c r="W75" s="37" t="str">
        <f aca="false">IF(Base_Semanal!P75+Base_Semanal!R75=0,"",(Base_Semanal!Q75+Base_Semanal!S75)/(Base_Semanal!P75+Base_Semanal!R75))</f>
        <v/>
      </c>
      <c r="X75" s="38" t="n">
        <f aca="false">Base_Semanal!T75</f>
        <v>0</v>
      </c>
      <c r="Y75" s="38" t="n">
        <f aca="false">Base_Semanal!U75</f>
        <v>0</v>
      </c>
      <c r="Z75" s="38" t="n">
        <f aca="false">Base_Semanal!V75</f>
        <v>0</v>
      </c>
      <c r="AA75" s="38" t="n">
        <f aca="false">Base_Semanal!W75</f>
        <v>0</v>
      </c>
      <c r="AB75" s="36" t="n">
        <f aca="false">COUNTIFS(Contratos!$B$4:$B$503,$A75,Contratos!$E$4:$E$503,"Avaliação")</f>
        <v>0</v>
      </c>
      <c r="AC75" s="39" t="n">
        <f aca="false">SUMIFS(Contratos!$I$4:$I$503,Contratos!$B$4:$B$503,$A75,Contratos!$E$4:$E$503,"Avaliação")</f>
        <v>0</v>
      </c>
      <c r="AD75" s="36" t="n">
        <f aca="false">COUNTIFS(Contratos!$B$4:$B$503,$A75,Contratos!$E$4:$E$503,"Protocolo")</f>
        <v>0</v>
      </c>
      <c r="AE75" s="39" t="n">
        <f aca="false">SUMIFS(Contratos!$I$4:$I$503,Contratos!$B$4:$B$503,$A75,Contratos!$E$4:$E$503,"Protocolo")</f>
        <v>0</v>
      </c>
      <c r="AF75" s="39" t="n">
        <f aca="false">AC75+AE75</f>
        <v>0</v>
      </c>
      <c r="AG75" s="36" t="n">
        <f aca="false">COUNTIFS(Contratos!$B$4:$B$503,$A75,Contratos!$J$4:$J$503,"À vista")</f>
        <v>0</v>
      </c>
      <c r="AH75" s="36" t="n">
        <f aca="false">COUNTIFS(Contratos!$B$4:$B$503,$A75,Contratos!$J$4:$J$503,"Parcelado")</f>
        <v>0</v>
      </c>
      <c r="AI75" s="39" t="n">
        <f aca="false">SUMIFS(Financeiro!$G$4:$G$503,Financeiro!$B$4:$B$503,$A75,Financeiro!$D$4:$D$503,"Receita",Financeiro!$H$4:$H$503,"&lt;&gt;Cancelado")</f>
        <v>0</v>
      </c>
      <c r="AJ75" s="39" t="n">
        <f aca="false">SUMIFS(Financeiro!$G$4:$G$503,Financeiro!$B$4:$B$503,$A75,Financeiro!$D$4:$D$503,"Gasto",Financeiro!$H$4:$H$503,"&lt;&gt;Cancelado")</f>
        <v>0</v>
      </c>
      <c r="AK75" s="39" t="n">
        <f aca="false">SUMIFS(Financeiro!$G$4:$G$503,Financeiro!$B$4:$B$503,$A75,Financeiro!$D$4:$D$503,"Imposto",Financeiro!$H$4:$H$503,"&lt;&gt;Cancelado")</f>
        <v>0</v>
      </c>
      <c r="AL75" s="39" t="n">
        <f aca="false">SUMIFS(Financeiro!$G$4:$G$503,Financeiro!$B$4:$B$503,$A75,Financeiro!$D$4:$D$503,"Marketing",Financeiro!$H$4:$H$503,"&lt;&gt;Cancelado")</f>
        <v>0</v>
      </c>
      <c r="AM75" s="39" t="n">
        <f aca="false">AI75-AJ75-AK75-AL75</f>
        <v>0</v>
      </c>
      <c r="AN75" s="37" t="n">
        <f aca="false">IF(Config!$B$16=0,"",AI75/Config!$B$16)</f>
        <v>0</v>
      </c>
      <c r="AO75" s="37" t="n">
        <f aca="false">IF(Config!$B$17=0,"",AJ75/Config!$B$17)</f>
        <v>0</v>
      </c>
      <c r="AP75" s="39" t="str">
        <f aca="false">IF(T75=0,"",AL75/T75)</f>
        <v/>
      </c>
      <c r="AQ75" s="39" t="n">
        <f aca="false">SUMIFS($AI$4:$AI$107,$D$4:$D$107,$D75,$B$4:$B$107,"&lt;="&amp;$B75)</f>
        <v>0</v>
      </c>
      <c r="AR75" s="39" t="n">
        <f aca="false">SUMIFS($AJ$4:$AJ$107,$D$4:$D$107,$D75,$B$4:$B$107,"&lt;="&amp;$B75)</f>
        <v>0</v>
      </c>
      <c r="AS75" s="36" t="n">
        <f aca="false">SUMIFS(Leads_Canal!$C$4:$C$503,Leads_Canal!$A$4:$A$503,$A75)</f>
        <v>0</v>
      </c>
      <c r="AT75" s="17" t="str">
        <f aca="false">IF(E75=0,"",IF(E75=AR75,"OK","Divergente"))</f>
        <v/>
      </c>
      <c r="AU75" s="17" t="str">
        <f aca="false">IF(N75=0,"",IF(N75=AD75,"OK","Divergente"))</f>
        <v/>
      </c>
    </row>
    <row r="76" customFormat="false" ht="15" hidden="false" customHeight="false" outlineLevel="0" collapsed="false">
      <c r="A76" s="17" t="str">
        <f aca="false">Base_Semanal!A76</f>
        <v>2027-S21</v>
      </c>
      <c r="B76" s="30" t="n">
        <f aca="false">Base_Semanal!B76</f>
        <v>46531</v>
      </c>
      <c r="C76" s="30" t="n">
        <f aca="false">Base_Semanal!C76</f>
        <v>46537</v>
      </c>
      <c r="D76" s="17" t="str">
        <f aca="false">Base_Semanal!D76</f>
        <v>2027-05</v>
      </c>
      <c r="E76" s="36" t="n">
        <f aca="false">Base_Semanal!E76</f>
        <v>0</v>
      </c>
      <c r="F76" s="36" t="n">
        <f aca="false">Base_Semanal!F76</f>
        <v>0</v>
      </c>
      <c r="G76" s="36" t="n">
        <f aca="false">Base_Semanal!G76</f>
        <v>0</v>
      </c>
      <c r="H76" s="36" t="n">
        <f aca="false">Base_Semanal!H76</f>
        <v>0</v>
      </c>
      <c r="I76" s="36" t="n">
        <f aca="false">Base_Semanal!I76</f>
        <v>0</v>
      </c>
      <c r="J76" s="36" t="n">
        <f aca="false">H76+I76</f>
        <v>0</v>
      </c>
      <c r="K76" s="37" t="str">
        <f aca="false">IF(F76=0,"",G76/F76)</f>
        <v/>
      </c>
      <c r="L76" s="36" t="n">
        <f aca="false">Base_Semanal!J76</f>
        <v>0</v>
      </c>
      <c r="M76" s="36" t="n">
        <f aca="false">Base_Semanal!K76</f>
        <v>0</v>
      </c>
      <c r="N76" s="36" t="n">
        <f aca="false">L76+M76</f>
        <v>0</v>
      </c>
      <c r="O76" s="37" t="str">
        <f aca="false">IF(J76=0,"",N76/J76)</f>
        <v/>
      </c>
      <c r="P76" s="36" t="n">
        <f aca="false">Base_Semanal!L76</f>
        <v>0</v>
      </c>
      <c r="Q76" s="36" t="n">
        <f aca="false">Base_Semanal!M76</f>
        <v>0</v>
      </c>
      <c r="R76" s="36" t="n">
        <f aca="false">P76+Q76</f>
        <v>0</v>
      </c>
      <c r="S76" s="36" t="n">
        <f aca="false">Base_Semanal!N76</f>
        <v>0</v>
      </c>
      <c r="T76" s="36" t="n">
        <f aca="false">Base_Semanal!O76</f>
        <v>0</v>
      </c>
      <c r="U76" s="37" t="str">
        <f aca="false">IF(Base_Semanal!P76=0,"",Base_Semanal!Q76/Base_Semanal!P76)</f>
        <v/>
      </c>
      <c r="V76" s="37" t="str">
        <f aca="false">IF(Base_Semanal!R76=0,"",Base_Semanal!S76/Base_Semanal!R76)</f>
        <v/>
      </c>
      <c r="W76" s="37" t="str">
        <f aca="false">IF(Base_Semanal!P76+Base_Semanal!R76=0,"",(Base_Semanal!Q76+Base_Semanal!S76)/(Base_Semanal!P76+Base_Semanal!R76))</f>
        <v/>
      </c>
      <c r="X76" s="38" t="n">
        <f aca="false">Base_Semanal!T76</f>
        <v>0</v>
      </c>
      <c r="Y76" s="38" t="n">
        <f aca="false">Base_Semanal!U76</f>
        <v>0</v>
      </c>
      <c r="Z76" s="38" t="n">
        <f aca="false">Base_Semanal!V76</f>
        <v>0</v>
      </c>
      <c r="AA76" s="38" t="n">
        <f aca="false">Base_Semanal!W76</f>
        <v>0</v>
      </c>
      <c r="AB76" s="36" t="n">
        <f aca="false">COUNTIFS(Contratos!$B$4:$B$503,$A76,Contratos!$E$4:$E$503,"Avaliação")</f>
        <v>0</v>
      </c>
      <c r="AC76" s="39" t="n">
        <f aca="false">SUMIFS(Contratos!$I$4:$I$503,Contratos!$B$4:$B$503,$A76,Contratos!$E$4:$E$503,"Avaliação")</f>
        <v>0</v>
      </c>
      <c r="AD76" s="36" t="n">
        <f aca="false">COUNTIFS(Contratos!$B$4:$B$503,$A76,Contratos!$E$4:$E$503,"Protocolo")</f>
        <v>0</v>
      </c>
      <c r="AE76" s="39" t="n">
        <f aca="false">SUMIFS(Contratos!$I$4:$I$503,Contratos!$B$4:$B$503,$A76,Contratos!$E$4:$E$503,"Protocolo")</f>
        <v>0</v>
      </c>
      <c r="AF76" s="39" t="n">
        <f aca="false">AC76+AE76</f>
        <v>0</v>
      </c>
      <c r="AG76" s="36" t="n">
        <f aca="false">COUNTIFS(Contratos!$B$4:$B$503,$A76,Contratos!$J$4:$J$503,"À vista")</f>
        <v>0</v>
      </c>
      <c r="AH76" s="36" t="n">
        <f aca="false">COUNTIFS(Contratos!$B$4:$B$503,$A76,Contratos!$J$4:$J$503,"Parcelado")</f>
        <v>0</v>
      </c>
      <c r="AI76" s="39" t="n">
        <f aca="false">SUMIFS(Financeiro!$G$4:$G$503,Financeiro!$B$4:$B$503,$A76,Financeiro!$D$4:$D$503,"Receita",Financeiro!$H$4:$H$503,"&lt;&gt;Cancelado")</f>
        <v>0</v>
      </c>
      <c r="AJ76" s="39" t="n">
        <f aca="false">SUMIFS(Financeiro!$G$4:$G$503,Financeiro!$B$4:$B$503,$A76,Financeiro!$D$4:$D$503,"Gasto",Financeiro!$H$4:$H$503,"&lt;&gt;Cancelado")</f>
        <v>0</v>
      </c>
      <c r="AK76" s="39" t="n">
        <f aca="false">SUMIFS(Financeiro!$G$4:$G$503,Financeiro!$B$4:$B$503,$A76,Financeiro!$D$4:$D$503,"Imposto",Financeiro!$H$4:$H$503,"&lt;&gt;Cancelado")</f>
        <v>0</v>
      </c>
      <c r="AL76" s="39" t="n">
        <f aca="false">SUMIFS(Financeiro!$G$4:$G$503,Financeiro!$B$4:$B$503,$A76,Financeiro!$D$4:$D$503,"Marketing",Financeiro!$H$4:$H$503,"&lt;&gt;Cancelado")</f>
        <v>0</v>
      </c>
      <c r="AM76" s="39" t="n">
        <f aca="false">AI76-AJ76-AK76-AL76</f>
        <v>0</v>
      </c>
      <c r="AN76" s="37" t="n">
        <f aca="false">IF(Config!$B$16=0,"",AI76/Config!$B$16)</f>
        <v>0</v>
      </c>
      <c r="AO76" s="37" t="n">
        <f aca="false">IF(Config!$B$17=0,"",AJ76/Config!$B$17)</f>
        <v>0</v>
      </c>
      <c r="AP76" s="39" t="str">
        <f aca="false">IF(T76=0,"",AL76/T76)</f>
        <v/>
      </c>
      <c r="AQ76" s="39" t="n">
        <f aca="false">SUMIFS($AI$4:$AI$107,$D$4:$D$107,$D76,$B$4:$B$107,"&lt;="&amp;$B76)</f>
        <v>0</v>
      </c>
      <c r="AR76" s="39" t="n">
        <f aca="false">SUMIFS($AJ$4:$AJ$107,$D$4:$D$107,$D76,$B$4:$B$107,"&lt;="&amp;$B76)</f>
        <v>0</v>
      </c>
      <c r="AS76" s="36" t="n">
        <f aca="false">SUMIFS(Leads_Canal!$C$4:$C$503,Leads_Canal!$A$4:$A$503,$A76)</f>
        <v>0</v>
      </c>
      <c r="AT76" s="17" t="str">
        <f aca="false">IF(E76=0,"",IF(E76=AR76,"OK","Divergente"))</f>
        <v/>
      </c>
      <c r="AU76" s="17" t="str">
        <f aca="false">IF(N76=0,"",IF(N76=AD76,"OK","Divergente"))</f>
        <v/>
      </c>
    </row>
    <row r="77" customFormat="false" ht="15" hidden="false" customHeight="false" outlineLevel="0" collapsed="false">
      <c r="A77" s="17" t="str">
        <f aca="false">Base_Semanal!A77</f>
        <v>2027-S22</v>
      </c>
      <c r="B77" s="30" t="n">
        <f aca="false">Base_Semanal!B77</f>
        <v>46538</v>
      </c>
      <c r="C77" s="30" t="n">
        <f aca="false">Base_Semanal!C77</f>
        <v>46544</v>
      </c>
      <c r="D77" s="17" t="str">
        <f aca="false">Base_Semanal!D77</f>
        <v>2027-05</v>
      </c>
      <c r="E77" s="36" t="n">
        <f aca="false">Base_Semanal!E77</f>
        <v>0</v>
      </c>
      <c r="F77" s="36" t="n">
        <f aca="false">Base_Semanal!F77</f>
        <v>0</v>
      </c>
      <c r="G77" s="36" t="n">
        <f aca="false">Base_Semanal!G77</f>
        <v>0</v>
      </c>
      <c r="H77" s="36" t="n">
        <f aca="false">Base_Semanal!H77</f>
        <v>0</v>
      </c>
      <c r="I77" s="36" t="n">
        <f aca="false">Base_Semanal!I77</f>
        <v>0</v>
      </c>
      <c r="J77" s="36" t="n">
        <f aca="false">H77+I77</f>
        <v>0</v>
      </c>
      <c r="K77" s="37" t="str">
        <f aca="false">IF(F77=0,"",G77/F77)</f>
        <v/>
      </c>
      <c r="L77" s="36" t="n">
        <f aca="false">Base_Semanal!J77</f>
        <v>0</v>
      </c>
      <c r="M77" s="36" t="n">
        <f aca="false">Base_Semanal!K77</f>
        <v>0</v>
      </c>
      <c r="N77" s="36" t="n">
        <f aca="false">L77+M77</f>
        <v>0</v>
      </c>
      <c r="O77" s="37" t="str">
        <f aca="false">IF(J77=0,"",N77/J77)</f>
        <v/>
      </c>
      <c r="P77" s="36" t="n">
        <f aca="false">Base_Semanal!L77</f>
        <v>0</v>
      </c>
      <c r="Q77" s="36" t="n">
        <f aca="false">Base_Semanal!M77</f>
        <v>0</v>
      </c>
      <c r="R77" s="36" t="n">
        <f aca="false">P77+Q77</f>
        <v>0</v>
      </c>
      <c r="S77" s="36" t="n">
        <f aca="false">Base_Semanal!N77</f>
        <v>0</v>
      </c>
      <c r="T77" s="36" t="n">
        <f aca="false">Base_Semanal!O77</f>
        <v>0</v>
      </c>
      <c r="U77" s="37" t="str">
        <f aca="false">IF(Base_Semanal!P77=0,"",Base_Semanal!Q77/Base_Semanal!P77)</f>
        <v/>
      </c>
      <c r="V77" s="37" t="str">
        <f aca="false">IF(Base_Semanal!R77=0,"",Base_Semanal!S77/Base_Semanal!R77)</f>
        <v/>
      </c>
      <c r="W77" s="37" t="str">
        <f aca="false">IF(Base_Semanal!P77+Base_Semanal!R77=0,"",(Base_Semanal!Q77+Base_Semanal!S77)/(Base_Semanal!P77+Base_Semanal!R77))</f>
        <v/>
      </c>
      <c r="X77" s="38" t="n">
        <f aca="false">Base_Semanal!T77</f>
        <v>0</v>
      </c>
      <c r="Y77" s="38" t="n">
        <f aca="false">Base_Semanal!U77</f>
        <v>0</v>
      </c>
      <c r="Z77" s="38" t="n">
        <f aca="false">Base_Semanal!V77</f>
        <v>0</v>
      </c>
      <c r="AA77" s="38" t="n">
        <f aca="false">Base_Semanal!W77</f>
        <v>0</v>
      </c>
      <c r="AB77" s="36" t="n">
        <f aca="false">COUNTIFS(Contratos!$B$4:$B$503,$A77,Contratos!$E$4:$E$503,"Avaliação")</f>
        <v>0</v>
      </c>
      <c r="AC77" s="39" t="n">
        <f aca="false">SUMIFS(Contratos!$I$4:$I$503,Contratos!$B$4:$B$503,$A77,Contratos!$E$4:$E$503,"Avaliação")</f>
        <v>0</v>
      </c>
      <c r="AD77" s="36" t="n">
        <f aca="false">COUNTIFS(Contratos!$B$4:$B$503,$A77,Contratos!$E$4:$E$503,"Protocolo")</f>
        <v>0</v>
      </c>
      <c r="AE77" s="39" t="n">
        <f aca="false">SUMIFS(Contratos!$I$4:$I$503,Contratos!$B$4:$B$503,$A77,Contratos!$E$4:$E$503,"Protocolo")</f>
        <v>0</v>
      </c>
      <c r="AF77" s="39" t="n">
        <f aca="false">AC77+AE77</f>
        <v>0</v>
      </c>
      <c r="AG77" s="36" t="n">
        <f aca="false">COUNTIFS(Contratos!$B$4:$B$503,$A77,Contratos!$J$4:$J$503,"À vista")</f>
        <v>0</v>
      </c>
      <c r="AH77" s="36" t="n">
        <f aca="false">COUNTIFS(Contratos!$B$4:$B$503,$A77,Contratos!$J$4:$J$503,"Parcelado")</f>
        <v>0</v>
      </c>
      <c r="AI77" s="39" t="n">
        <f aca="false">SUMIFS(Financeiro!$G$4:$G$503,Financeiro!$B$4:$B$503,$A77,Financeiro!$D$4:$D$503,"Receita",Financeiro!$H$4:$H$503,"&lt;&gt;Cancelado")</f>
        <v>0</v>
      </c>
      <c r="AJ77" s="39" t="n">
        <f aca="false">SUMIFS(Financeiro!$G$4:$G$503,Financeiro!$B$4:$B$503,$A77,Financeiro!$D$4:$D$503,"Gasto",Financeiro!$H$4:$H$503,"&lt;&gt;Cancelado")</f>
        <v>0</v>
      </c>
      <c r="AK77" s="39" t="n">
        <f aca="false">SUMIFS(Financeiro!$G$4:$G$503,Financeiro!$B$4:$B$503,$A77,Financeiro!$D$4:$D$503,"Imposto",Financeiro!$H$4:$H$503,"&lt;&gt;Cancelado")</f>
        <v>0</v>
      </c>
      <c r="AL77" s="39" t="n">
        <f aca="false">SUMIFS(Financeiro!$G$4:$G$503,Financeiro!$B$4:$B$503,$A77,Financeiro!$D$4:$D$503,"Marketing",Financeiro!$H$4:$H$503,"&lt;&gt;Cancelado")</f>
        <v>0</v>
      </c>
      <c r="AM77" s="39" t="n">
        <f aca="false">AI77-AJ77-AK77-AL77</f>
        <v>0</v>
      </c>
      <c r="AN77" s="37" t="n">
        <f aca="false">IF(Config!$B$16=0,"",AI77/Config!$B$16)</f>
        <v>0</v>
      </c>
      <c r="AO77" s="37" t="n">
        <f aca="false">IF(Config!$B$17=0,"",AJ77/Config!$B$17)</f>
        <v>0</v>
      </c>
      <c r="AP77" s="39" t="str">
        <f aca="false">IF(T77=0,"",AL77/T77)</f>
        <v/>
      </c>
      <c r="AQ77" s="39" t="n">
        <f aca="false">SUMIFS($AI$4:$AI$107,$D$4:$D$107,$D77,$B$4:$B$107,"&lt;="&amp;$B77)</f>
        <v>0</v>
      </c>
      <c r="AR77" s="39" t="n">
        <f aca="false">SUMIFS($AJ$4:$AJ$107,$D$4:$D$107,$D77,$B$4:$B$107,"&lt;="&amp;$B77)</f>
        <v>0</v>
      </c>
      <c r="AS77" s="36" t="n">
        <f aca="false">SUMIFS(Leads_Canal!$C$4:$C$503,Leads_Canal!$A$4:$A$503,$A77)</f>
        <v>0</v>
      </c>
      <c r="AT77" s="17" t="str">
        <f aca="false">IF(E77=0,"",IF(E77=AR77,"OK","Divergente"))</f>
        <v/>
      </c>
      <c r="AU77" s="17" t="str">
        <f aca="false">IF(N77=0,"",IF(N77=AD77,"OK","Divergente"))</f>
        <v/>
      </c>
    </row>
    <row r="78" customFormat="false" ht="15" hidden="false" customHeight="false" outlineLevel="0" collapsed="false">
      <c r="A78" s="17" t="str">
        <f aca="false">Base_Semanal!A78</f>
        <v>2027-S23</v>
      </c>
      <c r="B78" s="30" t="n">
        <f aca="false">Base_Semanal!B78</f>
        <v>46545</v>
      </c>
      <c r="C78" s="30" t="n">
        <f aca="false">Base_Semanal!C78</f>
        <v>46551</v>
      </c>
      <c r="D78" s="17" t="str">
        <f aca="false">Base_Semanal!D78</f>
        <v>2027-06</v>
      </c>
      <c r="E78" s="36" t="n">
        <f aca="false">Base_Semanal!E78</f>
        <v>0</v>
      </c>
      <c r="F78" s="36" t="n">
        <f aca="false">Base_Semanal!F78</f>
        <v>0</v>
      </c>
      <c r="G78" s="36" t="n">
        <f aca="false">Base_Semanal!G78</f>
        <v>0</v>
      </c>
      <c r="H78" s="36" t="n">
        <f aca="false">Base_Semanal!H78</f>
        <v>0</v>
      </c>
      <c r="I78" s="36" t="n">
        <f aca="false">Base_Semanal!I78</f>
        <v>0</v>
      </c>
      <c r="J78" s="36" t="n">
        <f aca="false">H78+I78</f>
        <v>0</v>
      </c>
      <c r="K78" s="37" t="str">
        <f aca="false">IF(F78=0,"",G78/F78)</f>
        <v/>
      </c>
      <c r="L78" s="36" t="n">
        <f aca="false">Base_Semanal!J78</f>
        <v>0</v>
      </c>
      <c r="M78" s="36" t="n">
        <f aca="false">Base_Semanal!K78</f>
        <v>0</v>
      </c>
      <c r="N78" s="36" t="n">
        <f aca="false">L78+M78</f>
        <v>0</v>
      </c>
      <c r="O78" s="37" t="str">
        <f aca="false">IF(J78=0,"",N78/J78)</f>
        <v/>
      </c>
      <c r="P78" s="36" t="n">
        <f aca="false">Base_Semanal!L78</f>
        <v>0</v>
      </c>
      <c r="Q78" s="36" t="n">
        <f aca="false">Base_Semanal!M78</f>
        <v>0</v>
      </c>
      <c r="R78" s="36" t="n">
        <f aca="false">P78+Q78</f>
        <v>0</v>
      </c>
      <c r="S78" s="36" t="n">
        <f aca="false">Base_Semanal!N78</f>
        <v>0</v>
      </c>
      <c r="T78" s="36" t="n">
        <f aca="false">Base_Semanal!O78</f>
        <v>0</v>
      </c>
      <c r="U78" s="37" t="str">
        <f aca="false">IF(Base_Semanal!P78=0,"",Base_Semanal!Q78/Base_Semanal!P78)</f>
        <v/>
      </c>
      <c r="V78" s="37" t="str">
        <f aca="false">IF(Base_Semanal!R78=0,"",Base_Semanal!S78/Base_Semanal!R78)</f>
        <v/>
      </c>
      <c r="W78" s="37" t="str">
        <f aca="false">IF(Base_Semanal!P78+Base_Semanal!R78=0,"",(Base_Semanal!Q78+Base_Semanal!S78)/(Base_Semanal!P78+Base_Semanal!R78))</f>
        <v/>
      </c>
      <c r="X78" s="38" t="n">
        <f aca="false">Base_Semanal!T78</f>
        <v>0</v>
      </c>
      <c r="Y78" s="38" t="n">
        <f aca="false">Base_Semanal!U78</f>
        <v>0</v>
      </c>
      <c r="Z78" s="38" t="n">
        <f aca="false">Base_Semanal!V78</f>
        <v>0</v>
      </c>
      <c r="AA78" s="38" t="n">
        <f aca="false">Base_Semanal!W78</f>
        <v>0</v>
      </c>
      <c r="AB78" s="36" t="n">
        <f aca="false">COUNTIFS(Contratos!$B$4:$B$503,$A78,Contratos!$E$4:$E$503,"Avaliação")</f>
        <v>0</v>
      </c>
      <c r="AC78" s="39" t="n">
        <f aca="false">SUMIFS(Contratos!$I$4:$I$503,Contratos!$B$4:$B$503,$A78,Contratos!$E$4:$E$503,"Avaliação")</f>
        <v>0</v>
      </c>
      <c r="AD78" s="36" t="n">
        <f aca="false">COUNTIFS(Contratos!$B$4:$B$503,$A78,Contratos!$E$4:$E$503,"Protocolo")</f>
        <v>0</v>
      </c>
      <c r="AE78" s="39" t="n">
        <f aca="false">SUMIFS(Contratos!$I$4:$I$503,Contratos!$B$4:$B$503,$A78,Contratos!$E$4:$E$503,"Protocolo")</f>
        <v>0</v>
      </c>
      <c r="AF78" s="39" t="n">
        <f aca="false">AC78+AE78</f>
        <v>0</v>
      </c>
      <c r="AG78" s="36" t="n">
        <f aca="false">COUNTIFS(Contratos!$B$4:$B$503,$A78,Contratos!$J$4:$J$503,"À vista")</f>
        <v>0</v>
      </c>
      <c r="AH78" s="36" t="n">
        <f aca="false">COUNTIFS(Contratos!$B$4:$B$503,$A78,Contratos!$J$4:$J$503,"Parcelado")</f>
        <v>0</v>
      </c>
      <c r="AI78" s="39" t="n">
        <f aca="false">SUMIFS(Financeiro!$G$4:$G$503,Financeiro!$B$4:$B$503,$A78,Financeiro!$D$4:$D$503,"Receita",Financeiro!$H$4:$H$503,"&lt;&gt;Cancelado")</f>
        <v>0</v>
      </c>
      <c r="AJ78" s="39" t="n">
        <f aca="false">SUMIFS(Financeiro!$G$4:$G$503,Financeiro!$B$4:$B$503,$A78,Financeiro!$D$4:$D$503,"Gasto",Financeiro!$H$4:$H$503,"&lt;&gt;Cancelado")</f>
        <v>0</v>
      </c>
      <c r="AK78" s="39" t="n">
        <f aca="false">SUMIFS(Financeiro!$G$4:$G$503,Financeiro!$B$4:$B$503,$A78,Financeiro!$D$4:$D$503,"Imposto",Financeiro!$H$4:$H$503,"&lt;&gt;Cancelado")</f>
        <v>0</v>
      </c>
      <c r="AL78" s="39" t="n">
        <f aca="false">SUMIFS(Financeiro!$G$4:$G$503,Financeiro!$B$4:$B$503,$A78,Financeiro!$D$4:$D$503,"Marketing",Financeiro!$H$4:$H$503,"&lt;&gt;Cancelado")</f>
        <v>0</v>
      </c>
      <c r="AM78" s="39" t="n">
        <f aca="false">AI78-AJ78-AK78-AL78</f>
        <v>0</v>
      </c>
      <c r="AN78" s="37" t="n">
        <f aca="false">IF(Config!$B$16=0,"",AI78/Config!$B$16)</f>
        <v>0</v>
      </c>
      <c r="AO78" s="37" t="n">
        <f aca="false">IF(Config!$B$17=0,"",AJ78/Config!$B$17)</f>
        <v>0</v>
      </c>
      <c r="AP78" s="39" t="str">
        <f aca="false">IF(T78=0,"",AL78/T78)</f>
        <v/>
      </c>
      <c r="AQ78" s="39" t="n">
        <f aca="false">SUMIFS($AI$4:$AI$107,$D$4:$D$107,$D78,$B$4:$B$107,"&lt;="&amp;$B78)</f>
        <v>0</v>
      </c>
      <c r="AR78" s="39" t="n">
        <f aca="false">SUMIFS($AJ$4:$AJ$107,$D$4:$D$107,$D78,$B$4:$B$107,"&lt;="&amp;$B78)</f>
        <v>0</v>
      </c>
      <c r="AS78" s="36" t="n">
        <f aca="false">SUMIFS(Leads_Canal!$C$4:$C$503,Leads_Canal!$A$4:$A$503,$A78)</f>
        <v>0</v>
      </c>
      <c r="AT78" s="17" t="str">
        <f aca="false">IF(E78=0,"",IF(E78=AR78,"OK","Divergente"))</f>
        <v/>
      </c>
      <c r="AU78" s="17" t="str">
        <f aca="false">IF(N78=0,"",IF(N78=AD78,"OK","Divergente"))</f>
        <v/>
      </c>
    </row>
    <row r="79" customFormat="false" ht="15" hidden="false" customHeight="false" outlineLevel="0" collapsed="false">
      <c r="A79" s="17" t="str">
        <f aca="false">Base_Semanal!A79</f>
        <v>2027-S24</v>
      </c>
      <c r="B79" s="30" t="n">
        <f aca="false">Base_Semanal!B79</f>
        <v>46552</v>
      </c>
      <c r="C79" s="30" t="n">
        <f aca="false">Base_Semanal!C79</f>
        <v>46558</v>
      </c>
      <c r="D79" s="17" t="str">
        <f aca="false">Base_Semanal!D79</f>
        <v>2027-06</v>
      </c>
      <c r="E79" s="36" t="n">
        <f aca="false">Base_Semanal!E79</f>
        <v>0</v>
      </c>
      <c r="F79" s="36" t="n">
        <f aca="false">Base_Semanal!F79</f>
        <v>0</v>
      </c>
      <c r="G79" s="36" t="n">
        <f aca="false">Base_Semanal!G79</f>
        <v>0</v>
      </c>
      <c r="H79" s="36" t="n">
        <f aca="false">Base_Semanal!H79</f>
        <v>0</v>
      </c>
      <c r="I79" s="36" t="n">
        <f aca="false">Base_Semanal!I79</f>
        <v>0</v>
      </c>
      <c r="J79" s="36" t="n">
        <f aca="false">H79+I79</f>
        <v>0</v>
      </c>
      <c r="K79" s="37" t="str">
        <f aca="false">IF(F79=0,"",G79/F79)</f>
        <v/>
      </c>
      <c r="L79" s="36" t="n">
        <f aca="false">Base_Semanal!J79</f>
        <v>0</v>
      </c>
      <c r="M79" s="36" t="n">
        <f aca="false">Base_Semanal!K79</f>
        <v>0</v>
      </c>
      <c r="N79" s="36" t="n">
        <f aca="false">L79+M79</f>
        <v>0</v>
      </c>
      <c r="O79" s="37" t="str">
        <f aca="false">IF(J79=0,"",N79/J79)</f>
        <v/>
      </c>
      <c r="P79" s="36" t="n">
        <f aca="false">Base_Semanal!L79</f>
        <v>0</v>
      </c>
      <c r="Q79" s="36" t="n">
        <f aca="false">Base_Semanal!M79</f>
        <v>0</v>
      </c>
      <c r="R79" s="36" t="n">
        <f aca="false">P79+Q79</f>
        <v>0</v>
      </c>
      <c r="S79" s="36" t="n">
        <f aca="false">Base_Semanal!N79</f>
        <v>0</v>
      </c>
      <c r="T79" s="36" t="n">
        <f aca="false">Base_Semanal!O79</f>
        <v>0</v>
      </c>
      <c r="U79" s="37" t="str">
        <f aca="false">IF(Base_Semanal!P79=0,"",Base_Semanal!Q79/Base_Semanal!P79)</f>
        <v/>
      </c>
      <c r="V79" s="37" t="str">
        <f aca="false">IF(Base_Semanal!R79=0,"",Base_Semanal!S79/Base_Semanal!R79)</f>
        <v/>
      </c>
      <c r="W79" s="37" t="str">
        <f aca="false">IF(Base_Semanal!P79+Base_Semanal!R79=0,"",(Base_Semanal!Q79+Base_Semanal!S79)/(Base_Semanal!P79+Base_Semanal!R79))</f>
        <v/>
      </c>
      <c r="X79" s="38" t="n">
        <f aca="false">Base_Semanal!T79</f>
        <v>0</v>
      </c>
      <c r="Y79" s="38" t="n">
        <f aca="false">Base_Semanal!U79</f>
        <v>0</v>
      </c>
      <c r="Z79" s="38" t="n">
        <f aca="false">Base_Semanal!V79</f>
        <v>0</v>
      </c>
      <c r="AA79" s="38" t="n">
        <f aca="false">Base_Semanal!W79</f>
        <v>0</v>
      </c>
      <c r="AB79" s="36" t="n">
        <f aca="false">COUNTIFS(Contratos!$B$4:$B$503,$A79,Contratos!$E$4:$E$503,"Avaliação")</f>
        <v>0</v>
      </c>
      <c r="AC79" s="39" t="n">
        <f aca="false">SUMIFS(Contratos!$I$4:$I$503,Contratos!$B$4:$B$503,$A79,Contratos!$E$4:$E$503,"Avaliação")</f>
        <v>0</v>
      </c>
      <c r="AD79" s="36" t="n">
        <f aca="false">COUNTIFS(Contratos!$B$4:$B$503,$A79,Contratos!$E$4:$E$503,"Protocolo")</f>
        <v>0</v>
      </c>
      <c r="AE79" s="39" t="n">
        <f aca="false">SUMIFS(Contratos!$I$4:$I$503,Contratos!$B$4:$B$503,$A79,Contratos!$E$4:$E$503,"Protocolo")</f>
        <v>0</v>
      </c>
      <c r="AF79" s="39" t="n">
        <f aca="false">AC79+AE79</f>
        <v>0</v>
      </c>
      <c r="AG79" s="36" t="n">
        <f aca="false">COUNTIFS(Contratos!$B$4:$B$503,$A79,Contratos!$J$4:$J$503,"À vista")</f>
        <v>0</v>
      </c>
      <c r="AH79" s="36" t="n">
        <f aca="false">COUNTIFS(Contratos!$B$4:$B$503,$A79,Contratos!$J$4:$J$503,"Parcelado")</f>
        <v>0</v>
      </c>
      <c r="AI79" s="39" t="n">
        <f aca="false">SUMIFS(Financeiro!$G$4:$G$503,Financeiro!$B$4:$B$503,$A79,Financeiro!$D$4:$D$503,"Receita",Financeiro!$H$4:$H$503,"&lt;&gt;Cancelado")</f>
        <v>0</v>
      </c>
      <c r="AJ79" s="39" t="n">
        <f aca="false">SUMIFS(Financeiro!$G$4:$G$503,Financeiro!$B$4:$B$503,$A79,Financeiro!$D$4:$D$503,"Gasto",Financeiro!$H$4:$H$503,"&lt;&gt;Cancelado")</f>
        <v>0</v>
      </c>
      <c r="AK79" s="39" t="n">
        <f aca="false">SUMIFS(Financeiro!$G$4:$G$503,Financeiro!$B$4:$B$503,$A79,Financeiro!$D$4:$D$503,"Imposto",Financeiro!$H$4:$H$503,"&lt;&gt;Cancelado")</f>
        <v>0</v>
      </c>
      <c r="AL79" s="39" t="n">
        <f aca="false">SUMIFS(Financeiro!$G$4:$G$503,Financeiro!$B$4:$B$503,$A79,Financeiro!$D$4:$D$503,"Marketing",Financeiro!$H$4:$H$503,"&lt;&gt;Cancelado")</f>
        <v>0</v>
      </c>
      <c r="AM79" s="39" t="n">
        <f aca="false">AI79-AJ79-AK79-AL79</f>
        <v>0</v>
      </c>
      <c r="AN79" s="37" t="n">
        <f aca="false">IF(Config!$B$16=0,"",AI79/Config!$B$16)</f>
        <v>0</v>
      </c>
      <c r="AO79" s="37" t="n">
        <f aca="false">IF(Config!$B$17=0,"",AJ79/Config!$B$17)</f>
        <v>0</v>
      </c>
      <c r="AP79" s="39" t="str">
        <f aca="false">IF(T79=0,"",AL79/T79)</f>
        <v/>
      </c>
      <c r="AQ79" s="39" t="n">
        <f aca="false">SUMIFS($AI$4:$AI$107,$D$4:$D$107,$D79,$B$4:$B$107,"&lt;="&amp;$B79)</f>
        <v>0</v>
      </c>
      <c r="AR79" s="39" t="n">
        <f aca="false">SUMIFS($AJ$4:$AJ$107,$D$4:$D$107,$D79,$B$4:$B$107,"&lt;="&amp;$B79)</f>
        <v>0</v>
      </c>
      <c r="AS79" s="36" t="n">
        <f aca="false">SUMIFS(Leads_Canal!$C$4:$C$503,Leads_Canal!$A$4:$A$503,$A79)</f>
        <v>0</v>
      </c>
      <c r="AT79" s="17" t="str">
        <f aca="false">IF(E79=0,"",IF(E79=AR79,"OK","Divergente"))</f>
        <v/>
      </c>
      <c r="AU79" s="17" t="str">
        <f aca="false">IF(N79=0,"",IF(N79=AD79,"OK","Divergente"))</f>
        <v/>
      </c>
    </row>
    <row r="80" customFormat="false" ht="15" hidden="false" customHeight="false" outlineLevel="0" collapsed="false">
      <c r="A80" s="17" t="str">
        <f aca="false">Base_Semanal!A80</f>
        <v>2027-S25</v>
      </c>
      <c r="B80" s="30" t="n">
        <f aca="false">Base_Semanal!B80</f>
        <v>46559</v>
      </c>
      <c r="C80" s="30" t="n">
        <f aca="false">Base_Semanal!C80</f>
        <v>46565</v>
      </c>
      <c r="D80" s="17" t="str">
        <f aca="false">Base_Semanal!D80</f>
        <v>2027-06</v>
      </c>
      <c r="E80" s="36" t="n">
        <f aca="false">Base_Semanal!E80</f>
        <v>0</v>
      </c>
      <c r="F80" s="36" t="n">
        <f aca="false">Base_Semanal!F80</f>
        <v>0</v>
      </c>
      <c r="G80" s="36" t="n">
        <f aca="false">Base_Semanal!G80</f>
        <v>0</v>
      </c>
      <c r="H80" s="36" t="n">
        <f aca="false">Base_Semanal!H80</f>
        <v>0</v>
      </c>
      <c r="I80" s="36" t="n">
        <f aca="false">Base_Semanal!I80</f>
        <v>0</v>
      </c>
      <c r="J80" s="36" t="n">
        <f aca="false">H80+I80</f>
        <v>0</v>
      </c>
      <c r="K80" s="37" t="str">
        <f aca="false">IF(F80=0,"",G80/F80)</f>
        <v/>
      </c>
      <c r="L80" s="36" t="n">
        <f aca="false">Base_Semanal!J80</f>
        <v>0</v>
      </c>
      <c r="M80" s="36" t="n">
        <f aca="false">Base_Semanal!K80</f>
        <v>0</v>
      </c>
      <c r="N80" s="36" t="n">
        <f aca="false">L80+M80</f>
        <v>0</v>
      </c>
      <c r="O80" s="37" t="str">
        <f aca="false">IF(J80=0,"",N80/J80)</f>
        <v/>
      </c>
      <c r="P80" s="36" t="n">
        <f aca="false">Base_Semanal!L80</f>
        <v>0</v>
      </c>
      <c r="Q80" s="36" t="n">
        <f aca="false">Base_Semanal!M80</f>
        <v>0</v>
      </c>
      <c r="R80" s="36" t="n">
        <f aca="false">P80+Q80</f>
        <v>0</v>
      </c>
      <c r="S80" s="36" t="n">
        <f aca="false">Base_Semanal!N80</f>
        <v>0</v>
      </c>
      <c r="T80" s="36" t="n">
        <f aca="false">Base_Semanal!O80</f>
        <v>0</v>
      </c>
      <c r="U80" s="37" t="str">
        <f aca="false">IF(Base_Semanal!P80=0,"",Base_Semanal!Q80/Base_Semanal!P80)</f>
        <v/>
      </c>
      <c r="V80" s="37" t="str">
        <f aca="false">IF(Base_Semanal!R80=0,"",Base_Semanal!S80/Base_Semanal!R80)</f>
        <v/>
      </c>
      <c r="W80" s="37" t="str">
        <f aca="false">IF(Base_Semanal!P80+Base_Semanal!R80=0,"",(Base_Semanal!Q80+Base_Semanal!S80)/(Base_Semanal!P80+Base_Semanal!R80))</f>
        <v/>
      </c>
      <c r="X80" s="38" t="n">
        <f aca="false">Base_Semanal!T80</f>
        <v>0</v>
      </c>
      <c r="Y80" s="38" t="n">
        <f aca="false">Base_Semanal!U80</f>
        <v>0</v>
      </c>
      <c r="Z80" s="38" t="n">
        <f aca="false">Base_Semanal!V80</f>
        <v>0</v>
      </c>
      <c r="AA80" s="38" t="n">
        <f aca="false">Base_Semanal!W80</f>
        <v>0</v>
      </c>
      <c r="AB80" s="36" t="n">
        <f aca="false">COUNTIFS(Contratos!$B$4:$B$503,$A80,Contratos!$E$4:$E$503,"Avaliação")</f>
        <v>0</v>
      </c>
      <c r="AC80" s="39" t="n">
        <f aca="false">SUMIFS(Contratos!$I$4:$I$503,Contratos!$B$4:$B$503,$A80,Contratos!$E$4:$E$503,"Avaliação")</f>
        <v>0</v>
      </c>
      <c r="AD80" s="36" t="n">
        <f aca="false">COUNTIFS(Contratos!$B$4:$B$503,$A80,Contratos!$E$4:$E$503,"Protocolo")</f>
        <v>0</v>
      </c>
      <c r="AE80" s="39" t="n">
        <f aca="false">SUMIFS(Contratos!$I$4:$I$503,Contratos!$B$4:$B$503,$A80,Contratos!$E$4:$E$503,"Protocolo")</f>
        <v>0</v>
      </c>
      <c r="AF80" s="39" t="n">
        <f aca="false">AC80+AE80</f>
        <v>0</v>
      </c>
      <c r="AG80" s="36" t="n">
        <f aca="false">COUNTIFS(Contratos!$B$4:$B$503,$A80,Contratos!$J$4:$J$503,"À vista")</f>
        <v>0</v>
      </c>
      <c r="AH80" s="36" t="n">
        <f aca="false">COUNTIFS(Contratos!$B$4:$B$503,$A80,Contratos!$J$4:$J$503,"Parcelado")</f>
        <v>0</v>
      </c>
      <c r="AI80" s="39" t="n">
        <f aca="false">SUMIFS(Financeiro!$G$4:$G$503,Financeiro!$B$4:$B$503,$A80,Financeiro!$D$4:$D$503,"Receita",Financeiro!$H$4:$H$503,"&lt;&gt;Cancelado")</f>
        <v>0</v>
      </c>
      <c r="AJ80" s="39" t="n">
        <f aca="false">SUMIFS(Financeiro!$G$4:$G$503,Financeiro!$B$4:$B$503,$A80,Financeiro!$D$4:$D$503,"Gasto",Financeiro!$H$4:$H$503,"&lt;&gt;Cancelado")</f>
        <v>0</v>
      </c>
      <c r="AK80" s="39" t="n">
        <f aca="false">SUMIFS(Financeiro!$G$4:$G$503,Financeiro!$B$4:$B$503,$A80,Financeiro!$D$4:$D$503,"Imposto",Financeiro!$H$4:$H$503,"&lt;&gt;Cancelado")</f>
        <v>0</v>
      </c>
      <c r="AL80" s="39" t="n">
        <f aca="false">SUMIFS(Financeiro!$G$4:$G$503,Financeiro!$B$4:$B$503,$A80,Financeiro!$D$4:$D$503,"Marketing",Financeiro!$H$4:$H$503,"&lt;&gt;Cancelado")</f>
        <v>0</v>
      </c>
      <c r="AM80" s="39" t="n">
        <f aca="false">AI80-AJ80-AK80-AL80</f>
        <v>0</v>
      </c>
      <c r="AN80" s="37" t="n">
        <f aca="false">IF(Config!$B$16=0,"",AI80/Config!$B$16)</f>
        <v>0</v>
      </c>
      <c r="AO80" s="37" t="n">
        <f aca="false">IF(Config!$B$17=0,"",AJ80/Config!$B$17)</f>
        <v>0</v>
      </c>
      <c r="AP80" s="39" t="str">
        <f aca="false">IF(T80=0,"",AL80/T80)</f>
        <v/>
      </c>
      <c r="AQ80" s="39" t="n">
        <f aca="false">SUMIFS($AI$4:$AI$107,$D$4:$D$107,$D80,$B$4:$B$107,"&lt;="&amp;$B80)</f>
        <v>0</v>
      </c>
      <c r="AR80" s="39" t="n">
        <f aca="false">SUMIFS($AJ$4:$AJ$107,$D$4:$D$107,$D80,$B$4:$B$107,"&lt;="&amp;$B80)</f>
        <v>0</v>
      </c>
      <c r="AS80" s="36" t="n">
        <f aca="false">SUMIFS(Leads_Canal!$C$4:$C$503,Leads_Canal!$A$4:$A$503,$A80)</f>
        <v>0</v>
      </c>
      <c r="AT80" s="17" t="str">
        <f aca="false">IF(E80=0,"",IF(E80=AR80,"OK","Divergente"))</f>
        <v/>
      </c>
      <c r="AU80" s="17" t="str">
        <f aca="false">IF(N80=0,"",IF(N80=AD80,"OK","Divergente"))</f>
        <v/>
      </c>
    </row>
    <row r="81" customFormat="false" ht="15" hidden="false" customHeight="false" outlineLevel="0" collapsed="false">
      <c r="A81" s="17" t="str">
        <f aca="false">Base_Semanal!A81</f>
        <v>2027-S26</v>
      </c>
      <c r="B81" s="30" t="n">
        <f aca="false">Base_Semanal!B81</f>
        <v>46566</v>
      </c>
      <c r="C81" s="30" t="n">
        <f aca="false">Base_Semanal!C81</f>
        <v>46572</v>
      </c>
      <c r="D81" s="17" t="str">
        <f aca="false">Base_Semanal!D81</f>
        <v>2027-06</v>
      </c>
      <c r="E81" s="36" t="n">
        <f aca="false">Base_Semanal!E81</f>
        <v>0</v>
      </c>
      <c r="F81" s="36" t="n">
        <f aca="false">Base_Semanal!F81</f>
        <v>0</v>
      </c>
      <c r="G81" s="36" t="n">
        <f aca="false">Base_Semanal!G81</f>
        <v>0</v>
      </c>
      <c r="H81" s="36" t="n">
        <f aca="false">Base_Semanal!H81</f>
        <v>0</v>
      </c>
      <c r="I81" s="36" t="n">
        <f aca="false">Base_Semanal!I81</f>
        <v>0</v>
      </c>
      <c r="J81" s="36" t="n">
        <f aca="false">H81+I81</f>
        <v>0</v>
      </c>
      <c r="K81" s="37" t="str">
        <f aca="false">IF(F81=0,"",G81/F81)</f>
        <v/>
      </c>
      <c r="L81" s="36" t="n">
        <f aca="false">Base_Semanal!J81</f>
        <v>0</v>
      </c>
      <c r="M81" s="36" t="n">
        <f aca="false">Base_Semanal!K81</f>
        <v>0</v>
      </c>
      <c r="N81" s="36" t="n">
        <f aca="false">L81+M81</f>
        <v>0</v>
      </c>
      <c r="O81" s="37" t="str">
        <f aca="false">IF(J81=0,"",N81/J81)</f>
        <v/>
      </c>
      <c r="P81" s="36" t="n">
        <f aca="false">Base_Semanal!L81</f>
        <v>0</v>
      </c>
      <c r="Q81" s="36" t="n">
        <f aca="false">Base_Semanal!M81</f>
        <v>0</v>
      </c>
      <c r="R81" s="36" t="n">
        <f aca="false">P81+Q81</f>
        <v>0</v>
      </c>
      <c r="S81" s="36" t="n">
        <f aca="false">Base_Semanal!N81</f>
        <v>0</v>
      </c>
      <c r="T81" s="36" t="n">
        <f aca="false">Base_Semanal!O81</f>
        <v>0</v>
      </c>
      <c r="U81" s="37" t="str">
        <f aca="false">IF(Base_Semanal!P81=0,"",Base_Semanal!Q81/Base_Semanal!P81)</f>
        <v/>
      </c>
      <c r="V81" s="37" t="str">
        <f aca="false">IF(Base_Semanal!R81=0,"",Base_Semanal!S81/Base_Semanal!R81)</f>
        <v/>
      </c>
      <c r="W81" s="37" t="str">
        <f aca="false">IF(Base_Semanal!P81+Base_Semanal!R81=0,"",(Base_Semanal!Q81+Base_Semanal!S81)/(Base_Semanal!P81+Base_Semanal!R81))</f>
        <v/>
      </c>
      <c r="X81" s="38" t="n">
        <f aca="false">Base_Semanal!T81</f>
        <v>0</v>
      </c>
      <c r="Y81" s="38" t="n">
        <f aca="false">Base_Semanal!U81</f>
        <v>0</v>
      </c>
      <c r="Z81" s="38" t="n">
        <f aca="false">Base_Semanal!V81</f>
        <v>0</v>
      </c>
      <c r="AA81" s="38" t="n">
        <f aca="false">Base_Semanal!W81</f>
        <v>0</v>
      </c>
      <c r="AB81" s="36" t="n">
        <f aca="false">COUNTIFS(Contratos!$B$4:$B$503,$A81,Contratos!$E$4:$E$503,"Avaliação")</f>
        <v>0</v>
      </c>
      <c r="AC81" s="39" t="n">
        <f aca="false">SUMIFS(Contratos!$I$4:$I$503,Contratos!$B$4:$B$503,$A81,Contratos!$E$4:$E$503,"Avaliação")</f>
        <v>0</v>
      </c>
      <c r="AD81" s="36" t="n">
        <f aca="false">COUNTIFS(Contratos!$B$4:$B$503,$A81,Contratos!$E$4:$E$503,"Protocolo")</f>
        <v>0</v>
      </c>
      <c r="AE81" s="39" t="n">
        <f aca="false">SUMIFS(Contratos!$I$4:$I$503,Contratos!$B$4:$B$503,$A81,Contratos!$E$4:$E$503,"Protocolo")</f>
        <v>0</v>
      </c>
      <c r="AF81" s="39" t="n">
        <f aca="false">AC81+AE81</f>
        <v>0</v>
      </c>
      <c r="AG81" s="36" t="n">
        <f aca="false">COUNTIFS(Contratos!$B$4:$B$503,$A81,Contratos!$J$4:$J$503,"À vista")</f>
        <v>0</v>
      </c>
      <c r="AH81" s="36" t="n">
        <f aca="false">COUNTIFS(Contratos!$B$4:$B$503,$A81,Contratos!$J$4:$J$503,"Parcelado")</f>
        <v>0</v>
      </c>
      <c r="AI81" s="39" t="n">
        <f aca="false">SUMIFS(Financeiro!$G$4:$G$503,Financeiro!$B$4:$B$503,$A81,Financeiro!$D$4:$D$503,"Receita",Financeiro!$H$4:$H$503,"&lt;&gt;Cancelado")</f>
        <v>0</v>
      </c>
      <c r="AJ81" s="39" t="n">
        <f aca="false">SUMIFS(Financeiro!$G$4:$G$503,Financeiro!$B$4:$B$503,$A81,Financeiro!$D$4:$D$503,"Gasto",Financeiro!$H$4:$H$503,"&lt;&gt;Cancelado")</f>
        <v>0</v>
      </c>
      <c r="AK81" s="39" t="n">
        <f aca="false">SUMIFS(Financeiro!$G$4:$G$503,Financeiro!$B$4:$B$503,$A81,Financeiro!$D$4:$D$503,"Imposto",Financeiro!$H$4:$H$503,"&lt;&gt;Cancelado")</f>
        <v>0</v>
      </c>
      <c r="AL81" s="39" t="n">
        <f aca="false">SUMIFS(Financeiro!$G$4:$G$503,Financeiro!$B$4:$B$503,$A81,Financeiro!$D$4:$D$503,"Marketing",Financeiro!$H$4:$H$503,"&lt;&gt;Cancelado")</f>
        <v>0</v>
      </c>
      <c r="AM81" s="39" t="n">
        <f aca="false">AI81-AJ81-AK81-AL81</f>
        <v>0</v>
      </c>
      <c r="AN81" s="37" t="n">
        <f aca="false">IF(Config!$B$16=0,"",AI81/Config!$B$16)</f>
        <v>0</v>
      </c>
      <c r="AO81" s="37" t="n">
        <f aca="false">IF(Config!$B$17=0,"",AJ81/Config!$B$17)</f>
        <v>0</v>
      </c>
      <c r="AP81" s="39" t="str">
        <f aca="false">IF(T81=0,"",AL81/T81)</f>
        <v/>
      </c>
      <c r="AQ81" s="39" t="n">
        <f aca="false">SUMIFS($AI$4:$AI$107,$D$4:$D$107,$D81,$B$4:$B$107,"&lt;="&amp;$B81)</f>
        <v>0</v>
      </c>
      <c r="AR81" s="39" t="n">
        <f aca="false">SUMIFS($AJ$4:$AJ$107,$D$4:$D$107,$D81,$B$4:$B$107,"&lt;="&amp;$B81)</f>
        <v>0</v>
      </c>
      <c r="AS81" s="36" t="n">
        <f aca="false">SUMIFS(Leads_Canal!$C$4:$C$503,Leads_Canal!$A$4:$A$503,$A81)</f>
        <v>0</v>
      </c>
      <c r="AT81" s="17" t="str">
        <f aca="false">IF(E81=0,"",IF(E81=AR81,"OK","Divergente"))</f>
        <v/>
      </c>
      <c r="AU81" s="17" t="str">
        <f aca="false">IF(N81=0,"",IF(N81=AD81,"OK","Divergente"))</f>
        <v/>
      </c>
    </row>
    <row r="82" customFormat="false" ht="15" hidden="false" customHeight="false" outlineLevel="0" collapsed="false">
      <c r="A82" s="17" t="str">
        <f aca="false">Base_Semanal!A82</f>
        <v>2027-S27</v>
      </c>
      <c r="B82" s="30" t="n">
        <f aca="false">Base_Semanal!B82</f>
        <v>46573</v>
      </c>
      <c r="C82" s="30" t="n">
        <f aca="false">Base_Semanal!C82</f>
        <v>46579</v>
      </c>
      <c r="D82" s="17" t="str">
        <f aca="false">Base_Semanal!D82</f>
        <v>2027-07</v>
      </c>
      <c r="E82" s="36" t="n">
        <f aca="false">Base_Semanal!E82</f>
        <v>0</v>
      </c>
      <c r="F82" s="36" t="n">
        <f aca="false">Base_Semanal!F82</f>
        <v>0</v>
      </c>
      <c r="G82" s="36" t="n">
        <f aca="false">Base_Semanal!G82</f>
        <v>0</v>
      </c>
      <c r="H82" s="36" t="n">
        <f aca="false">Base_Semanal!H82</f>
        <v>0</v>
      </c>
      <c r="I82" s="36" t="n">
        <f aca="false">Base_Semanal!I82</f>
        <v>0</v>
      </c>
      <c r="J82" s="36" t="n">
        <f aca="false">H82+I82</f>
        <v>0</v>
      </c>
      <c r="K82" s="37" t="str">
        <f aca="false">IF(F82=0,"",G82/F82)</f>
        <v/>
      </c>
      <c r="L82" s="36" t="n">
        <f aca="false">Base_Semanal!J82</f>
        <v>0</v>
      </c>
      <c r="M82" s="36" t="n">
        <f aca="false">Base_Semanal!K82</f>
        <v>0</v>
      </c>
      <c r="N82" s="36" t="n">
        <f aca="false">L82+M82</f>
        <v>0</v>
      </c>
      <c r="O82" s="37" t="str">
        <f aca="false">IF(J82=0,"",N82/J82)</f>
        <v/>
      </c>
      <c r="P82" s="36" t="n">
        <f aca="false">Base_Semanal!L82</f>
        <v>0</v>
      </c>
      <c r="Q82" s="36" t="n">
        <f aca="false">Base_Semanal!M82</f>
        <v>0</v>
      </c>
      <c r="R82" s="36" t="n">
        <f aca="false">P82+Q82</f>
        <v>0</v>
      </c>
      <c r="S82" s="36" t="n">
        <f aca="false">Base_Semanal!N82</f>
        <v>0</v>
      </c>
      <c r="T82" s="36" t="n">
        <f aca="false">Base_Semanal!O82</f>
        <v>0</v>
      </c>
      <c r="U82" s="37" t="str">
        <f aca="false">IF(Base_Semanal!P82=0,"",Base_Semanal!Q82/Base_Semanal!P82)</f>
        <v/>
      </c>
      <c r="V82" s="37" t="str">
        <f aca="false">IF(Base_Semanal!R82=0,"",Base_Semanal!S82/Base_Semanal!R82)</f>
        <v/>
      </c>
      <c r="W82" s="37" t="str">
        <f aca="false">IF(Base_Semanal!P82+Base_Semanal!R82=0,"",(Base_Semanal!Q82+Base_Semanal!S82)/(Base_Semanal!P82+Base_Semanal!R82))</f>
        <v/>
      </c>
      <c r="X82" s="38" t="n">
        <f aca="false">Base_Semanal!T82</f>
        <v>0</v>
      </c>
      <c r="Y82" s="38" t="n">
        <f aca="false">Base_Semanal!U82</f>
        <v>0</v>
      </c>
      <c r="Z82" s="38" t="n">
        <f aca="false">Base_Semanal!V82</f>
        <v>0</v>
      </c>
      <c r="AA82" s="38" t="n">
        <f aca="false">Base_Semanal!W82</f>
        <v>0</v>
      </c>
      <c r="AB82" s="36" t="n">
        <f aca="false">COUNTIFS(Contratos!$B$4:$B$503,$A82,Contratos!$E$4:$E$503,"Avaliação")</f>
        <v>0</v>
      </c>
      <c r="AC82" s="39" t="n">
        <f aca="false">SUMIFS(Contratos!$I$4:$I$503,Contratos!$B$4:$B$503,$A82,Contratos!$E$4:$E$503,"Avaliação")</f>
        <v>0</v>
      </c>
      <c r="AD82" s="36" t="n">
        <f aca="false">COUNTIFS(Contratos!$B$4:$B$503,$A82,Contratos!$E$4:$E$503,"Protocolo")</f>
        <v>0</v>
      </c>
      <c r="AE82" s="39" t="n">
        <f aca="false">SUMIFS(Contratos!$I$4:$I$503,Contratos!$B$4:$B$503,$A82,Contratos!$E$4:$E$503,"Protocolo")</f>
        <v>0</v>
      </c>
      <c r="AF82" s="39" t="n">
        <f aca="false">AC82+AE82</f>
        <v>0</v>
      </c>
      <c r="AG82" s="36" t="n">
        <f aca="false">COUNTIFS(Contratos!$B$4:$B$503,$A82,Contratos!$J$4:$J$503,"À vista")</f>
        <v>0</v>
      </c>
      <c r="AH82" s="36" t="n">
        <f aca="false">COUNTIFS(Contratos!$B$4:$B$503,$A82,Contratos!$J$4:$J$503,"Parcelado")</f>
        <v>0</v>
      </c>
      <c r="AI82" s="39" t="n">
        <f aca="false">SUMIFS(Financeiro!$G$4:$G$503,Financeiro!$B$4:$B$503,$A82,Financeiro!$D$4:$D$503,"Receita",Financeiro!$H$4:$H$503,"&lt;&gt;Cancelado")</f>
        <v>0</v>
      </c>
      <c r="AJ82" s="39" t="n">
        <f aca="false">SUMIFS(Financeiro!$G$4:$G$503,Financeiro!$B$4:$B$503,$A82,Financeiro!$D$4:$D$503,"Gasto",Financeiro!$H$4:$H$503,"&lt;&gt;Cancelado")</f>
        <v>0</v>
      </c>
      <c r="AK82" s="39" t="n">
        <f aca="false">SUMIFS(Financeiro!$G$4:$G$503,Financeiro!$B$4:$B$503,$A82,Financeiro!$D$4:$D$503,"Imposto",Financeiro!$H$4:$H$503,"&lt;&gt;Cancelado")</f>
        <v>0</v>
      </c>
      <c r="AL82" s="39" t="n">
        <f aca="false">SUMIFS(Financeiro!$G$4:$G$503,Financeiro!$B$4:$B$503,$A82,Financeiro!$D$4:$D$503,"Marketing",Financeiro!$H$4:$H$503,"&lt;&gt;Cancelado")</f>
        <v>0</v>
      </c>
      <c r="AM82" s="39" t="n">
        <f aca="false">AI82-AJ82-AK82-AL82</f>
        <v>0</v>
      </c>
      <c r="AN82" s="37" t="n">
        <f aca="false">IF(Config!$B$16=0,"",AI82/Config!$B$16)</f>
        <v>0</v>
      </c>
      <c r="AO82" s="37" t="n">
        <f aca="false">IF(Config!$B$17=0,"",AJ82/Config!$B$17)</f>
        <v>0</v>
      </c>
      <c r="AP82" s="39" t="str">
        <f aca="false">IF(T82=0,"",AL82/T82)</f>
        <v/>
      </c>
      <c r="AQ82" s="39" t="n">
        <f aca="false">SUMIFS($AI$4:$AI$107,$D$4:$D$107,$D82,$B$4:$B$107,"&lt;="&amp;$B82)</f>
        <v>0</v>
      </c>
      <c r="AR82" s="39" t="n">
        <f aca="false">SUMIFS($AJ$4:$AJ$107,$D$4:$D$107,$D82,$B$4:$B$107,"&lt;="&amp;$B82)</f>
        <v>0</v>
      </c>
      <c r="AS82" s="36" t="n">
        <f aca="false">SUMIFS(Leads_Canal!$C$4:$C$503,Leads_Canal!$A$4:$A$503,$A82)</f>
        <v>0</v>
      </c>
      <c r="AT82" s="17" t="str">
        <f aca="false">IF(E82=0,"",IF(E82=AR82,"OK","Divergente"))</f>
        <v/>
      </c>
      <c r="AU82" s="17" t="str">
        <f aca="false">IF(N82=0,"",IF(N82=AD82,"OK","Divergente"))</f>
        <v/>
      </c>
    </row>
    <row r="83" customFormat="false" ht="15" hidden="false" customHeight="false" outlineLevel="0" collapsed="false">
      <c r="A83" s="17" t="str">
        <f aca="false">Base_Semanal!A83</f>
        <v>2027-S28</v>
      </c>
      <c r="B83" s="30" t="n">
        <f aca="false">Base_Semanal!B83</f>
        <v>46580</v>
      </c>
      <c r="C83" s="30" t="n">
        <f aca="false">Base_Semanal!C83</f>
        <v>46586</v>
      </c>
      <c r="D83" s="17" t="str">
        <f aca="false">Base_Semanal!D83</f>
        <v>2027-07</v>
      </c>
      <c r="E83" s="36" t="n">
        <f aca="false">Base_Semanal!E83</f>
        <v>0</v>
      </c>
      <c r="F83" s="36" t="n">
        <f aca="false">Base_Semanal!F83</f>
        <v>0</v>
      </c>
      <c r="G83" s="36" t="n">
        <f aca="false">Base_Semanal!G83</f>
        <v>0</v>
      </c>
      <c r="H83" s="36" t="n">
        <f aca="false">Base_Semanal!H83</f>
        <v>0</v>
      </c>
      <c r="I83" s="36" t="n">
        <f aca="false">Base_Semanal!I83</f>
        <v>0</v>
      </c>
      <c r="J83" s="36" t="n">
        <f aca="false">H83+I83</f>
        <v>0</v>
      </c>
      <c r="K83" s="37" t="str">
        <f aca="false">IF(F83=0,"",G83/F83)</f>
        <v/>
      </c>
      <c r="L83" s="36" t="n">
        <f aca="false">Base_Semanal!J83</f>
        <v>0</v>
      </c>
      <c r="M83" s="36" t="n">
        <f aca="false">Base_Semanal!K83</f>
        <v>0</v>
      </c>
      <c r="N83" s="36" t="n">
        <f aca="false">L83+M83</f>
        <v>0</v>
      </c>
      <c r="O83" s="37" t="str">
        <f aca="false">IF(J83=0,"",N83/J83)</f>
        <v/>
      </c>
      <c r="P83" s="36" t="n">
        <f aca="false">Base_Semanal!L83</f>
        <v>0</v>
      </c>
      <c r="Q83" s="36" t="n">
        <f aca="false">Base_Semanal!M83</f>
        <v>0</v>
      </c>
      <c r="R83" s="36" t="n">
        <f aca="false">P83+Q83</f>
        <v>0</v>
      </c>
      <c r="S83" s="36" t="n">
        <f aca="false">Base_Semanal!N83</f>
        <v>0</v>
      </c>
      <c r="T83" s="36" t="n">
        <f aca="false">Base_Semanal!O83</f>
        <v>0</v>
      </c>
      <c r="U83" s="37" t="str">
        <f aca="false">IF(Base_Semanal!P83=0,"",Base_Semanal!Q83/Base_Semanal!P83)</f>
        <v/>
      </c>
      <c r="V83" s="37" t="str">
        <f aca="false">IF(Base_Semanal!R83=0,"",Base_Semanal!S83/Base_Semanal!R83)</f>
        <v/>
      </c>
      <c r="W83" s="37" t="str">
        <f aca="false">IF(Base_Semanal!P83+Base_Semanal!R83=0,"",(Base_Semanal!Q83+Base_Semanal!S83)/(Base_Semanal!P83+Base_Semanal!R83))</f>
        <v/>
      </c>
      <c r="X83" s="38" t="n">
        <f aca="false">Base_Semanal!T83</f>
        <v>0</v>
      </c>
      <c r="Y83" s="38" t="n">
        <f aca="false">Base_Semanal!U83</f>
        <v>0</v>
      </c>
      <c r="Z83" s="38" t="n">
        <f aca="false">Base_Semanal!V83</f>
        <v>0</v>
      </c>
      <c r="AA83" s="38" t="n">
        <f aca="false">Base_Semanal!W83</f>
        <v>0</v>
      </c>
      <c r="AB83" s="36" t="n">
        <f aca="false">COUNTIFS(Contratos!$B$4:$B$503,$A83,Contratos!$E$4:$E$503,"Avaliação")</f>
        <v>0</v>
      </c>
      <c r="AC83" s="39" t="n">
        <f aca="false">SUMIFS(Contratos!$I$4:$I$503,Contratos!$B$4:$B$503,$A83,Contratos!$E$4:$E$503,"Avaliação")</f>
        <v>0</v>
      </c>
      <c r="AD83" s="36" t="n">
        <f aca="false">COUNTIFS(Contratos!$B$4:$B$503,$A83,Contratos!$E$4:$E$503,"Protocolo")</f>
        <v>0</v>
      </c>
      <c r="AE83" s="39" t="n">
        <f aca="false">SUMIFS(Contratos!$I$4:$I$503,Contratos!$B$4:$B$503,$A83,Contratos!$E$4:$E$503,"Protocolo")</f>
        <v>0</v>
      </c>
      <c r="AF83" s="39" t="n">
        <f aca="false">AC83+AE83</f>
        <v>0</v>
      </c>
      <c r="AG83" s="36" t="n">
        <f aca="false">COUNTIFS(Contratos!$B$4:$B$503,$A83,Contratos!$J$4:$J$503,"À vista")</f>
        <v>0</v>
      </c>
      <c r="AH83" s="36" t="n">
        <f aca="false">COUNTIFS(Contratos!$B$4:$B$503,$A83,Contratos!$J$4:$J$503,"Parcelado")</f>
        <v>0</v>
      </c>
      <c r="AI83" s="39" t="n">
        <f aca="false">SUMIFS(Financeiro!$G$4:$G$503,Financeiro!$B$4:$B$503,$A83,Financeiro!$D$4:$D$503,"Receita",Financeiro!$H$4:$H$503,"&lt;&gt;Cancelado")</f>
        <v>0</v>
      </c>
      <c r="AJ83" s="39" t="n">
        <f aca="false">SUMIFS(Financeiro!$G$4:$G$503,Financeiro!$B$4:$B$503,$A83,Financeiro!$D$4:$D$503,"Gasto",Financeiro!$H$4:$H$503,"&lt;&gt;Cancelado")</f>
        <v>0</v>
      </c>
      <c r="AK83" s="39" t="n">
        <f aca="false">SUMIFS(Financeiro!$G$4:$G$503,Financeiro!$B$4:$B$503,$A83,Financeiro!$D$4:$D$503,"Imposto",Financeiro!$H$4:$H$503,"&lt;&gt;Cancelado")</f>
        <v>0</v>
      </c>
      <c r="AL83" s="39" t="n">
        <f aca="false">SUMIFS(Financeiro!$G$4:$G$503,Financeiro!$B$4:$B$503,$A83,Financeiro!$D$4:$D$503,"Marketing",Financeiro!$H$4:$H$503,"&lt;&gt;Cancelado")</f>
        <v>0</v>
      </c>
      <c r="AM83" s="39" t="n">
        <f aca="false">AI83-AJ83-AK83-AL83</f>
        <v>0</v>
      </c>
      <c r="AN83" s="37" t="n">
        <f aca="false">IF(Config!$B$16=0,"",AI83/Config!$B$16)</f>
        <v>0</v>
      </c>
      <c r="AO83" s="37" t="n">
        <f aca="false">IF(Config!$B$17=0,"",AJ83/Config!$B$17)</f>
        <v>0</v>
      </c>
      <c r="AP83" s="39" t="str">
        <f aca="false">IF(T83=0,"",AL83/T83)</f>
        <v/>
      </c>
      <c r="AQ83" s="39" t="n">
        <f aca="false">SUMIFS($AI$4:$AI$107,$D$4:$D$107,$D83,$B$4:$B$107,"&lt;="&amp;$B83)</f>
        <v>0</v>
      </c>
      <c r="AR83" s="39" t="n">
        <f aca="false">SUMIFS($AJ$4:$AJ$107,$D$4:$D$107,$D83,$B$4:$B$107,"&lt;="&amp;$B83)</f>
        <v>0</v>
      </c>
      <c r="AS83" s="36" t="n">
        <f aca="false">SUMIFS(Leads_Canal!$C$4:$C$503,Leads_Canal!$A$4:$A$503,$A83)</f>
        <v>0</v>
      </c>
      <c r="AT83" s="17" t="str">
        <f aca="false">IF(E83=0,"",IF(E83=AR83,"OK","Divergente"))</f>
        <v/>
      </c>
      <c r="AU83" s="17" t="str">
        <f aca="false">IF(N83=0,"",IF(N83=AD83,"OK","Divergente"))</f>
        <v/>
      </c>
    </row>
    <row r="84" customFormat="false" ht="15" hidden="false" customHeight="false" outlineLevel="0" collapsed="false">
      <c r="A84" s="17" t="str">
        <f aca="false">Base_Semanal!A84</f>
        <v>2027-S29</v>
      </c>
      <c r="B84" s="30" t="n">
        <f aca="false">Base_Semanal!B84</f>
        <v>46587</v>
      </c>
      <c r="C84" s="30" t="n">
        <f aca="false">Base_Semanal!C84</f>
        <v>46593</v>
      </c>
      <c r="D84" s="17" t="str">
        <f aca="false">Base_Semanal!D84</f>
        <v>2027-07</v>
      </c>
      <c r="E84" s="36" t="n">
        <f aca="false">Base_Semanal!E84</f>
        <v>0</v>
      </c>
      <c r="F84" s="36" t="n">
        <f aca="false">Base_Semanal!F84</f>
        <v>0</v>
      </c>
      <c r="G84" s="36" t="n">
        <f aca="false">Base_Semanal!G84</f>
        <v>0</v>
      </c>
      <c r="H84" s="36" t="n">
        <f aca="false">Base_Semanal!H84</f>
        <v>0</v>
      </c>
      <c r="I84" s="36" t="n">
        <f aca="false">Base_Semanal!I84</f>
        <v>0</v>
      </c>
      <c r="J84" s="36" t="n">
        <f aca="false">H84+I84</f>
        <v>0</v>
      </c>
      <c r="K84" s="37" t="str">
        <f aca="false">IF(F84=0,"",G84/F84)</f>
        <v/>
      </c>
      <c r="L84" s="36" t="n">
        <f aca="false">Base_Semanal!J84</f>
        <v>0</v>
      </c>
      <c r="M84" s="36" t="n">
        <f aca="false">Base_Semanal!K84</f>
        <v>0</v>
      </c>
      <c r="N84" s="36" t="n">
        <f aca="false">L84+M84</f>
        <v>0</v>
      </c>
      <c r="O84" s="37" t="str">
        <f aca="false">IF(J84=0,"",N84/J84)</f>
        <v/>
      </c>
      <c r="P84" s="36" t="n">
        <f aca="false">Base_Semanal!L84</f>
        <v>0</v>
      </c>
      <c r="Q84" s="36" t="n">
        <f aca="false">Base_Semanal!M84</f>
        <v>0</v>
      </c>
      <c r="R84" s="36" t="n">
        <f aca="false">P84+Q84</f>
        <v>0</v>
      </c>
      <c r="S84" s="36" t="n">
        <f aca="false">Base_Semanal!N84</f>
        <v>0</v>
      </c>
      <c r="T84" s="36" t="n">
        <f aca="false">Base_Semanal!O84</f>
        <v>0</v>
      </c>
      <c r="U84" s="37" t="str">
        <f aca="false">IF(Base_Semanal!P84=0,"",Base_Semanal!Q84/Base_Semanal!P84)</f>
        <v/>
      </c>
      <c r="V84" s="37" t="str">
        <f aca="false">IF(Base_Semanal!R84=0,"",Base_Semanal!S84/Base_Semanal!R84)</f>
        <v/>
      </c>
      <c r="W84" s="37" t="str">
        <f aca="false">IF(Base_Semanal!P84+Base_Semanal!R84=0,"",(Base_Semanal!Q84+Base_Semanal!S84)/(Base_Semanal!P84+Base_Semanal!R84))</f>
        <v/>
      </c>
      <c r="X84" s="38" t="n">
        <f aca="false">Base_Semanal!T84</f>
        <v>0</v>
      </c>
      <c r="Y84" s="38" t="n">
        <f aca="false">Base_Semanal!U84</f>
        <v>0</v>
      </c>
      <c r="Z84" s="38" t="n">
        <f aca="false">Base_Semanal!V84</f>
        <v>0</v>
      </c>
      <c r="AA84" s="38" t="n">
        <f aca="false">Base_Semanal!W84</f>
        <v>0</v>
      </c>
      <c r="AB84" s="36" t="n">
        <f aca="false">COUNTIFS(Contratos!$B$4:$B$503,$A84,Contratos!$E$4:$E$503,"Avaliação")</f>
        <v>0</v>
      </c>
      <c r="AC84" s="39" t="n">
        <f aca="false">SUMIFS(Contratos!$I$4:$I$503,Contratos!$B$4:$B$503,$A84,Contratos!$E$4:$E$503,"Avaliação")</f>
        <v>0</v>
      </c>
      <c r="AD84" s="36" t="n">
        <f aca="false">COUNTIFS(Contratos!$B$4:$B$503,$A84,Contratos!$E$4:$E$503,"Protocolo")</f>
        <v>0</v>
      </c>
      <c r="AE84" s="39" t="n">
        <f aca="false">SUMIFS(Contratos!$I$4:$I$503,Contratos!$B$4:$B$503,$A84,Contratos!$E$4:$E$503,"Protocolo")</f>
        <v>0</v>
      </c>
      <c r="AF84" s="39" t="n">
        <f aca="false">AC84+AE84</f>
        <v>0</v>
      </c>
      <c r="AG84" s="36" t="n">
        <f aca="false">COUNTIFS(Contratos!$B$4:$B$503,$A84,Contratos!$J$4:$J$503,"À vista")</f>
        <v>0</v>
      </c>
      <c r="AH84" s="36" t="n">
        <f aca="false">COUNTIFS(Contratos!$B$4:$B$503,$A84,Contratos!$J$4:$J$503,"Parcelado")</f>
        <v>0</v>
      </c>
      <c r="AI84" s="39" t="n">
        <f aca="false">SUMIFS(Financeiro!$G$4:$G$503,Financeiro!$B$4:$B$503,$A84,Financeiro!$D$4:$D$503,"Receita",Financeiro!$H$4:$H$503,"&lt;&gt;Cancelado")</f>
        <v>0</v>
      </c>
      <c r="AJ84" s="39" t="n">
        <f aca="false">SUMIFS(Financeiro!$G$4:$G$503,Financeiro!$B$4:$B$503,$A84,Financeiro!$D$4:$D$503,"Gasto",Financeiro!$H$4:$H$503,"&lt;&gt;Cancelado")</f>
        <v>0</v>
      </c>
      <c r="AK84" s="39" t="n">
        <f aca="false">SUMIFS(Financeiro!$G$4:$G$503,Financeiro!$B$4:$B$503,$A84,Financeiro!$D$4:$D$503,"Imposto",Financeiro!$H$4:$H$503,"&lt;&gt;Cancelado")</f>
        <v>0</v>
      </c>
      <c r="AL84" s="39" t="n">
        <f aca="false">SUMIFS(Financeiro!$G$4:$G$503,Financeiro!$B$4:$B$503,$A84,Financeiro!$D$4:$D$503,"Marketing",Financeiro!$H$4:$H$503,"&lt;&gt;Cancelado")</f>
        <v>0</v>
      </c>
      <c r="AM84" s="39" t="n">
        <f aca="false">AI84-AJ84-AK84-AL84</f>
        <v>0</v>
      </c>
      <c r="AN84" s="37" t="n">
        <f aca="false">IF(Config!$B$16=0,"",AI84/Config!$B$16)</f>
        <v>0</v>
      </c>
      <c r="AO84" s="37" t="n">
        <f aca="false">IF(Config!$B$17=0,"",AJ84/Config!$B$17)</f>
        <v>0</v>
      </c>
      <c r="AP84" s="39" t="str">
        <f aca="false">IF(T84=0,"",AL84/T84)</f>
        <v/>
      </c>
      <c r="AQ84" s="39" t="n">
        <f aca="false">SUMIFS($AI$4:$AI$107,$D$4:$D$107,$D84,$B$4:$B$107,"&lt;="&amp;$B84)</f>
        <v>0</v>
      </c>
      <c r="AR84" s="39" t="n">
        <f aca="false">SUMIFS($AJ$4:$AJ$107,$D$4:$D$107,$D84,$B$4:$B$107,"&lt;="&amp;$B84)</f>
        <v>0</v>
      </c>
      <c r="AS84" s="36" t="n">
        <f aca="false">SUMIFS(Leads_Canal!$C$4:$C$503,Leads_Canal!$A$4:$A$503,$A84)</f>
        <v>0</v>
      </c>
      <c r="AT84" s="17" t="str">
        <f aca="false">IF(E84=0,"",IF(E84=AR84,"OK","Divergente"))</f>
        <v/>
      </c>
      <c r="AU84" s="17" t="str">
        <f aca="false">IF(N84=0,"",IF(N84=AD84,"OK","Divergente"))</f>
        <v/>
      </c>
    </row>
    <row r="85" customFormat="false" ht="15" hidden="false" customHeight="false" outlineLevel="0" collapsed="false">
      <c r="A85" s="17" t="str">
        <f aca="false">Base_Semanal!A85</f>
        <v>2027-S30</v>
      </c>
      <c r="B85" s="30" t="n">
        <f aca="false">Base_Semanal!B85</f>
        <v>46594</v>
      </c>
      <c r="C85" s="30" t="n">
        <f aca="false">Base_Semanal!C85</f>
        <v>46600</v>
      </c>
      <c r="D85" s="17" t="str">
        <f aca="false">Base_Semanal!D85</f>
        <v>2027-07</v>
      </c>
      <c r="E85" s="36" t="n">
        <f aca="false">Base_Semanal!E85</f>
        <v>0</v>
      </c>
      <c r="F85" s="36" t="n">
        <f aca="false">Base_Semanal!F85</f>
        <v>0</v>
      </c>
      <c r="G85" s="36" t="n">
        <f aca="false">Base_Semanal!G85</f>
        <v>0</v>
      </c>
      <c r="H85" s="36" t="n">
        <f aca="false">Base_Semanal!H85</f>
        <v>0</v>
      </c>
      <c r="I85" s="36" t="n">
        <f aca="false">Base_Semanal!I85</f>
        <v>0</v>
      </c>
      <c r="J85" s="36" t="n">
        <f aca="false">H85+I85</f>
        <v>0</v>
      </c>
      <c r="K85" s="37" t="str">
        <f aca="false">IF(F85=0,"",G85/F85)</f>
        <v/>
      </c>
      <c r="L85" s="36" t="n">
        <f aca="false">Base_Semanal!J85</f>
        <v>0</v>
      </c>
      <c r="M85" s="36" t="n">
        <f aca="false">Base_Semanal!K85</f>
        <v>0</v>
      </c>
      <c r="N85" s="36" t="n">
        <f aca="false">L85+M85</f>
        <v>0</v>
      </c>
      <c r="O85" s="37" t="str">
        <f aca="false">IF(J85=0,"",N85/J85)</f>
        <v/>
      </c>
      <c r="P85" s="36" t="n">
        <f aca="false">Base_Semanal!L85</f>
        <v>0</v>
      </c>
      <c r="Q85" s="36" t="n">
        <f aca="false">Base_Semanal!M85</f>
        <v>0</v>
      </c>
      <c r="R85" s="36" t="n">
        <f aca="false">P85+Q85</f>
        <v>0</v>
      </c>
      <c r="S85" s="36" t="n">
        <f aca="false">Base_Semanal!N85</f>
        <v>0</v>
      </c>
      <c r="T85" s="36" t="n">
        <f aca="false">Base_Semanal!O85</f>
        <v>0</v>
      </c>
      <c r="U85" s="37" t="str">
        <f aca="false">IF(Base_Semanal!P85=0,"",Base_Semanal!Q85/Base_Semanal!P85)</f>
        <v/>
      </c>
      <c r="V85" s="37" t="str">
        <f aca="false">IF(Base_Semanal!R85=0,"",Base_Semanal!S85/Base_Semanal!R85)</f>
        <v/>
      </c>
      <c r="W85" s="37" t="str">
        <f aca="false">IF(Base_Semanal!P85+Base_Semanal!R85=0,"",(Base_Semanal!Q85+Base_Semanal!S85)/(Base_Semanal!P85+Base_Semanal!R85))</f>
        <v/>
      </c>
      <c r="X85" s="38" t="n">
        <f aca="false">Base_Semanal!T85</f>
        <v>0</v>
      </c>
      <c r="Y85" s="38" t="n">
        <f aca="false">Base_Semanal!U85</f>
        <v>0</v>
      </c>
      <c r="Z85" s="38" t="n">
        <f aca="false">Base_Semanal!V85</f>
        <v>0</v>
      </c>
      <c r="AA85" s="38" t="n">
        <f aca="false">Base_Semanal!W85</f>
        <v>0</v>
      </c>
      <c r="AB85" s="36" t="n">
        <f aca="false">COUNTIFS(Contratos!$B$4:$B$503,$A85,Contratos!$E$4:$E$503,"Avaliação")</f>
        <v>0</v>
      </c>
      <c r="AC85" s="39" t="n">
        <f aca="false">SUMIFS(Contratos!$I$4:$I$503,Contratos!$B$4:$B$503,$A85,Contratos!$E$4:$E$503,"Avaliação")</f>
        <v>0</v>
      </c>
      <c r="AD85" s="36" t="n">
        <f aca="false">COUNTIFS(Contratos!$B$4:$B$503,$A85,Contratos!$E$4:$E$503,"Protocolo")</f>
        <v>0</v>
      </c>
      <c r="AE85" s="39" t="n">
        <f aca="false">SUMIFS(Contratos!$I$4:$I$503,Contratos!$B$4:$B$503,$A85,Contratos!$E$4:$E$503,"Protocolo")</f>
        <v>0</v>
      </c>
      <c r="AF85" s="39" t="n">
        <f aca="false">AC85+AE85</f>
        <v>0</v>
      </c>
      <c r="AG85" s="36" t="n">
        <f aca="false">COUNTIFS(Contratos!$B$4:$B$503,$A85,Contratos!$J$4:$J$503,"À vista")</f>
        <v>0</v>
      </c>
      <c r="AH85" s="36" t="n">
        <f aca="false">COUNTIFS(Contratos!$B$4:$B$503,$A85,Contratos!$J$4:$J$503,"Parcelado")</f>
        <v>0</v>
      </c>
      <c r="AI85" s="39" t="n">
        <f aca="false">SUMIFS(Financeiro!$G$4:$G$503,Financeiro!$B$4:$B$503,$A85,Financeiro!$D$4:$D$503,"Receita",Financeiro!$H$4:$H$503,"&lt;&gt;Cancelado")</f>
        <v>0</v>
      </c>
      <c r="AJ85" s="39" t="n">
        <f aca="false">SUMIFS(Financeiro!$G$4:$G$503,Financeiro!$B$4:$B$503,$A85,Financeiro!$D$4:$D$503,"Gasto",Financeiro!$H$4:$H$503,"&lt;&gt;Cancelado")</f>
        <v>0</v>
      </c>
      <c r="AK85" s="39" t="n">
        <f aca="false">SUMIFS(Financeiro!$G$4:$G$503,Financeiro!$B$4:$B$503,$A85,Financeiro!$D$4:$D$503,"Imposto",Financeiro!$H$4:$H$503,"&lt;&gt;Cancelado")</f>
        <v>0</v>
      </c>
      <c r="AL85" s="39" t="n">
        <f aca="false">SUMIFS(Financeiro!$G$4:$G$503,Financeiro!$B$4:$B$503,$A85,Financeiro!$D$4:$D$503,"Marketing",Financeiro!$H$4:$H$503,"&lt;&gt;Cancelado")</f>
        <v>0</v>
      </c>
      <c r="AM85" s="39" t="n">
        <f aca="false">AI85-AJ85-AK85-AL85</f>
        <v>0</v>
      </c>
      <c r="AN85" s="37" t="n">
        <f aca="false">IF(Config!$B$16=0,"",AI85/Config!$B$16)</f>
        <v>0</v>
      </c>
      <c r="AO85" s="37" t="n">
        <f aca="false">IF(Config!$B$17=0,"",AJ85/Config!$B$17)</f>
        <v>0</v>
      </c>
      <c r="AP85" s="39" t="str">
        <f aca="false">IF(T85=0,"",AL85/T85)</f>
        <v/>
      </c>
      <c r="AQ85" s="39" t="n">
        <f aca="false">SUMIFS($AI$4:$AI$107,$D$4:$D$107,$D85,$B$4:$B$107,"&lt;="&amp;$B85)</f>
        <v>0</v>
      </c>
      <c r="AR85" s="39" t="n">
        <f aca="false">SUMIFS($AJ$4:$AJ$107,$D$4:$D$107,$D85,$B$4:$B$107,"&lt;="&amp;$B85)</f>
        <v>0</v>
      </c>
      <c r="AS85" s="36" t="n">
        <f aca="false">SUMIFS(Leads_Canal!$C$4:$C$503,Leads_Canal!$A$4:$A$503,$A85)</f>
        <v>0</v>
      </c>
      <c r="AT85" s="17" t="str">
        <f aca="false">IF(E85=0,"",IF(E85=AR85,"OK","Divergente"))</f>
        <v/>
      </c>
      <c r="AU85" s="17" t="str">
        <f aca="false">IF(N85=0,"",IF(N85=AD85,"OK","Divergente"))</f>
        <v/>
      </c>
    </row>
    <row r="86" customFormat="false" ht="15" hidden="false" customHeight="false" outlineLevel="0" collapsed="false">
      <c r="A86" s="17" t="str">
        <f aca="false">Base_Semanal!A86</f>
        <v>2027-S31</v>
      </c>
      <c r="B86" s="30" t="n">
        <f aca="false">Base_Semanal!B86</f>
        <v>46601</v>
      </c>
      <c r="C86" s="30" t="n">
        <f aca="false">Base_Semanal!C86</f>
        <v>46607</v>
      </c>
      <c r="D86" s="17" t="str">
        <f aca="false">Base_Semanal!D86</f>
        <v>2027-08</v>
      </c>
      <c r="E86" s="36" t="n">
        <f aca="false">Base_Semanal!E86</f>
        <v>0</v>
      </c>
      <c r="F86" s="36" t="n">
        <f aca="false">Base_Semanal!F86</f>
        <v>0</v>
      </c>
      <c r="G86" s="36" t="n">
        <f aca="false">Base_Semanal!G86</f>
        <v>0</v>
      </c>
      <c r="H86" s="36" t="n">
        <f aca="false">Base_Semanal!H86</f>
        <v>0</v>
      </c>
      <c r="I86" s="36" t="n">
        <f aca="false">Base_Semanal!I86</f>
        <v>0</v>
      </c>
      <c r="J86" s="36" t="n">
        <f aca="false">H86+I86</f>
        <v>0</v>
      </c>
      <c r="K86" s="37" t="str">
        <f aca="false">IF(F86=0,"",G86/F86)</f>
        <v/>
      </c>
      <c r="L86" s="36" t="n">
        <f aca="false">Base_Semanal!J86</f>
        <v>0</v>
      </c>
      <c r="M86" s="36" t="n">
        <f aca="false">Base_Semanal!K86</f>
        <v>0</v>
      </c>
      <c r="N86" s="36" t="n">
        <f aca="false">L86+M86</f>
        <v>0</v>
      </c>
      <c r="O86" s="37" t="str">
        <f aca="false">IF(J86=0,"",N86/J86)</f>
        <v/>
      </c>
      <c r="P86" s="36" t="n">
        <f aca="false">Base_Semanal!L86</f>
        <v>0</v>
      </c>
      <c r="Q86" s="36" t="n">
        <f aca="false">Base_Semanal!M86</f>
        <v>0</v>
      </c>
      <c r="R86" s="36" t="n">
        <f aca="false">P86+Q86</f>
        <v>0</v>
      </c>
      <c r="S86" s="36" t="n">
        <f aca="false">Base_Semanal!N86</f>
        <v>0</v>
      </c>
      <c r="T86" s="36" t="n">
        <f aca="false">Base_Semanal!O86</f>
        <v>0</v>
      </c>
      <c r="U86" s="37" t="str">
        <f aca="false">IF(Base_Semanal!P86=0,"",Base_Semanal!Q86/Base_Semanal!P86)</f>
        <v/>
      </c>
      <c r="V86" s="37" t="str">
        <f aca="false">IF(Base_Semanal!R86=0,"",Base_Semanal!S86/Base_Semanal!R86)</f>
        <v/>
      </c>
      <c r="W86" s="37" t="str">
        <f aca="false">IF(Base_Semanal!P86+Base_Semanal!R86=0,"",(Base_Semanal!Q86+Base_Semanal!S86)/(Base_Semanal!P86+Base_Semanal!R86))</f>
        <v/>
      </c>
      <c r="X86" s="38" t="n">
        <f aca="false">Base_Semanal!T86</f>
        <v>0</v>
      </c>
      <c r="Y86" s="38" t="n">
        <f aca="false">Base_Semanal!U86</f>
        <v>0</v>
      </c>
      <c r="Z86" s="38" t="n">
        <f aca="false">Base_Semanal!V86</f>
        <v>0</v>
      </c>
      <c r="AA86" s="38" t="n">
        <f aca="false">Base_Semanal!W86</f>
        <v>0</v>
      </c>
      <c r="AB86" s="36" t="n">
        <f aca="false">COUNTIFS(Contratos!$B$4:$B$503,$A86,Contratos!$E$4:$E$503,"Avaliação")</f>
        <v>0</v>
      </c>
      <c r="AC86" s="39" t="n">
        <f aca="false">SUMIFS(Contratos!$I$4:$I$503,Contratos!$B$4:$B$503,$A86,Contratos!$E$4:$E$503,"Avaliação")</f>
        <v>0</v>
      </c>
      <c r="AD86" s="36" t="n">
        <f aca="false">COUNTIFS(Contratos!$B$4:$B$503,$A86,Contratos!$E$4:$E$503,"Protocolo")</f>
        <v>0</v>
      </c>
      <c r="AE86" s="39" t="n">
        <f aca="false">SUMIFS(Contratos!$I$4:$I$503,Contratos!$B$4:$B$503,$A86,Contratos!$E$4:$E$503,"Protocolo")</f>
        <v>0</v>
      </c>
      <c r="AF86" s="39" t="n">
        <f aca="false">AC86+AE86</f>
        <v>0</v>
      </c>
      <c r="AG86" s="36" t="n">
        <f aca="false">COUNTIFS(Contratos!$B$4:$B$503,$A86,Contratos!$J$4:$J$503,"À vista")</f>
        <v>0</v>
      </c>
      <c r="AH86" s="36" t="n">
        <f aca="false">COUNTIFS(Contratos!$B$4:$B$503,$A86,Contratos!$J$4:$J$503,"Parcelado")</f>
        <v>0</v>
      </c>
      <c r="AI86" s="39" t="n">
        <f aca="false">SUMIFS(Financeiro!$G$4:$G$503,Financeiro!$B$4:$B$503,$A86,Financeiro!$D$4:$D$503,"Receita",Financeiro!$H$4:$H$503,"&lt;&gt;Cancelado")</f>
        <v>0</v>
      </c>
      <c r="AJ86" s="39" t="n">
        <f aca="false">SUMIFS(Financeiro!$G$4:$G$503,Financeiro!$B$4:$B$503,$A86,Financeiro!$D$4:$D$503,"Gasto",Financeiro!$H$4:$H$503,"&lt;&gt;Cancelado")</f>
        <v>0</v>
      </c>
      <c r="AK86" s="39" t="n">
        <f aca="false">SUMIFS(Financeiro!$G$4:$G$503,Financeiro!$B$4:$B$503,$A86,Financeiro!$D$4:$D$503,"Imposto",Financeiro!$H$4:$H$503,"&lt;&gt;Cancelado")</f>
        <v>0</v>
      </c>
      <c r="AL86" s="39" t="n">
        <f aca="false">SUMIFS(Financeiro!$G$4:$G$503,Financeiro!$B$4:$B$503,$A86,Financeiro!$D$4:$D$503,"Marketing",Financeiro!$H$4:$H$503,"&lt;&gt;Cancelado")</f>
        <v>0</v>
      </c>
      <c r="AM86" s="39" t="n">
        <f aca="false">AI86-AJ86-AK86-AL86</f>
        <v>0</v>
      </c>
      <c r="AN86" s="37" t="n">
        <f aca="false">IF(Config!$B$16=0,"",AI86/Config!$B$16)</f>
        <v>0</v>
      </c>
      <c r="AO86" s="37" t="n">
        <f aca="false">IF(Config!$B$17=0,"",AJ86/Config!$B$17)</f>
        <v>0</v>
      </c>
      <c r="AP86" s="39" t="str">
        <f aca="false">IF(T86=0,"",AL86/T86)</f>
        <v/>
      </c>
      <c r="AQ86" s="39" t="n">
        <f aca="false">SUMIFS($AI$4:$AI$107,$D$4:$D$107,$D86,$B$4:$B$107,"&lt;="&amp;$B86)</f>
        <v>0</v>
      </c>
      <c r="AR86" s="39" t="n">
        <f aca="false">SUMIFS($AJ$4:$AJ$107,$D$4:$D$107,$D86,$B$4:$B$107,"&lt;="&amp;$B86)</f>
        <v>0</v>
      </c>
      <c r="AS86" s="36" t="n">
        <f aca="false">SUMIFS(Leads_Canal!$C$4:$C$503,Leads_Canal!$A$4:$A$503,$A86)</f>
        <v>0</v>
      </c>
      <c r="AT86" s="17" t="str">
        <f aca="false">IF(E86=0,"",IF(E86=AR86,"OK","Divergente"))</f>
        <v/>
      </c>
      <c r="AU86" s="17" t="str">
        <f aca="false">IF(N86=0,"",IF(N86=AD86,"OK","Divergente"))</f>
        <v/>
      </c>
    </row>
    <row r="87" customFormat="false" ht="15" hidden="false" customHeight="false" outlineLevel="0" collapsed="false">
      <c r="A87" s="17" t="str">
        <f aca="false">Base_Semanal!A87</f>
        <v>2027-S32</v>
      </c>
      <c r="B87" s="30" t="n">
        <f aca="false">Base_Semanal!B87</f>
        <v>46608</v>
      </c>
      <c r="C87" s="30" t="n">
        <f aca="false">Base_Semanal!C87</f>
        <v>46614</v>
      </c>
      <c r="D87" s="17" t="str">
        <f aca="false">Base_Semanal!D87</f>
        <v>2027-08</v>
      </c>
      <c r="E87" s="36" t="n">
        <f aca="false">Base_Semanal!E87</f>
        <v>0</v>
      </c>
      <c r="F87" s="36" t="n">
        <f aca="false">Base_Semanal!F87</f>
        <v>0</v>
      </c>
      <c r="G87" s="36" t="n">
        <f aca="false">Base_Semanal!G87</f>
        <v>0</v>
      </c>
      <c r="H87" s="36" t="n">
        <f aca="false">Base_Semanal!H87</f>
        <v>0</v>
      </c>
      <c r="I87" s="36" t="n">
        <f aca="false">Base_Semanal!I87</f>
        <v>0</v>
      </c>
      <c r="J87" s="36" t="n">
        <f aca="false">H87+I87</f>
        <v>0</v>
      </c>
      <c r="K87" s="37" t="str">
        <f aca="false">IF(F87=0,"",G87/F87)</f>
        <v/>
      </c>
      <c r="L87" s="36" t="n">
        <f aca="false">Base_Semanal!J87</f>
        <v>0</v>
      </c>
      <c r="M87" s="36" t="n">
        <f aca="false">Base_Semanal!K87</f>
        <v>0</v>
      </c>
      <c r="N87" s="36" t="n">
        <f aca="false">L87+M87</f>
        <v>0</v>
      </c>
      <c r="O87" s="37" t="str">
        <f aca="false">IF(J87=0,"",N87/J87)</f>
        <v/>
      </c>
      <c r="P87" s="36" t="n">
        <f aca="false">Base_Semanal!L87</f>
        <v>0</v>
      </c>
      <c r="Q87" s="36" t="n">
        <f aca="false">Base_Semanal!M87</f>
        <v>0</v>
      </c>
      <c r="R87" s="36" t="n">
        <f aca="false">P87+Q87</f>
        <v>0</v>
      </c>
      <c r="S87" s="36" t="n">
        <f aca="false">Base_Semanal!N87</f>
        <v>0</v>
      </c>
      <c r="T87" s="36" t="n">
        <f aca="false">Base_Semanal!O87</f>
        <v>0</v>
      </c>
      <c r="U87" s="37" t="str">
        <f aca="false">IF(Base_Semanal!P87=0,"",Base_Semanal!Q87/Base_Semanal!P87)</f>
        <v/>
      </c>
      <c r="V87" s="37" t="str">
        <f aca="false">IF(Base_Semanal!R87=0,"",Base_Semanal!S87/Base_Semanal!R87)</f>
        <v/>
      </c>
      <c r="W87" s="37" t="str">
        <f aca="false">IF(Base_Semanal!P87+Base_Semanal!R87=0,"",(Base_Semanal!Q87+Base_Semanal!S87)/(Base_Semanal!P87+Base_Semanal!R87))</f>
        <v/>
      </c>
      <c r="X87" s="38" t="n">
        <f aca="false">Base_Semanal!T87</f>
        <v>0</v>
      </c>
      <c r="Y87" s="38" t="n">
        <f aca="false">Base_Semanal!U87</f>
        <v>0</v>
      </c>
      <c r="Z87" s="38" t="n">
        <f aca="false">Base_Semanal!V87</f>
        <v>0</v>
      </c>
      <c r="AA87" s="38" t="n">
        <f aca="false">Base_Semanal!W87</f>
        <v>0</v>
      </c>
      <c r="AB87" s="36" t="n">
        <f aca="false">COUNTIFS(Contratos!$B$4:$B$503,$A87,Contratos!$E$4:$E$503,"Avaliação")</f>
        <v>0</v>
      </c>
      <c r="AC87" s="39" t="n">
        <f aca="false">SUMIFS(Contratos!$I$4:$I$503,Contratos!$B$4:$B$503,$A87,Contratos!$E$4:$E$503,"Avaliação")</f>
        <v>0</v>
      </c>
      <c r="AD87" s="36" t="n">
        <f aca="false">COUNTIFS(Contratos!$B$4:$B$503,$A87,Contratos!$E$4:$E$503,"Protocolo")</f>
        <v>0</v>
      </c>
      <c r="AE87" s="39" t="n">
        <f aca="false">SUMIFS(Contratos!$I$4:$I$503,Contratos!$B$4:$B$503,$A87,Contratos!$E$4:$E$503,"Protocolo")</f>
        <v>0</v>
      </c>
      <c r="AF87" s="39" t="n">
        <f aca="false">AC87+AE87</f>
        <v>0</v>
      </c>
      <c r="AG87" s="36" t="n">
        <f aca="false">COUNTIFS(Contratos!$B$4:$B$503,$A87,Contratos!$J$4:$J$503,"À vista")</f>
        <v>0</v>
      </c>
      <c r="AH87" s="36" t="n">
        <f aca="false">COUNTIFS(Contratos!$B$4:$B$503,$A87,Contratos!$J$4:$J$503,"Parcelado")</f>
        <v>0</v>
      </c>
      <c r="AI87" s="39" t="n">
        <f aca="false">SUMIFS(Financeiro!$G$4:$G$503,Financeiro!$B$4:$B$503,$A87,Financeiro!$D$4:$D$503,"Receita",Financeiro!$H$4:$H$503,"&lt;&gt;Cancelado")</f>
        <v>0</v>
      </c>
      <c r="AJ87" s="39" t="n">
        <f aca="false">SUMIFS(Financeiro!$G$4:$G$503,Financeiro!$B$4:$B$503,$A87,Financeiro!$D$4:$D$503,"Gasto",Financeiro!$H$4:$H$503,"&lt;&gt;Cancelado")</f>
        <v>0</v>
      </c>
      <c r="AK87" s="39" t="n">
        <f aca="false">SUMIFS(Financeiro!$G$4:$G$503,Financeiro!$B$4:$B$503,$A87,Financeiro!$D$4:$D$503,"Imposto",Financeiro!$H$4:$H$503,"&lt;&gt;Cancelado")</f>
        <v>0</v>
      </c>
      <c r="AL87" s="39" t="n">
        <f aca="false">SUMIFS(Financeiro!$G$4:$G$503,Financeiro!$B$4:$B$503,$A87,Financeiro!$D$4:$D$503,"Marketing",Financeiro!$H$4:$H$503,"&lt;&gt;Cancelado")</f>
        <v>0</v>
      </c>
      <c r="AM87" s="39" t="n">
        <f aca="false">AI87-AJ87-AK87-AL87</f>
        <v>0</v>
      </c>
      <c r="AN87" s="37" t="n">
        <f aca="false">IF(Config!$B$16=0,"",AI87/Config!$B$16)</f>
        <v>0</v>
      </c>
      <c r="AO87" s="37" t="n">
        <f aca="false">IF(Config!$B$17=0,"",AJ87/Config!$B$17)</f>
        <v>0</v>
      </c>
      <c r="AP87" s="39" t="str">
        <f aca="false">IF(T87=0,"",AL87/T87)</f>
        <v/>
      </c>
      <c r="AQ87" s="39" t="n">
        <f aca="false">SUMIFS($AI$4:$AI$107,$D$4:$D$107,$D87,$B$4:$B$107,"&lt;="&amp;$B87)</f>
        <v>0</v>
      </c>
      <c r="AR87" s="39" t="n">
        <f aca="false">SUMIFS($AJ$4:$AJ$107,$D$4:$D$107,$D87,$B$4:$B$107,"&lt;="&amp;$B87)</f>
        <v>0</v>
      </c>
      <c r="AS87" s="36" t="n">
        <f aca="false">SUMIFS(Leads_Canal!$C$4:$C$503,Leads_Canal!$A$4:$A$503,$A87)</f>
        <v>0</v>
      </c>
      <c r="AT87" s="17" t="str">
        <f aca="false">IF(E87=0,"",IF(E87=AR87,"OK","Divergente"))</f>
        <v/>
      </c>
      <c r="AU87" s="17" t="str">
        <f aca="false">IF(N87=0,"",IF(N87=AD87,"OK","Divergente"))</f>
        <v/>
      </c>
    </row>
    <row r="88" customFormat="false" ht="15" hidden="false" customHeight="false" outlineLevel="0" collapsed="false">
      <c r="A88" s="17" t="str">
        <f aca="false">Base_Semanal!A88</f>
        <v>2027-S33</v>
      </c>
      <c r="B88" s="30" t="n">
        <f aca="false">Base_Semanal!B88</f>
        <v>46615</v>
      </c>
      <c r="C88" s="30" t="n">
        <f aca="false">Base_Semanal!C88</f>
        <v>46621</v>
      </c>
      <c r="D88" s="17" t="str">
        <f aca="false">Base_Semanal!D88</f>
        <v>2027-08</v>
      </c>
      <c r="E88" s="36" t="n">
        <f aca="false">Base_Semanal!E88</f>
        <v>0</v>
      </c>
      <c r="F88" s="36" t="n">
        <f aca="false">Base_Semanal!F88</f>
        <v>0</v>
      </c>
      <c r="G88" s="36" t="n">
        <f aca="false">Base_Semanal!G88</f>
        <v>0</v>
      </c>
      <c r="H88" s="36" t="n">
        <f aca="false">Base_Semanal!H88</f>
        <v>0</v>
      </c>
      <c r="I88" s="36" t="n">
        <f aca="false">Base_Semanal!I88</f>
        <v>0</v>
      </c>
      <c r="J88" s="36" t="n">
        <f aca="false">H88+I88</f>
        <v>0</v>
      </c>
      <c r="K88" s="37" t="str">
        <f aca="false">IF(F88=0,"",G88/F88)</f>
        <v/>
      </c>
      <c r="L88" s="36" t="n">
        <f aca="false">Base_Semanal!J88</f>
        <v>0</v>
      </c>
      <c r="M88" s="36" t="n">
        <f aca="false">Base_Semanal!K88</f>
        <v>0</v>
      </c>
      <c r="N88" s="36" t="n">
        <f aca="false">L88+M88</f>
        <v>0</v>
      </c>
      <c r="O88" s="37" t="str">
        <f aca="false">IF(J88=0,"",N88/J88)</f>
        <v/>
      </c>
      <c r="P88" s="36" t="n">
        <f aca="false">Base_Semanal!L88</f>
        <v>0</v>
      </c>
      <c r="Q88" s="36" t="n">
        <f aca="false">Base_Semanal!M88</f>
        <v>0</v>
      </c>
      <c r="R88" s="36" t="n">
        <f aca="false">P88+Q88</f>
        <v>0</v>
      </c>
      <c r="S88" s="36" t="n">
        <f aca="false">Base_Semanal!N88</f>
        <v>0</v>
      </c>
      <c r="T88" s="36" t="n">
        <f aca="false">Base_Semanal!O88</f>
        <v>0</v>
      </c>
      <c r="U88" s="37" t="str">
        <f aca="false">IF(Base_Semanal!P88=0,"",Base_Semanal!Q88/Base_Semanal!P88)</f>
        <v/>
      </c>
      <c r="V88" s="37" t="str">
        <f aca="false">IF(Base_Semanal!R88=0,"",Base_Semanal!S88/Base_Semanal!R88)</f>
        <v/>
      </c>
      <c r="W88" s="37" t="str">
        <f aca="false">IF(Base_Semanal!P88+Base_Semanal!R88=0,"",(Base_Semanal!Q88+Base_Semanal!S88)/(Base_Semanal!P88+Base_Semanal!R88))</f>
        <v/>
      </c>
      <c r="X88" s="38" t="n">
        <f aca="false">Base_Semanal!T88</f>
        <v>0</v>
      </c>
      <c r="Y88" s="38" t="n">
        <f aca="false">Base_Semanal!U88</f>
        <v>0</v>
      </c>
      <c r="Z88" s="38" t="n">
        <f aca="false">Base_Semanal!V88</f>
        <v>0</v>
      </c>
      <c r="AA88" s="38" t="n">
        <f aca="false">Base_Semanal!W88</f>
        <v>0</v>
      </c>
      <c r="AB88" s="36" t="n">
        <f aca="false">COUNTIFS(Contratos!$B$4:$B$503,$A88,Contratos!$E$4:$E$503,"Avaliação")</f>
        <v>0</v>
      </c>
      <c r="AC88" s="39" t="n">
        <f aca="false">SUMIFS(Contratos!$I$4:$I$503,Contratos!$B$4:$B$503,$A88,Contratos!$E$4:$E$503,"Avaliação")</f>
        <v>0</v>
      </c>
      <c r="AD88" s="36" t="n">
        <f aca="false">COUNTIFS(Contratos!$B$4:$B$503,$A88,Contratos!$E$4:$E$503,"Protocolo")</f>
        <v>0</v>
      </c>
      <c r="AE88" s="39" t="n">
        <f aca="false">SUMIFS(Contratos!$I$4:$I$503,Contratos!$B$4:$B$503,$A88,Contratos!$E$4:$E$503,"Protocolo")</f>
        <v>0</v>
      </c>
      <c r="AF88" s="39" t="n">
        <f aca="false">AC88+AE88</f>
        <v>0</v>
      </c>
      <c r="AG88" s="36" t="n">
        <f aca="false">COUNTIFS(Contratos!$B$4:$B$503,$A88,Contratos!$J$4:$J$503,"À vista")</f>
        <v>0</v>
      </c>
      <c r="AH88" s="36" t="n">
        <f aca="false">COUNTIFS(Contratos!$B$4:$B$503,$A88,Contratos!$J$4:$J$503,"Parcelado")</f>
        <v>0</v>
      </c>
      <c r="AI88" s="39" t="n">
        <f aca="false">SUMIFS(Financeiro!$G$4:$G$503,Financeiro!$B$4:$B$503,$A88,Financeiro!$D$4:$D$503,"Receita",Financeiro!$H$4:$H$503,"&lt;&gt;Cancelado")</f>
        <v>0</v>
      </c>
      <c r="AJ88" s="39" t="n">
        <f aca="false">SUMIFS(Financeiro!$G$4:$G$503,Financeiro!$B$4:$B$503,$A88,Financeiro!$D$4:$D$503,"Gasto",Financeiro!$H$4:$H$503,"&lt;&gt;Cancelado")</f>
        <v>0</v>
      </c>
      <c r="AK88" s="39" t="n">
        <f aca="false">SUMIFS(Financeiro!$G$4:$G$503,Financeiro!$B$4:$B$503,$A88,Financeiro!$D$4:$D$503,"Imposto",Financeiro!$H$4:$H$503,"&lt;&gt;Cancelado")</f>
        <v>0</v>
      </c>
      <c r="AL88" s="39" t="n">
        <f aca="false">SUMIFS(Financeiro!$G$4:$G$503,Financeiro!$B$4:$B$503,$A88,Financeiro!$D$4:$D$503,"Marketing",Financeiro!$H$4:$H$503,"&lt;&gt;Cancelado")</f>
        <v>0</v>
      </c>
      <c r="AM88" s="39" t="n">
        <f aca="false">AI88-AJ88-AK88-AL88</f>
        <v>0</v>
      </c>
      <c r="AN88" s="37" t="n">
        <f aca="false">IF(Config!$B$16=0,"",AI88/Config!$B$16)</f>
        <v>0</v>
      </c>
      <c r="AO88" s="37" t="n">
        <f aca="false">IF(Config!$B$17=0,"",AJ88/Config!$B$17)</f>
        <v>0</v>
      </c>
      <c r="AP88" s="39" t="str">
        <f aca="false">IF(T88=0,"",AL88/T88)</f>
        <v/>
      </c>
      <c r="AQ88" s="39" t="n">
        <f aca="false">SUMIFS($AI$4:$AI$107,$D$4:$D$107,$D88,$B$4:$B$107,"&lt;="&amp;$B88)</f>
        <v>0</v>
      </c>
      <c r="AR88" s="39" t="n">
        <f aca="false">SUMIFS($AJ$4:$AJ$107,$D$4:$D$107,$D88,$B$4:$B$107,"&lt;="&amp;$B88)</f>
        <v>0</v>
      </c>
      <c r="AS88" s="36" t="n">
        <f aca="false">SUMIFS(Leads_Canal!$C$4:$C$503,Leads_Canal!$A$4:$A$503,$A88)</f>
        <v>0</v>
      </c>
      <c r="AT88" s="17" t="str">
        <f aca="false">IF(E88=0,"",IF(E88=AR88,"OK","Divergente"))</f>
        <v/>
      </c>
      <c r="AU88" s="17" t="str">
        <f aca="false">IF(N88=0,"",IF(N88=AD88,"OK","Divergente"))</f>
        <v/>
      </c>
    </row>
    <row r="89" customFormat="false" ht="15" hidden="false" customHeight="false" outlineLevel="0" collapsed="false">
      <c r="A89" s="17" t="str">
        <f aca="false">Base_Semanal!A89</f>
        <v>2027-S34</v>
      </c>
      <c r="B89" s="30" t="n">
        <f aca="false">Base_Semanal!B89</f>
        <v>46622</v>
      </c>
      <c r="C89" s="30" t="n">
        <f aca="false">Base_Semanal!C89</f>
        <v>46628</v>
      </c>
      <c r="D89" s="17" t="str">
        <f aca="false">Base_Semanal!D89</f>
        <v>2027-08</v>
      </c>
      <c r="E89" s="36" t="n">
        <f aca="false">Base_Semanal!E89</f>
        <v>0</v>
      </c>
      <c r="F89" s="36" t="n">
        <f aca="false">Base_Semanal!F89</f>
        <v>0</v>
      </c>
      <c r="G89" s="36" t="n">
        <f aca="false">Base_Semanal!G89</f>
        <v>0</v>
      </c>
      <c r="H89" s="36" t="n">
        <f aca="false">Base_Semanal!H89</f>
        <v>0</v>
      </c>
      <c r="I89" s="36" t="n">
        <f aca="false">Base_Semanal!I89</f>
        <v>0</v>
      </c>
      <c r="J89" s="36" t="n">
        <f aca="false">H89+I89</f>
        <v>0</v>
      </c>
      <c r="K89" s="37" t="str">
        <f aca="false">IF(F89=0,"",G89/F89)</f>
        <v/>
      </c>
      <c r="L89" s="36" t="n">
        <f aca="false">Base_Semanal!J89</f>
        <v>0</v>
      </c>
      <c r="M89" s="36" t="n">
        <f aca="false">Base_Semanal!K89</f>
        <v>0</v>
      </c>
      <c r="N89" s="36" t="n">
        <f aca="false">L89+M89</f>
        <v>0</v>
      </c>
      <c r="O89" s="37" t="str">
        <f aca="false">IF(J89=0,"",N89/J89)</f>
        <v/>
      </c>
      <c r="P89" s="36" t="n">
        <f aca="false">Base_Semanal!L89</f>
        <v>0</v>
      </c>
      <c r="Q89" s="36" t="n">
        <f aca="false">Base_Semanal!M89</f>
        <v>0</v>
      </c>
      <c r="R89" s="36" t="n">
        <f aca="false">P89+Q89</f>
        <v>0</v>
      </c>
      <c r="S89" s="36" t="n">
        <f aca="false">Base_Semanal!N89</f>
        <v>0</v>
      </c>
      <c r="T89" s="36" t="n">
        <f aca="false">Base_Semanal!O89</f>
        <v>0</v>
      </c>
      <c r="U89" s="37" t="str">
        <f aca="false">IF(Base_Semanal!P89=0,"",Base_Semanal!Q89/Base_Semanal!P89)</f>
        <v/>
      </c>
      <c r="V89" s="37" t="str">
        <f aca="false">IF(Base_Semanal!R89=0,"",Base_Semanal!S89/Base_Semanal!R89)</f>
        <v/>
      </c>
      <c r="W89" s="37" t="str">
        <f aca="false">IF(Base_Semanal!P89+Base_Semanal!R89=0,"",(Base_Semanal!Q89+Base_Semanal!S89)/(Base_Semanal!P89+Base_Semanal!R89))</f>
        <v/>
      </c>
      <c r="X89" s="38" t="n">
        <f aca="false">Base_Semanal!T89</f>
        <v>0</v>
      </c>
      <c r="Y89" s="38" t="n">
        <f aca="false">Base_Semanal!U89</f>
        <v>0</v>
      </c>
      <c r="Z89" s="38" t="n">
        <f aca="false">Base_Semanal!V89</f>
        <v>0</v>
      </c>
      <c r="AA89" s="38" t="n">
        <f aca="false">Base_Semanal!W89</f>
        <v>0</v>
      </c>
      <c r="AB89" s="36" t="n">
        <f aca="false">COUNTIFS(Contratos!$B$4:$B$503,$A89,Contratos!$E$4:$E$503,"Avaliação")</f>
        <v>0</v>
      </c>
      <c r="AC89" s="39" t="n">
        <f aca="false">SUMIFS(Contratos!$I$4:$I$503,Contratos!$B$4:$B$503,$A89,Contratos!$E$4:$E$503,"Avaliação")</f>
        <v>0</v>
      </c>
      <c r="AD89" s="36" t="n">
        <f aca="false">COUNTIFS(Contratos!$B$4:$B$503,$A89,Contratos!$E$4:$E$503,"Protocolo")</f>
        <v>0</v>
      </c>
      <c r="AE89" s="39" t="n">
        <f aca="false">SUMIFS(Contratos!$I$4:$I$503,Contratos!$B$4:$B$503,$A89,Contratos!$E$4:$E$503,"Protocolo")</f>
        <v>0</v>
      </c>
      <c r="AF89" s="39" t="n">
        <f aca="false">AC89+AE89</f>
        <v>0</v>
      </c>
      <c r="AG89" s="36" t="n">
        <f aca="false">COUNTIFS(Contratos!$B$4:$B$503,$A89,Contratos!$J$4:$J$503,"À vista")</f>
        <v>0</v>
      </c>
      <c r="AH89" s="36" t="n">
        <f aca="false">COUNTIFS(Contratos!$B$4:$B$503,$A89,Contratos!$J$4:$J$503,"Parcelado")</f>
        <v>0</v>
      </c>
      <c r="AI89" s="39" t="n">
        <f aca="false">SUMIFS(Financeiro!$G$4:$G$503,Financeiro!$B$4:$B$503,$A89,Financeiro!$D$4:$D$503,"Receita",Financeiro!$H$4:$H$503,"&lt;&gt;Cancelado")</f>
        <v>0</v>
      </c>
      <c r="AJ89" s="39" t="n">
        <f aca="false">SUMIFS(Financeiro!$G$4:$G$503,Financeiro!$B$4:$B$503,$A89,Financeiro!$D$4:$D$503,"Gasto",Financeiro!$H$4:$H$503,"&lt;&gt;Cancelado")</f>
        <v>0</v>
      </c>
      <c r="AK89" s="39" t="n">
        <f aca="false">SUMIFS(Financeiro!$G$4:$G$503,Financeiro!$B$4:$B$503,$A89,Financeiro!$D$4:$D$503,"Imposto",Financeiro!$H$4:$H$503,"&lt;&gt;Cancelado")</f>
        <v>0</v>
      </c>
      <c r="AL89" s="39" t="n">
        <f aca="false">SUMIFS(Financeiro!$G$4:$G$503,Financeiro!$B$4:$B$503,$A89,Financeiro!$D$4:$D$503,"Marketing",Financeiro!$H$4:$H$503,"&lt;&gt;Cancelado")</f>
        <v>0</v>
      </c>
      <c r="AM89" s="39" t="n">
        <f aca="false">AI89-AJ89-AK89-AL89</f>
        <v>0</v>
      </c>
      <c r="AN89" s="37" t="n">
        <f aca="false">IF(Config!$B$16=0,"",AI89/Config!$B$16)</f>
        <v>0</v>
      </c>
      <c r="AO89" s="37" t="n">
        <f aca="false">IF(Config!$B$17=0,"",AJ89/Config!$B$17)</f>
        <v>0</v>
      </c>
      <c r="AP89" s="39" t="str">
        <f aca="false">IF(T89=0,"",AL89/T89)</f>
        <v/>
      </c>
      <c r="AQ89" s="39" t="n">
        <f aca="false">SUMIFS($AI$4:$AI$107,$D$4:$D$107,$D89,$B$4:$B$107,"&lt;="&amp;$B89)</f>
        <v>0</v>
      </c>
      <c r="AR89" s="39" t="n">
        <f aca="false">SUMIFS($AJ$4:$AJ$107,$D$4:$D$107,$D89,$B$4:$B$107,"&lt;="&amp;$B89)</f>
        <v>0</v>
      </c>
      <c r="AS89" s="36" t="n">
        <f aca="false">SUMIFS(Leads_Canal!$C$4:$C$503,Leads_Canal!$A$4:$A$503,$A89)</f>
        <v>0</v>
      </c>
      <c r="AT89" s="17" t="str">
        <f aca="false">IF(E89=0,"",IF(E89=AR89,"OK","Divergente"))</f>
        <v/>
      </c>
      <c r="AU89" s="17" t="str">
        <f aca="false">IF(N89=0,"",IF(N89=AD89,"OK","Divergente"))</f>
        <v/>
      </c>
    </row>
    <row r="90" customFormat="false" ht="15" hidden="false" customHeight="false" outlineLevel="0" collapsed="false">
      <c r="A90" s="17" t="str">
        <f aca="false">Base_Semanal!A90</f>
        <v>2027-S35</v>
      </c>
      <c r="B90" s="30" t="n">
        <f aca="false">Base_Semanal!B90</f>
        <v>46629</v>
      </c>
      <c r="C90" s="30" t="n">
        <f aca="false">Base_Semanal!C90</f>
        <v>46635</v>
      </c>
      <c r="D90" s="17" t="str">
        <f aca="false">Base_Semanal!D90</f>
        <v>2027-08</v>
      </c>
      <c r="E90" s="36" t="n">
        <f aca="false">Base_Semanal!E90</f>
        <v>0</v>
      </c>
      <c r="F90" s="36" t="n">
        <f aca="false">Base_Semanal!F90</f>
        <v>0</v>
      </c>
      <c r="G90" s="36" t="n">
        <f aca="false">Base_Semanal!G90</f>
        <v>0</v>
      </c>
      <c r="H90" s="36" t="n">
        <f aca="false">Base_Semanal!H90</f>
        <v>0</v>
      </c>
      <c r="I90" s="36" t="n">
        <f aca="false">Base_Semanal!I90</f>
        <v>0</v>
      </c>
      <c r="J90" s="36" t="n">
        <f aca="false">H90+I90</f>
        <v>0</v>
      </c>
      <c r="K90" s="37" t="str">
        <f aca="false">IF(F90=0,"",G90/F90)</f>
        <v/>
      </c>
      <c r="L90" s="36" t="n">
        <f aca="false">Base_Semanal!J90</f>
        <v>0</v>
      </c>
      <c r="M90" s="36" t="n">
        <f aca="false">Base_Semanal!K90</f>
        <v>0</v>
      </c>
      <c r="N90" s="36" t="n">
        <f aca="false">L90+M90</f>
        <v>0</v>
      </c>
      <c r="O90" s="37" t="str">
        <f aca="false">IF(J90=0,"",N90/J90)</f>
        <v/>
      </c>
      <c r="P90" s="36" t="n">
        <f aca="false">Base_Semanal!L90</f>
        <v>0</v>
      </c>
      <c r="Q90" s="36" t="n">
        <f aca="false">Base_Semanal!M90</f>
        <v>0</v>
      </c>
      <c r="R90" s="36" t="n">
        <f aca="false">P90+Q90</f>
        <v>0</v>
      </c>
      <c r="S90" s="36" t="n">
        <f aca="false">Base_Semanal!N90</f>
        <v>0</v>
      </c>
      <c r="T90" s="36" t="n">
        <f aca="false">Base_Semanal!O90</f>
        <v>0</v>
      </c>
      <c r="U90" s="37" t="str">
        <f aca="false">IF(Base_Semanal!P90=0,"",Base_Semanal!Q90/Base_Semanal!P90)</f>
        <v/>
      </c>
      <c r="V90" s="37" t="str">
        <f aca="false">IF(Base_Semanal!R90=0,"",Base_Semanal!S90/Base_Semanal!R90)</f>
        <v/>
      </c>
      <c r="W90" s="37" t="str">
        <f aca="false">IF(Base_Semanal!P90+Base_Semanal!R90=0,"",(Base_Semanal!Q90+Base_Semanal!S90)/(Base_Semanal!P90+Base_Semanal!R90))</f>
        <v/>
      </c>
      <c r="X90" s="38" t="n">
        <f aca="false">Base_Semanal!T90</f>
        <v>0</v>
      </c>
      <c r="Y90" s="38" t="n">
        <f aca="false">Base_Semanal!U90</f>
        <v>0</v>
      </c>
      <c r="Z90" s="38" t="n">
        <f aca="false">Base_Semanal!V90</f>
        <v>0</v>
      </c>
      <c r="AA90" s="38" t="n">
        <f aca="false">Base_Semanal!W90</f>
        <v>0</v>
      </c>
      <c r="AB90" s="36" t="n">
        <f aca="false">COUNTIFS(Contratos!$B$4:$B$503,$A90,Contratos!$E$4:$E$503,"Avaliação")</f>
        <v>0</v>
      </c>
      <c r="AC90" s="39" t="n">
        <f aca="false">SUMIFS(Contratos!$I$4:$I$503,Contratos!$B$4:$B$503,$A90,Contratos!$E$4:$E$503,"Avaliação")</f>
        <v>0</v>
      </c>
      <c r="AD90" s="36" t="n">
        <f aca="false">COUNTIFS(Contratos!$B$4:$B$503,$A90,Contratos!$E$4:$E$503,"Protocolo")</f>
        <v>0</v>
      </c>
      <c r="AE90" s="39" t="n">
        <f aca="false">SUMIFS(Contratos!$I$4:$I$503,Contratos!$B$4:$B$503,$A90,Contratos!$E$4:$E$503,"Protocolo")</f>
        <v>0</v>
      </c>
      <c r="AF90" s="39" t="n">
        <f aca="false">AC90+AE90</f>
        <v>0</v>
      </c>
      <c r="AG90" s="36" t="n">
        <f aca="false">COUNTIFS(Contratos!$B$4:$B$503,$A90,Contratos!$J$4:$J$503,"À vista")</f>
        <v>0</v>
      </c>
      <c r="AH90" s="36" t="n">
        <f aca="false">COUNTIFS(Contratos!$B$4:$B$503,$A90,Contratos!$J$4:$J$503,"Parcelado")</f>
        <v>0</v>
      </c>
      <c r="AI90" s="39" t="n">
        <f aca="false">SUMIFS(Financeiro!$G$4:$G$503,Financeiro!$B$4:$B$503,$A90,Financeiro!$D$4:$D$503,"Receita",Financeiro!$H$4:$H$503,"&lt;&gt;Cancelado")</f>
        <v>0</v>
      </c>
      <c r="AJ90" s="39" t="n">
        <f aca="false">SUMIFS(Financeiro!$G$4:$G$503,Financeiro!$B$4:$B$503,$A90,Financeiro!$D$4:$D$503,"Gasto",Financeiro!$H$4:$H$503,"&lt;&gt;Cancelado")</f>
        <v>0</v>
      </c>
      <c r="AK90" s="39" t="n">
        <f aca="false">SUMIFS(Financeiro!$G$4:$G$503,Financeiro!$B$4:$B$503,$A90,Financeiro!$D$4:$D$503,"Imposto",Financeiro!$H$4:$H$503,"&lt;&gt;Cancelado")</f>
        <v>0</v>
      </c>
      <c r="AL90" s="39" t="n">
        <f aca="false">SUMIFS(Financeiro!$G$4:$G$503,Financeiro!$B$4:$B$503,$A90,Financeiro!$D$4:$D$503,"Marketing",Financeiro!$H$4:$H$503,"&lt;&gt;Cancelado")</f>
        <v>0</v>
      </c>
      <c r="AM90" s="39" t="n">
        <f aca="false">AI90-AJ90-AK90-AL90</f>
        <v>0</v>
      </c>
      <c r="AN90" s="37" t="n">
        <f aca="false">IF(Config!$B$16=0,"",AI90/Config!$B$16)</f>
        <v>0</v>
      </c>
      <c r="AO90" s="37" t="n">
        <f aca="false">IF(Config!$B$17=0,"",AJ90/Config!$B$17)</f>
        <v>0</v>
      </c>
      <c r="AP90" s="39" t="str">
        <f aca="false">IF(T90=0,"",AL90/T90)</f>
        <v/>
      </c>
      <c r="AQ90" s="39" t="n">
        <f aca="false">SUMIFS($AI$4:$AI$107,$D$4:$D$107,$D90,$B$4:$B$107,"&lt;="&amp;$B90)</f>
        <v>0</v>
      </c>
      <c r="AR90" s="39" t="n">
        <f aca="false">SUMIFS($AJ$4:$AJ$107,$D$4:$D$107,$D90,$B$4:$B$107,"&lt;="&amp;$B90)</f>
        <v>0</v>
      </c>
      <c r="AS90" s="36" t="n">
        <f aca="false">SUMIFS(Leads_Canal!$C$4:$C$503,Leads_Canal!$A$4:$A$503,$A90)</f>
        <v>0</v>
      </c>
      <c r="AT90" s="17" t="str">
        <f aca="false">IF(E90=0,"",IF(E90=AR90,"OK","Divergente"))</f>
        <v/>
      </c>
      <c r="AU90" s="17" t="str">
        <f aca="false">IF(N90=0,"",IF(N90=AD90,"OK","Divergente"))</f>
        <v/>
      </c>
    </row>
    <row r="91" customFormat="false" ht="15" hidden="false" customHeight="false" outlineLevel="0" collapsed="false">
      <c r="A91" s="17" t="str">
        <f aca="false">Base_Semanal!A91</f>
        <v>2027-S36</v>
      </c>
      <c r="B91" s="30" t="n">
        <f aca="false">Base_Semanal!B91</f>
        <v>46636</v>
      </c>
      <c r="C91" s="30" t="n">
        <f aca="false">Base_Semanal!C91</f>
        <v>46642</v>
      </c>
      <c r="D91" s="17" t="str">
        <f aca="false">Base_Semanal!D91</f>
        <v>2027-09</v>
      </c>
      <c r="E91" s="36" t="n">
        <f aca="false">Base_Semanal!E91</f>
        <v>0</v>
      </c>
      <c r="F91" s="36" t="n">
        <f aca="false">Base_Semanal!F91</f>
        <v>0</v>
      </c>
      <c r="G91" s="36" t="n">
        <f aca="false">Base_Semanal!G91</f>
        <v>0</v>
      </c>
      <c r="H91" s="36" t="n">
        <f aca="false">Base_Semanal!H91</f>
        <v>0</v>
      </c>
      <c r="I91" s="36" t="n">
        <f aca="false">Base_Semanal!I91</f>
        <v>0</v>
      </c>
      <c r="J91" s="36" t="n">
        <f aca="false">H91+I91</f>
        <v>0</v>
      </c>
      <c r="K91" s="37" t="str">
        <f aca="false">IF(F91=0,"",G91/F91)</f>
        <v/>
      </c>
      <c r="L91" s="36" t="n">
        <f aca="false">Base_Semanal!J91</f>
        <v>0</v>
      </c>
      <c r="M91" s="36" t="n">
        <f aca="false">Base_Semanal!K91</f>
        <v>0</v>
      </c>
      <c r="N91" s="36" t="n">
        <f aca="false">L91+M91</f>
        <v>0</v>
      </c>
      <c r="O91" s="37" t="str">
        <f aca="false">IF(J91=0,"",N91/J91)</f>
        <v/>
      </c>
      <c r="P91" s="36" t="n">
        <f aca="false">Base_Semanal!L91</f>
        <v>0</v>
      </c>
      <c r="Q91" s="36" t="n">
        <f aca="false">Base_Semanal!M91</f>
        <v>0</v>
      </c>
      <c r="R91" s="36" t="n">
        <f aca="false">P91+Q91</f>
        <v>0</v>
      </c>
      <c r="S91" s="36" t="n">
        <f aca="false">Base_Semanal!N91</f>
        <v>0</v>
      </c>
      <c r="T91" s="36" t="n">
        <f aca="false">Base_Semanal!O91</f>
        <v>0</v>
      </c>
      <c r="U91" s="37" t="str">
        <f aca="false">IF(Base_Semanal!P91=0,"",Base_Semanal!Q91/Base_Semanal!P91)</f>
        <v/>
      </c>
      <c r="V91" s="37" t="str">
        <f aca="false">IF(Base_Semanal!R91=0,"",Base_Semanal!S91/Base_Semanal!R91)</f>
        <v/>
      </c>
      <c r="W91" s="37" t="str">
        <f aca="false">IF(Base_Semanal!P91+Base_Semanal!R91=0,"",(Base_Semanal!Q91+Base_Semanal!S91)/(Base_Semanal!P91+Base_Semanal!R91))</f>
        <v/>
      </c>
      <c r="X91" s="38" t="n">
        <f aca="false">Base_Semanal!T91</f>
        <v>0</v>
      </c>
      <c r="Y91" s="38" t="n">
        <f aca="false">Base_Semanal!U91</f>
        <v>0</v>
      </c>
      <c r="Z91" s="38" t="n">
        <f aca="false">Base_Semanal!V91</f>
        <v>0</v>
      </c>
      <c r="AA91" s="38" t="n">
        <f aca="false">Base_Semanal!W91</f>
        <v>0</v>
      </c>
      <c r="AB91" s="36" t="n">
        <f aca="false">COUNTIFS(Contratos!$B$4:$B$503,$A91,Contratos!$E$4:$E$503,"Avaliação")</f>
        <v>0</v>
      </c>
      <c r="AC91" s="39" t="n">
        <f aca="false">SUMIFS(Contratos!$I$4:$I$503,Contratos!$B$4:$B$503,$A91,Contratos!$E$4:$E$503,"Avaliação")</f>
        <v>0</v>
      </c>
      <c r="AD91" s="36" t="n">
        <f aca="false">COUNTIFS(Contratos!$B$4:$B$503,$A91,Contratos!$E$4:$E$503,"Protocolo")</f>
        <v>0</v>
      </c>
      <c r="AE91" s="39" t="n">
        <f aca="false">SUMIFS(Contratos!$I$4:$I$503,Contratos!$B$4:$B$503,$A91,Contratos!$E$4:$E$503,"Protocolo")</f>
        <v>0</v>
      </c>
      <c r="AF91" s="39" t="n">
        <f aca="false">AC91+AE91</f>
        <v>0</v>
      </c>
      <c r="AG91" s="36" t="n">
        <f aca="false">COUNTIFS(Contratos!$B$4:$B$503,$A91,Contratos!$J$4:$J$503,"À vista")</f>
        <v>0</v>
      </c>
      <c r="AH91" s="36" t="n">
        <f aca="false">COUNTIFS(Contratos!$B$4:$B$503,$A91,Contratos!$J$4:$J$503,"Parcelado")</f>
        <v>0</v>
      </c>
      <c r="AI91" s="39" t="n">
        <f aca="false">SUMIFS(Financeiro!$G$4:$G$503,Financeiro!$B$4:$B$503,$A91,Financeiro!$D$4:$D$503,"Receita",Financeiro!$H$4:$H$503,"&lt;&gt;Cancelado")</f>
        <v>0</v>
      </c>
      <c r="AJ91" s="39" t="n">
        <f aca="false">SUMIFS(Financeiro!$G$4:$G$503,Financeiro!$B$4:$B$503,$A91,Financeiro!$D$4:$D$503,"Gasto",Financeiro!$H$4:$H$503,"&lt;&gt;Cancelado")</f>
        <v>0</v>
      </c>
      <c r="AK91" s="39" t="n">
        <f aca="false">SUMIFS(Financeiro!$G$4:$G$503,Financeiro!$B$4:$B$503,$A91,Financeiro!$D$4:$D$503,"Imposto",Financeiro!$H$4:$H$503,"&lt;&gt;Cancelado")</f>
        <v>0</v>
      </c>
      <c r="AL91" s="39" t="n">
        <f aca="false">SUMIFS(Financeiro!$G$4:$G$503,Financeiro!$B$4:$B$503,$A91,Financeiro!$D$4:$D$503,"Marketing",Financeiro!$H$4:$H$503,"&lt;&gt;Cancelado")</f>
        <v>0</v>
      </c>
      <c r="AM91" s="39" t="n">
        <f aca="false">AI91-AJ91-AK91-AL91</f>
        <v>0</v>
      </c>
      <c r="AN91" s="37" t="n">
        <f aca="false">IF(Config!$B$16=0,"",AI91/Config!$B$16)</f>
        <v>0</v>
      </c>
      <c r="AO91" s="37" t="n">
        <f aca="false">IF(Config!$B$17=0,"",AJ91/Config!$B$17)</f>
        <v>0</v>
      </c>
      <c r="AP91" s="39" t="str">
        <f aca="false">IF(T91=0,"",AL91/T91)</f>
        <v/>
      </c>
      <c r="AQ91" s="39" t="n">
        <f aca="false">SUMIFS($AI$4:$AI$107,$D$4:$D$107,$D91,$B$4:$B$107,"&lt;="&amp;$B91)</f>
        <v>0</v>
      </c>
      <c r="AR91" s="39" t="n">
        <f aca="false">SUMIFS($AJ$4:$AJ$107,$D$4:$D$107,$D91,$B$4:$B$107,"&lt;="&amp;$B91)</f>
        <v>0</v>
      </c>
      <c r="AS91" s="36" t="n">
        <f aca="false">SUMIFS(Leads_Canal!$C$4:$C$503,Leads_Canal!$A$4:$A$503,$A91)</f>
        <v>0</v>
      </c>
      <c r="AT91" s="17" t="str">
        <f aca="false">IF(E91=0,"",IF(E91=AR91,"OK","Divergente"))</f>
        <v/>
      </c>
      <c r="AU91" s="17" t="str">
        <f aca="false">IF(N91=0,"",IF(N91=AD91,"OK","Divergente"))</f>
        <v/>
      </c>
    </row>
    <row r="92" customFormat="false" ht="15" hidden="false" customHeight="false" outlineLevel="0" collapsed="false">
      <c r="A92" s="17" t="str">
        <f aca="false">Base_Semanal!A92</f>
        <v>2027-S37</v>
      </c>
      <c r="B92" s="30" t="n">
        <f aca="false">Base_Semanal!B92</f>
        <v>46643</v>
      </c>
      <c r="C92" s="30" t="n">
        <f aca="false">Base_Semanal!C92</f>
        <v>46649</v>
      </c>
      <c r="D92" s="17" t="str">
        <f aca="false">Base_Semanal!D92</f>
        <v>2027-09</v>
      </c>
      <c r="E92" s="36" t="n">
        <f aca="false">Base_Semanal!E92</f>
        <v>0</v>
      </c>
      <c r="F92" s="36" t="n">
        <f aca="false">Base_Semanal!F92</f>
        <v>0</v>
      </c>
      <c r="G92" s="36" t="n">
        <f aca="false">Base_Semanal!G92</f>
        <v>0</v>
      </c>
      <c r="H92" s="36" t="n">
        <f aca="false">Base_Semanal!H92</f>
        <v>0</v>
      </c>
      <c r="I92" s="36" t="n">
        <f aca="false">Base_Semanal!I92</f>
        <v>0</v>
      </c>
      <c r="J92" s="36" t="n">
        <f aca="false">H92+I92</f>
        <v>0</v>
      </c>
      <c r="K92" s="37" t="str">
        <f aca="false">IF(F92=0,"",G92/F92)</f>
        <v/>
      </c>
      <c r="L92" s="36" t="n">
        <f aca="false">Base_Semanal!J92</f>
        <v>0</v>
      </c>
      <c r="M92" s="36" t="n">
        <f aca="false">Base_Semanal!K92</f>
        <v>0</v>
      </c>
      <c r="N92" s="36" t="n">
        <f aca="false">L92+M92</f>
        <v>0</v>
      </c>
      <c r="O92" s="37" t="str">
        <f aca="false">IF(J92=0,"",N92/J92)</f>
        <v/>
      </c>
      <c r="P92" s="36" t="n">
        <f aca="false">Base_Semanal!L92</f>
        <v>0</v>
      </c>
      <c r="Q92" s="36" t="n">
        <f aca="false">Base_Semanal!M92</f>
        <v>0</v>
      </c>
      <c r="R92" s="36" t="n">
        <f aca="false">P92+Q92</f>
        <v>0</v>
      </c>
      <c r="S92" s="36" t="n">
        <f aca="false">Base_Semanal!N92</f>
        <v>0</v>
      </c>
      <c r="T92" s="36" t="n">
        <f aca="false">Base_Semanal!O92</f>
        <v>0</v>
      </c>
      <c r="U92" s="37" t="str">
        <f aca="false">IF(Base_Semanal!P92=0,"",Base_Semanal!Q92/Base_Semanal!P92)</f>
        <v/>
      </c>
      <c r="V92" s="37" t="str">
        <f aca="false">IF(Base_Semanal!R92=0,"",Base_Semanal!S92/Base_Semanal!R92)</f>
        <v/>
      </c>
      <c r="W92" s="37" t="str">
        <f aca="false">IF(Base_Semanal!P92+Base_Semanal!R92=0,"",(Base_Semanal!Q92+Base_Semanal!S92)/(Base_Semanal!P92+Base_Semanal!R92))</f>
        <v/>
      </c>
      <c r="X92" s="38" t="n">
        <f aca="false">Base_Semanal!T92</f>
        <v>0</v>
      </c>
      <c r="Y92" s="38" t="n">
        <f aca="false">Base_Semanal!U92</f>
        <v>0</v>
      </c>
      <c r="Z92" s="38" t="n">
        <f aca="false">Base_Semanal!V92</f>
        <v>0</v>
      </c>
      <c r="AA92" s="38" t="n">
        <f aca="false">Base_Semanal!W92</f>
        <v>0</v>
      </c>
      <c r="AB92" s="36" t="n">
        <f aca="false">COUNTIFS(Contratos!$B$4:$B$503,$A92,Contratos!$E$4:$E$503,"Avaliação")</f>
        <v>0</v>
      </c>
      <c r="AC92" s="39" t="n">
        <f aca="false">SUMIFS(Contratos!$I$4:$I$503,Contratos!$B$4:$B$503,$A92,Contratos!$E$4:$E$503,"Avaliação")</f>
        <v>0</v>
      </c>
      <c r="AD92" s="36" t="n">
        <f aca="false">COUNTIFS(Contratos!$B$4:$B$503,$A92,Contratos!$E$4:$E$503,"Protocolo")</f>
        <v>0</v>
      </c>
      <c r="AE92" s="39" t="n">
        <f aca="false">SUMIFS(Contratos!$I$4:$I$503,Contratos!$B$4:$B$503,$A92,Contratos!$E$4:$E$503,"Protocolo")</f>
        <v>0</v>
      </c>
      <c r="AF92" s="39" t="n">
        <f aca="false">AC92+AE92</f>
        <v>0</v>
      </c>
      <c r="AG92" s="36" t="n">
        <f aca="false">COUNTIFS(Contratos!$B$4:$B$503,$A92,Contratos!$J$4:$J$503,"À vista")</f>
        <v>0</v>
      </c>
      <c r="AH92" s="36" t="n">
        <f aca="false">COUNTIFS(Contratos!$B$4:$B$503,$A92,Contratos!$J$4:$J$503,"Parcelado")</f>
        <v>0</v>
      </c>
      <c r="AI92" s="39" t="n">
        <f aca="false">SUMIFS(Financeiro!$G$4:$G$503,Financeiro!$B$4:$B$503,$A92,Financeiro!$D$4:$D$503,"Receita",Financeiro!$H$4:$H$503,"&lt;&gt;Cancelado")</f>
        <v>0</v>
      </c>
      <c r="AJ92" s="39" t="n">
        <f aca="false">SUMIFS(Financeiro!$G$4:$G$503,Financeiro!$B$4:$B$503,$A92,Financeiro!$D$4:$D$503,"Gasto",Financeiro!$H$4:$H$503,"&lt;&gt;Cancelado")</f>
        <v>0</v>
      </c>
      <c r="AK92" s="39" t="n">
        <f aca="false">SUMIFS(Financeiro!$G$4:$G$503,Financeiro!$B$4:$B$503,$A92,Financeiro!$D$4:$D$503,"Imposto",Financeiro!$H$4:$H$503,"&lt;&gt;Cancelado")</f>
        <v>0</v>
      </c>
      <c r="AL92" s="39" t="n">
        <f aca="false">SUMIFS(Financeiro!$G$4:$G$503,Financeiro!$B$4:$B$503,$A92,Financeiro!$D$4:$D$503,"Marketing",Financeiro!$H$4:$H$503,"&lt;&gt;Cancelado")</f>
        <v>0</v>
      </c>
      <c r="AM92" s="39" t="n">
        <f aca="false">AI92-AJ92-AK92-AL92</f>
        <v>0</v>
      </c>
      <c r="AN92" s="37" t="n">
        <f aca="false">IF(Config!$B$16=0,"",AI92/Config!$B$16)</f>
        <v>0</v>
      </c>
      <c r="AO92" s="37" t="n">
        <f aca="false">IF(Config!$B$17=0,"",AJ92/Config!$B$17)</f>
        <v>0</v>
      </c>
      <c r="AP92" s="39" t="str">
        <f aca="false">IF(T92=0,"",AL92/T92)</f>
        <v/>
      </c>
      <c r="AQ92" s="39" t="n">
        <f aca="false">SUMIFS($AI$4:$AI$107,$D$4:$D$107,$D92,$B$4:$B$107,"&lt;="&amp;$B92)</f>
        <v>0</v>
      </c>
      <c r="AR92" s="39" t="n">
        <f aca="false">SUMIFS($AJ$4:$AJ$107,$D$4:$D$107,$D92,$B$4:$B$107,"&lt;="&amp;$B92)</f>
        <v>0</v>
      </c>
      <c r="AS92" s="36" t="n">
        <f aca="false">SUMIFS(Leads_Canal!$C$4:$C$503,Leads_Canal!$A$4:$A$503,$A92)</f>
        <v>0</v>
      </c>
      <c r="AT92" s="17" t="str">
        <f aca="false">IF(E92=0,"",IF(E92=AR92,"OK","Divergente"))</f>
        <v/>
      </c>
      <c r="AU92" s="17" t="str">
        <f aca="false">IF(N92=0,"",IF(N92=AD92,"OK","Divergente"))</f>
        <v/>
      </c>
    </row>
    <row r="93" customFormat="false" ht="15" hidden="false" customHeight="false" outlineLevel="0" collapsed="false">
      <c r="A93" s="17" t="str">
        <f aca="false">Base_Semanal!A93</f>
        <v>2027-S38</v>
      </c>
      <c r="B93" s="30" t="n">
        <f aca="false">Base_Semanal!B93</f>
        <v>46650</v>
      </c>
      <c r="C93" s="30" t="n">
        <f aca="false">Base_Semanal!C93</f>
        <v>46656</v>
      </c>
      <c r="D93" s="17" t="str">
        <f aca="false">Base_Semanal!D93</f>
        <v>2027-09</v>
      </c>
      <c r="E93" s="36" t="n">
        <f aca="false">Base_Semanal!E93</f>
        <v>0</v>
      </c>
      <c r="F93" s="36" t="n">
        <f aca="false">Base_Semanal!F93</f>
        <v>0</v>
      </c>
      <c r="G93" s="36" t="n">
        <f aca="false">Base_Semanal!G93</f>
        <v>0</v>
      </c>
      <c r="H93" s="36" t="n">
        <f aca="false">Base_Semanal!H93</f>
        <v>0</v>
      </c>
      <c r="I93" s="36" t="n">
        <f aca="false">Base_Semanal!I93</f>
        <v>0</v>
      </c>
      <c r="J93" s="36" t="n">
        <f aca="false">H93+I93</f>
        <v>0</v>
      </c>
      <c r="K93" s="37" t="str">
        <f aca="false">IF(F93=0,"",G93/F93)</f>
        <v/>
      </c>
      <c r="L93" s="36" t="n">
        <f aca="false">Base_Semanal!J93</f>
        <v>0</v>
      </c>
      <c r="M93" s="36" t="n">
        <f aca="false">Base_Semanal!K93</f>
        <v>0</v>
      </c>
      <c r="N93" s="36" t="n">
        <f aca="false">L93+M93</f>
        <v>0</v>
      </c>
      <c r="O93" s="37" t="str">
        <f aca="false">IF(J93=0,"",N93/J93)</f>
        <v/>
      </c>
      <c r="P93" s="36" t="n">
        <f aca="false">Base_Semanal!L93</f>
        <v>0</v>
      </c>
      <c r="Q93" s="36" t="n">
        <f aca="false">Base_Semanal!M93</f>
        <v>0</v>
      </c>
      <c r="R93" s="36" t="n">
        <f aca="false">P93+Q93</f>
        <v>0</v>
      </c>
      <c r="S93" s="36" t="n">
        <f aca="false">Base_Semanal!N93</f>
        <v>0</v>
      </c>
      <c r="T93" s="36" t="n">
        <f aca="false">Base_Semanal!O93</f>
        <v>0</v>
      </c>
      <c r="U93" s="37" t="str">
        <f aca="false">IF(Base_Semanal!P93=0,"",Base_Semanal!Q93/Base_Semanal!P93)</f>
        <v/>
      </c>
      <c r="V93" s="37" t="str">
        <f aca="false">IF(Base_Semanal!R93=0,"",Base_Semanal!S93/Base_Semanal!R93)</f>
        <v/>
      </c>
      <c r="W93" s="37" t="str">
        <f aca="false">IF(Base_Semanal!P93+Base_Semanal!R93=0,"",(Base_Semanal!Q93+Base_Semanal!S93)/(Base_Semanal!P93+Base_Semanal!R93))</f>
        <v/>
      </c>
      <c r="X93" s="38" t="n">
        <f aca="false">Base_Semanal!T93</f>
        <v>0</v>
      </c>
      <c r="Y93" s="38" t="n">
        <f aca="false">Base_Semanal!U93</f>
        <v>0</v>
      </c>
      <c r="Z93" s="38" t="n">
        <f aca="false">Base_Semanal!V93</f>
        <v>0</v>
      </c>
      <c r="AA93" s="38" t="n">
        <f aca="false">Base_Semanal!W93</f>
        <v>0</v>
      </c>
      <c r="AB93" s="36" t="n">
        <f aca="false">COUNTIFS(Contratos!$B$4:$B$503,$A93,Contratos!$E$4:$E$503,"Avaliação")</f>
        <v>0</v>
      </c>
      <c r="AC93" s="39" t="n">
        <f aca="false">SUMIFS(Contratos!$I$4:$I$503,Contratos!$B$4:$B$503,$A93,Contratos!$E$4:$E$503,"Avaliação")</f>
        <v>0</v>
      </c>
      <c r="AD93" s="36" t="n">
        <f aca="false">COUNTIFS(Contratos!$B$4:$B$503,$A93,Contratos!$E$4:$E$503,"Protocolo")</f>
        <v>0</v>
      </c>
      <c r="AE93" s="39" t="n">
        <f aca="false">SUMIFS(Contratos!$I$4:$I$503,Contratos!$B$4:$B$503,$A93,Contratos!$E$4:$E$503,"Protocolo")</f>
        <v>0</v>
      </c>
      <c r="AF93" s="39" t="n">
        <f aca="false">AC93+AE93</f>
        <v>0</v>
      </c>
      <c r="AG93" s="36" t="n">
        <f aca="false">COUNTIFS(Contratos!$B$4:$B$503,$A93,Contratos!$J$4:$J$503,"À vista")</f>
        <v>0</v>
      </c>
      <c r="AH93" s="36" t="n">
        <f aca="false">COUNTIFS(Contratos!$B$4:$B$503,$A93,Contratos!$J$4:$J$503,"Parcelado")</f>
        <v>0</v>
      </c>
      <c r="AI93" s="39" t="n">
        <f aca="false">SUMIFS(Financeiro!$G$4:$G$503,Financeiro!$B$4:$B$503,$A93,Financeiro!$D$4:$D$503,"Receita",Financeiro!$H$4:$H$503,"&lt;&gt;Cancelado")</f>
        <v>0</v>
      </c>
      <c r="AJ93" s="39" t="n">
        <f aca="false">SUMIFS(Financeiro!$G$4:$G$503,Financeiro!$B$4:$B$503,$A93,Financeiro!$D$4:$D$503,"Gasto",Financeiro!$H$4:$H$503,"&lt;&gt;Cancelado")</f>
        <v>0</v>
      </c>
      <c r="AK93" s="39" t="n">
        <f aca="false">SUMIFS(Financeiro!$G$4:$G$503,Financeiro!$B$4:$B$503,$A93,Financeiro!$D$4:$D$503,"Imposto",Financeiro!$H$4:$H$503,"&lt;&gt;Cancelado")</f>
        <v>0</v>
      </c>
      <c r="AL93" s="39" t="n">
        <f aca="false">SUMIFS(Financeiro!$G$4:$G$503,Financeiro!$B$4:$B$503,$A93,Financeiro!$D$4:$D$503,"Marketing",Financeiro!$H$4:$H$503,"&lt;&gt;Cancelado")</f>
        <v>0</v>
      </c>
      <c r="AM93" s="39" t="n">
        <f aca="false">AI93-AJ93-AK93-AL93</f>
        <v>0</v>
      </c>
      <c r="AN93" s="37" t="n">
        <f aca="false">IF(Config!$B$16=0,"",AI93/Config!$B$16)</f>
        <v>0</v>
      </c>
      <c r="AO93" s="37" t="n">
        <f aca="false">IF(Config!$B$17=0,"",AJ93/Config!$B$17)</f>
        <v>0</v>
      </c>
      <c r="AP93" s="39" t="str">
        <f aca="false">IF(T93=0,"",AL93/T93)</f>
        <v/>
      </c>
      <c r="AQ93" s="39" t="n">
        <f aca="false">SUMIFS($AI$4:$AI$107,$D$4:$D$107,$D93,$B$4:$B$107,"&lt;="&amp;$B93)</f>
        <v>0</v>
      </c>
      <c r="AR93" s="39" t="n">
        <f aca="false">SUMIFS($AJ$4:$AJ$107,$D$4:$D$107,$D93,$B$4:$B$107,"&lt;="&amp;$B93)</f>
        <v>0</v>
      </c>
      <c r="AS93" s="36" t="n">
        <f aca="false">SUMIFS(Leads_Canal!$C$4:$C$503,Leads_Canal!$A$4:$A$503,$A93)</f>
        <v>0</v>
      </c>
      <c r="AT93" s="17" t="str">
        <f aca="false">IF(E93=0,"",IF(E93=AR93,"OK","Divergente"))</f>
        <v/>
      </c>
      <c r="AU93" s="17" t="str">
        <f aca="false">IF(N93=0,"",IF(N93=AD93,"OK","Divergente"))</f>
        <v/>
      </c>
    </row>
    <row r="94" customFormat="false" ht="15" hidden="false" customHeight="false" outlineLevel="0" collapsed="false">
      <c r="A94" s="17" t="str">
        <f aca="false">Base_Semanal!A94</f>
        <v>2027-S39</v>
      </c>
      <c r="B94" s="30" t="n">
        <f aca="false">Base_Semanal!B94</f>
        <v>46657</v>
      </c>
      <c r="C94" s="30" t="n">
        <f aca="false">Base_Semanal!C94</f>
        <v>46663</v>
      </c>
      <c r="D94" s="17" t="str">
        <f aca="false">Base_Semanal!D94</f>
        <v>2027-09</v>
      </c>
      <c r="E94" s="36" t="n">
        <f aca="false">Base_Semanal!E94</f>
        <v>0</v>
      </c>
      <c r="F94" s="36" t="n">
        <f aca="false">Base_Semanal!F94</f>
        <v>0</v>
      </c>
      <c r="G94" s="36" t="n">
        <f aca="false">Base_Semanal!G94</f>
        <v>0</v>
      </c>
      <c r="H94" s="36" t="n">
        <f aca="false">Base_Semanal!H94</f>
        <v>0</v>
      </c>
      <c r="I94" s="36" t="n">
        <f aca="false">Base_Semanal!I94</f>
        <v>0</v>
      </c>
      <c r="J94" s="36" t="n">
        <f aca="false">H94+I94</f>
        <v>0</v>
      </c>
      <c r="K94" s="37" t="str">
        <f aca="false">IF(F94=0,"",G94/F94)</f>
        <v/>
      </c>
      <c r="L94" s="36" t="n">
        <f aca="false">Base_Semanal!J94</f>
        <v>0</v>
      </c>
      <c r="M94" s="36" t="n">
        <f aca="false">Base_Semanal!K94</f>
        <v>0</v>
      </c>
      <c r="N94" s="36" t="n">
        <f aca="false">L94+M94</f>
        <v>0</v>
      </c>
      <c r="O94" s="37" t="str">
        <f aca="false">IF(J94=0,"",N94/J94)</f>
        <v/>
      </c>
      <c r="P94" s="36" t="n">
        <f aca="false">Base_Semanal!L94</f>
        <v>0</v>
      </c>
      <c r="Q94" s="36" t="n">
        <f aca="false">Base_Semanal!M94</f>
        <v>0</v>
      </c>
      <c r="R94" s="36" t="n">
        <f aca="false">P94+Q94</f>
        <v>0</v>
      </c>
      <c r="S94" s="36" t="n">
        <f aca="false">Base_Semanal!N94</f>
        <v>0</v>
      </c>
      <c r="T94" s="36" t="n">
        <f aca="false">Base_Semanal!O94</f>
        <v>0</v>
      </c>
      <c r="U94" s="37" t="str">
        <f aca="false">IF(Base_Semanal!P94=0,"",Base_Semanal!Q94/Base_Semanal!P94)</f>
        <v/>
      </c>
      <c r="V94" s="37" t="str">
        <f aca="false">IF(Base_Semanal!R94=0,"",Base_Semanal!S94/Base_Semanal!R94)</f>
        <v/>
      </c>
      <c r="W94" s="37" t="str">
        <f aca="false">IF(Base_Semanal!P94+Base_Semanal!R94=0,"",(Base_Semanal!Q94+Base_Semanal!S94)/(Base_Semanal!P94+Base_Semanal!R94))</f>
        <v/>
      </c>
      <c r="X94" s="38" t="n">
        <f aca="false">Base_Semanal!T94</f>
        <v>0</v>
      </c>
      <c r="Y94" s="38" t="n">
        <f aca="false">Base_Semanal!U94</f>
        <v>0</v>
      </c>
      <c r="Z94" s="38" t="n">
        <f aca="false">Base_Semanal!V94</f>
        <v>0</v>
      </c>
      <c r="AA94" s="38" t="n">
        <f aca="false">Base_Semanal!W94</f>
        <v>0</v>
      </c>
      <c r="AB94" s="36" t="n">
        <f aca="false">COUNTIFS(Contratos!$B$4:$B$503,$A94,Contratos!$E$4:$E$503,"Avaliação")</f>
        <v>0</v>
      </c>
      <c r="AC94" s="39" t="n">
        <f aca="false">SUMIFS(Contratos!$I$4:$I$503,Contratos!$B$4:$B$503,$A94,Contratos!$E$4:$E$503,"Avaliação")</f>
        <v>0</v>
      </c>
      <c r="AD94" s="36" t="n">
        <f aca="false">COUNTIFS(Contratos!$B$4:$B$503,$A94,Contratos!$E$4:$E$503,"Protocolo")</f>
        <v>0</v>
      </c>
      <c r="AE94" s="39" t="n">
        <f aca="false">SUMIFS(Contratos!$I$4:$I$503,Contratos!$B$4:$B$503,$A94,Contratos!$E$4:$E$503,"Protocolo")</f>
        <v>0</v>
      </c>
      <c r="AF94" s="39" t="n">
        <f aca="false">AC94+AE94</f>
        <v>0</v>
      </c>
      <c r="AG94" s="36" t="n">
        <f aca="false">COUNTIFS(Contratos!$B$4:$B$503,$A94,Contratos!$J$4:$J$503,"À vista")</f>
        <v>0</v>
      </c>
      <c r="AH94" s="36" t="n">
        <f aca="false">COUNTIFS(Contratos!$B$4:$B$503,$A94,Contratos!$J$4:$J$503,"Parcelado")</f>
        <v>0</v>
      </c>
      <c r="AI94" s="39" t="n">
        <f aca="false">SUMIFS(Financeiro!$G$4:$G$503,Financeiro!$B$4:$B$503,$A94,Financeiro!$D$4:$D$503,"Receita",Financeiro!$H$4:$H$503,"&lt;&gt;Cancelado")</f>
        <v>0</v>
      </c>
      <c r="AJ94" s="39" t="n">
        <f aca="false">SUMIFS(Financeiro!$G$4:$G$503,Financeiro!$B$4:$B$503,$A94,Financeiro!$D$4:$D$503,"Gasto",Financeiro!$H$4:$H$503,"&lt;&gt;Cancelado")</f>
        <v>0</v>
      </c>
      <c r="AK94" s="39" t="n">
        <f aca="false">SUMIFS(Financeiro!$G$4:$G$503,Financeiro!$B$4:$B$503,$A94,Financeiro!$D$4:$D$503,"Imposto",Financeiro!$H$4:$H$503,"&lt;&gt;Cancelado")</f>
        <v>0</v>
      </c>
      <c r="AL94" s="39" t="n">
        <f aca="false">SUMIFS(Financeiro!$G$4:$G$503,Financeiro!$B$4:$B$503,$A94,Financeiro!$D$4:$D$503,"Marketing",Financeiro!$H$4:$H$503,"&lt;&gt;Cancelado")</f>
        <v>0</v>
      </c>
      <c r="AM94" s="39" t="n">
        <f aca="false">AI94-AJ94-AK94-AL94</f>
        <v>0</v>
      </c>
      <c r="AN94" s="37" t="n">
        <f aca="false">IF(Config!$B$16=0,"",AI94/Config!$B$16)</f>
        <v>0</v>
      </c>
      <c r="AO94" s="37" t="n">
        <f aca="false">IF(Config!$B$17=0,"",AJ94/Config!$B$17)</f>
        <v>0</v>
      </c>
      <c r="AP94" s="39" t="str">
        <f aca="false">IF(T94=0,"",AL94/T94)</f>
        <v/>
      </c>
      <c r="AQ94" s="39" t="n">
        <f aca="false">SUMIFS($AI$4:$AI$107,$D$4:$D$107,$D94,$B$4:$B$107,"&lt;="&amp;$B94)</f>
        <v>0</v>
      </c>
      <c r="AR94" s="39" t="n">
        <f aca="false">SUMIFS($AJ$4:$AJ$107,$D$4:$D$107,$D94,$B$4:$B$107,"&lt;="&amp;$B94)</f>
        <v>0</v>
      </c>
      <c r="AS94" s="36" t="n">
        <f aca="false">SUMIFS(Leads_Canal!$C$4:$C$503,Leads_Canal!$A$4:$A$503,$A94)</f>
        <v>0</v>
      </c>
      <c r="AT94" s="17" t="str">
        <f aca="false">IF(E94=0,"",IF(E94=AR94,"OK","Divergente"))</f>
        <v/>
      </c>
      <c r="AU94" s="17" t="str">
        <f aca="false">IF(N94=0,"",IF(N94=AD94,"OK","Divergente"))</f>
        <v/>
      </c>
    </row>
    <row r="95" customFormat="false" ht="15" hidden="false" customHeight="false" outlineLevel="0" collapsed="false">
      <c r="A95" s="17" t="str">
        <f aca="false">Base_Semanal!A95</f>
        <v>2027-S40</v>
      </c>
      <c r="B95" s="30" t="n">
        <f aca="false">Base_Semanal!B95</f>
        <v>46664</v>
      </c>
      <c r="C95" s="30" t="n">
        <f aca="false">Base_Semanal!C95</f>
        <v>46670</v>
      </c>
      <c r="D95" s="17" t="str">
        <f aca="false">Base_Semanal!D95</f>
        <v>2027-10</v>
      </c>
      <c r="E95" s="36" t="n">
        <f aca="false">Base_Semanal!E95</f>
        <v>0</v>
      </c>
      <c r="F95" s="36" t="n">
        <f aca="false">Base_Semanal!F95</f>
        <v>0</v>
      </c>
      <c r="G95" s="36" t="n">
        <f aca="false">Base_Semanal!G95</f>
        <v>0</v>
      </c>
      <c r="H95" s="36" t="n">
        <f aca="false">Base_Semanal!H95</f>
        <v>0</v>
      </c>
      <c r="I95" s="36" t="n">
        <f aca="false">Base_Semanal!I95</f>
        <v>0</v>
      </c>
      <c r="J95" s="36" t="n">
        <f aca="false">H95+I95</f>
        <v>0</v>
      </c>
      <c r="K95" s="37" t="str">
        <f aca="false">IF(F95=0,"",G95/F95)</f>
        <v/>
      </c>
      <c r="L95" s="36" t="n">
        <f aca="false">Base_Semanal!J95</f>
        <v>0</v>
      </c>
      <c r="M95" s="36" t="n">
        <f aca="false">Base_Semanal!K95</f>
        <v>0</v>
      </c>
      <c r="N95" s="36" t="n">
        <f aca="false">L95+M95</f>
        <v>0</v>
      </c>
      <c r="O95" s="37" t="str">
        <f aca="false">IF(J95=0,"",N95/J95)</f>
        <v/>
      </c>
      <c r="P95" s="36" t="n">
        <f aca="false">Base_Semanal!L95</f>
        <v>0</v>
      </c>
      <c r="Q95" s="36" t="n">
        <f aca="false">Base_Semanal!M95</f>
        <v>0</v>
      </c>
      <c r="R95" s="36" t="n">
        <f aca="false">P95+Q95</f>
        <v>0</v>
      </c>
      <c r="S95" s="36" t="n">
        <f aca="false">Base_Semanal!N95</f>
        <v>0</v>
      </c>
      <c r="T95" s="36" t="n">
        <f aca="false">Base_Semanal!O95</f>
        <v>0</v>
      </c>
      <c r="U95" s="37" t="str">
        <f aca="false">IF(Base_Semanal!P95=0,"",Base_Semanal!Q95/Base_Semanal!P95)</f>
        <v/>
      </c>
      <c r="V95" s="37" t="str">
        <f aca="false">IF(Base_Semanal!R95=0,"",Base_Semanal!S95/Base_Semanal!R95)</f>
        <v/>
      </c>
      <c r="W95" s="37" t="str">
        <f aca="false">IF(Base_Semanal!P95+Base_Semanal!R95=0,"",(Base_Semanal!Q95+Base_Semanal!S95)/(Base_Semanal!P95+Base_Semanal!R95))</f>
        <v/>
      </c>
      <c r="X95" s="38" t="n">
        <f aca="false">Base_Semanal!T95</f>
        <v>0</v>
      </c>
      <c r="Y95" s="38" t="n">
        <f aca="false">Base_Semanal!U95</f>
        <v>0</v>
      </c>
      <c r="Z95" s="38" t="n">
        <f aca="false">Base_Semanal!V95</f>
        <v>0</v>
      </c>
      <c r="AA95" s="38" t="n">
        <f aca="false">Base_Semanal!W95</f>
        <v>0</v>
      </c>
      <c r="AB95" s="36" t="n">
        <f aca="false">COUNTIFS(Contratos!$B$4:$B$503,$A95,Contratos!$E$4:$E$503,"Avaliação")</f>
        <v>0</v>
      </c>
      <c r="AC95" s="39" t="n">
        <f aca="false">SUMIFS(Contratos!$I$4:$I$503,Contratos!$B$4:$B$503,$A95,Contratos!$E$4:$E$503,"Avaliação")</f>
        <v>0</v>
      </c>
      <c r="AD95" s="36" t="n">
        <f aca="false">COUNTIFS(Contratos!$B$4:$B$503,$A95,Contratos!$E$4:$E$503,"Protocolo")</f>
        <v>0</v>
      </c>
      <c r="AE95" s="39" t="n">
        <f aca="false">SUMIFS(Contratos!$I$4:$I$503,Contratos!$B$4:$B$503,$A95,Contratos!$E$4:$E$503,"Protocolo")</f>
        <v>0</v>
      </c>
      <c r="AF95" s="39" t="n">
        <f aca="false">AC95+AE95</f>
        <v>0</v>
      </c>
      <c r="AG95" s="36" t="n">
        <f aca="false">COUNTIFS(Contratos!$B$4:$B$503,$A95,Contratos!$J$4:$J$503,"À vista")</f>
        <v>0</v>
      </c>
      <c r="AH95" s="36" t="n">
        <f aca="false">COUNTIFS(Contratos!$B$4:$B$503,$A95,Contratos!$J$4:$J$503,"Parcelado")</f>
        <v>0</v>
      </c>
      <c r="AI95" s="39" t="n">
        <f aca="false">SUMIFS(Financeiro!$G$4:$G$503,Financeiro!$B$4:$B$503,$A95,Financeiro!$D$4:$D$503,"Receita",Financeiro!$H$4:$H$503,"&lt;&gt;Cancelado")</f>
        <v>0</v>
      </c>
      <c r="AJ95" s="39" t="n">
        <f aca="false">SUMIFS(Financeiro!$G$4:$G$503,Financeiro!$B$4:$B$503,$A95,Financeiro!$D$4:$D$503,"Gasto",Financeiro!$H$4:$H$503,"&lt;&gt;Cancelado")</f>
        <v>0</v>
      </c>
      <c r="AK95" s="39" t="n">
        <f aca="false">SUMIFS(Financeiro!$G$4:$G$503,Financeiro!$B$4:$B$503,$A95,Financeiro!$D$4:$D$503,"Imposto",Financeiro!$H$4:$H$503,"&lt;&gt;Cancelado")</f>
        <v>0</v>
      </c>
      <c r="AL95" s="39" t="n">
        <f aca="false">SUMIFS(Financeiro!$G$4:$G$503,Financeiro!$B$4:$B$503,$A95,Financeiro!$D$4:$D$503,"Marketing",Financeiro!$H$4:$H$503,"&lt;&gt;Cancelado")</f>
        <v>0</v>
      </c>
      <c r="AM95" s="39" t="n">
        <f aca="false">AI95-AJ95-AK95-AL95</f>
        <v>0</v>
      </c>
      <c r="AN95" s="37" t="n">
        <f aca="false">IF(Config!$B$16=0,"",AI95/Config!$B$16)</f>
        <v>0</v>
      </c>
      <c r="AO95" s="37" t="n">
        <f aca="false">IF(Config!$B$17=0,"",AJ95/Config!$B$17)</f>
        <v>0</v>
      </c>
      <c r="AP95" s="39" t="str">
        <f aca="false">IF(T95=0,"",AL95/T95)</f>
        <v/>
      </c>
      <c r="AQ95" s="39" t="n">
        <f aca="false">SUMIFS($AI$4:$AI$107,$D$4:$D$107,$D95,$B$4:$B$107,"&lt;="&amp;$B95)</f>
        <v>0</v>
      </c>
      <c r="AR95" s="39" t="n">
        <f aca="false">SUMIFS($AJ$4:$AJ$107,$D$4:$D$107,$D95,$B$4:$B$107,"&lt;="&amp;$B95)</f>
        <v>0</v>
      </c>
      <c r="AS95" s="36" t="n">
        <f aca="false">SUMIFS(Leads_Canal!$C$4:$C$503,Leads_Canal!$A$4:$A$503,$A95)</f>
        <v>0</v>
      </c>
      <c r="AT95" s="17" t="str">
        <f aca="false">IF(E95=0,"",IF(E95=AR95,"OK","Divergente"))</f>
        <v/>
      </c>
      <c r="AU95" s="17" t="str">
        <f aca="false">IF(N95=0,"",IF(N95=AD95,"OK","Divergente"))</f>
        <v/>
      </c>
    </row>
    <row r="96" customFormat="false" ht="15" hidden="false" customHeight="false" outlineLevel="0" collapsed="false">
      <c r="A96" s="17" t="str">
        <f aca="false">Base_Semanal!A96</f>
        <v>2027-S41</v>
      </c>
      <c r="B96" s="30" t="n">
        <f aca="false">Base_Semanal!B96</f>
        <v>46671</v>
      </c>
      <c r="C96" s="30" t="n">
        <f aca="false">Base_Semanal!C96</f>
        <v>46677</v>
      </c>
      <c r="D96" s="17" t="str">
        <f aca="false">Base_Semanal!D96</f>
        <v>2027-10</v>
      </c>
      <c r="E96" s="36" t="n">
        <f aca="false">Base_Semanal!E96</f>
        <v>0</v>
      </c>
      <c r="F96" s="36" t="n">
        <f aca="false">Base_Semanal!F96</f>
        <v>0</v>
      </c>
      <c r="G96" s="36" t="n">
        <f aca="false">Base_Semanal!G96</f>
        <v>0</v>
      </c>
      <c r="H96" s="36" t="n">
        <f aca="false">Base_Semanal!H96</f>
        <v>0</v>
      </c>
      <c r="I96" s="36" t="n">
        <f aca="false">Base_Semanal!I96</f>
        <v>0</v>
      </c>
      <c r="J96" s="36" t="n">
        <f aca="false">H96+I96</f>
        <v>0</v>
      </c>
      <c r="K96" s="37" t="str">
        <f aca="false">IF(F96=0,"",G96/F96)</f>
        <v/>
      </c>
      <c r="L96" s="36" t="n">
        <f aca="false">Base_Semanal!J96</f>
        <v>0</v>
      </c>
      <c r="M96" s="36" t="n">
        <f aca="false">Base_Semanal!K96</f>
        <v>0</v>
      </c>
      <c r="N96" s="36" t="n">
        <f aca="false">L96+M96</f>
        <v>0</v>
      </c>
      <c r="O96" s="37" t="str">
        <f aca="false">IF(J96=0,"",N96/J96)</f>
        <v/>
      </c>
      <c r="P96" s="36" t="n">
        <f aca="false">Base_Semanal!L96</f>
        <v>0</v>
      </c>
      <c r="Q96" s="36" t="n">
        <f aca="false">Base_Semanal!M96</f>
        <v>0</v>
      </c>
      <c r="R96" s="36" t="n">
        <f aca="false">P96+Q96</f>
        <v>0</v>
      </c>
      <c r="S96" s="36" t="n">
        <f aca="false">Base_Semanal!N96</f>
        <v>0</v>
      </c>
      <c r="T96" s="36" t="n">
        <f aca="false">Base_Semanal!O96</f>
        <v>0</v>
      </c>
      <c r="U96" s="37" t="str">
        <f aca="false">IF(Base_Semanal!P96=0,"",Base_Semanal!Q96/Base_Semanal!P96)</f>
        <v/>
      </c>
      <c r="V96" s="37" t="str">
        <f aca="false">IF(Base_Semanal!R96=0,"",Base_Semanal!S96/Base_Semanal!R96)</f>
        <v/>
      </c>
      <c r="W96" s="37" t="str">
        <f aca="false">IF(Base_Semanal!P96+Base_Semanal!R96=0,"",(Base_Semanal!Q96+Base_Semanal!S96)/(Base_Semanal!P96+Base_Semanal!R96))</f>
        <v/>
      </c>
      <c r="X96" s="38" t="n">
        <f aca="false">Base_Semanal!T96</f>
        <v>0</v>
      </c>
      <c r="Y96" s="38" t="n">
        <f aca="false">Base_Semanal!U96</f>
        <v>0</v>
      </c>
      <c r="Z96" s="38" t="n">
        <f aca="false">Base_Semanal!V96</f>
        <v>0</v>
      </c>
      <c r="AA96" s="38" t="n">
        <f aca="false">Base_Semanal!W96</f>
        <v>0</v>
      </c>
      <c r="AB96" s="36" t="n">
        <f aca="false">COUNTIFS(Contratos!$B$4:$B$503,$A96,Contratos!$E$4:$E$503,"Avaliação")</f>
        <v>0</v>
      </c>
      <c r="AC96" s="39" t="n">
        <f aca="false">SUMIFS(Contratos!$I$4:$I$503,Contratos!$B$4:$B$503,$A96,Contratos!$E$4:$E$503,"Avaliação")</f>
        <v>0</v>
      </c>
      <c r="AD96" s="36" t="n">
        <f aca="false">COUNTIFS(Contratos!$B$4:$B$503,$A96,Contratos!$E$4:$E$503,"Protocolo")</f>
        <v>0</v>
      </c>
      <c r="AE96" s="39" t="n">
        <f aca="false">SUMIFS(Contratos!$I$4:$I$503,Contratos!$B$4:$B$503,$A96,Contratos!$E$4:$E$503,"Protocolo")</f>
        <v>0</v>
      </c>
      <c r="AF96" s="39" t="n">
        <f aca="false">AC96+AE96</f>
        <v>0</v>
      </c>
      <c r="AG96" s="36" t="n">
        <f aca="false">COUNTIFS(Contratos!$B$4:$B$503,$A96,Contratos!$J$4:$J$503,"À vista")</f>
        <v>0</v>
      </c>
      <c r="AH96" s="36" t="n">
        <f aca="false">COUNTIFS(Contratos!$B$4:$B$503,$A96,Contratos!$J$4:$J$503,"Parcelado")</f>
        <v>0</v>
      </c>
      <c r="AI96" s="39" t="n">
        <f aca="false">SUMIFS(Financeiro!$G$4:$G$503,Financeiro!$B$4:$B$503,$A96,Financeiro!$D$4:$D$503,"Receita",Financeiro!$H$4:$H$503,"&lt;&gt;Cancelado")</f>
        <v>0</v>
      </c>
      <c r="AJ96" s="39" t="n">
        <f aca="false">SUMIFS(Financeiro!$G$4:$G$503,Financeiro!$B$4:$B$503,$A96,Financeiro!$D$4:$D$503,"Gasto",Financeiro!$H$4:$H$503,"&lt;&gt;Cancelado")</f>
        <v>0</v>
      </c>
      <c r="AK96" s="39" t="n">
        <f aca="false">SUMIFS(Financeiro!$G$4:$G$503,Financeiro!$B$4:$B$503,$A96,Financeiro!$D$4:$D$503,"Imposto",Financeiro!$H$4:$H$503,"&lt;&gt;Cancelado")</f>
        <v>0</v>
      </c>
      <c r="AL96" s="39" t="n">
        <f aca="false">SUMIFS(Financeiro!$G$4:$G$503,Financeiro!$B$4:$B$503,$A96,Financeiro!$D$4:$D$503,"Marketing",Financeiro!$H$4:$H$503,"&lt;&gt;Cancelado")</f>
        <v>0</v>
      </c>
      <c r="AM96" s="39" t="n">
        <f aca="false">AI96-AJ96-AK96-AL96</f>
        <v>0</v>
      </c>
      <c r="AN96" s="37" t="n">
        <f aca="false">IF(Config!$B$16=0,"",AI96/Config!$B$16)</f>
        <v>0</v>
      </c>
      <c r="AO96" s="37" t="n">
        <f aca="false">IF(Config!$B$17=0,"",AJ96/Config!$B$17)</f>
        <v>0</v>
      </c>
      <c r="AP96" s="39" t="str">
        <f aca="false">IF(T96=0,"",AL96/T96)</f>
        <v/>
      </c>
      <c r="AQ96" s="39" t="n">
        <f aca="false">SUMIFS($AI$4:$AI$107,$D$4:$D$107,$D96,$B$4:$B$107,"&lt;="&amp;$B96)</f>
        <v>0</v>
      </c>
      <c r="AR96" s="39" t="n">
        <f aca="false">SUMIFS($AJ$4:$AJ$107,$D$4:$D$107,$D96,$B$4:$B$107,"&lt;="&amp;$B96)</f>
        <v>0</v>
      </c>
      <c r="AS96" s="36" t="n">
        <f aca="false">SUMIFS(Leads_Canal!$C$4:$C$503,Leads_Canal!$A$4:$A$503,$A96)</f>
        <v>0</v>
      </c>
      <c r="AT96" s="17" t="str">
        <f aca="false">IF(E96=0,"",IF(E96=AR96,"OK","Divergente"))</f>
        <v/>
      </c>
      <c r="AU96" s="17" t="str">
        <f aca="false">IF(N96=0,"",IF(N96=AD96,"OK","Divergente"))</f>
        <v/>
      </c>
    </row>
    <row r="97" customFormat="false" ht="15" hidden="false" customHeight="false" outlineLevel="0" collapsed="false">
      <c r="A97" s="17" t="str">
        <f aca="false">Base_Semanal!A97</f>
        <v>2027-S42</v>
      </c>
      <c r="B97" s="30" t="n">
        <f aca="false">Base_Semanal!B97</f>
        <v>46678</v>
      </c>
      <c r="C97" s="30" t="n">
        <f aca="false">Base_Semanal!C97</f>
        <v>46684</v>
      </c>
      <c r="D97" s="17" t="str">
        <f aca="false">Base_Semanal!D97</f>
        <v>2027-10</v>
      </c>
      <c r="E97" s="36" t="n">
        <f aca="false">Base_Semanal!E97</f>
        <v>0</v>
      </c>
      <c r="F97" s="36" t="n">
        <f aca="false">Base_Semanal!F97</f>
        <v>0</v>
      </c>
      <c r="G97" s="36" t="n">
        <f aca="false">Base_Semanal!G97</f>
        <v>0</v>
      </c>
      <c r="H97" s="36" t="n">
        <f aca="false">Base_Semanal!H97</f>
        <v>0</v>
      </c>
      <c r="I97" s="36" t="n">
        <f aca="false">Base_Semanal!I97</f>
        <v>0</v>
      </c>
      <c r="J97" s="36" t="n">
        <f aca="false">H97+I97</f>
        <v>0</v>
      </c>
      <c r="K97" s="37" t="str">
        <f aca="false">IF(F97=0,"",G97/F97)</f>
        <v/>
      </c>
      <c r="L97" s="36" t="n">
        <f aca="false">Base_Semanal!J97</f>
        <v>0</v>
      </c>
      <c r="M97" s="36" t="n">
        <f aca="false">Base_Semanal!K97</f>
        <v>0</v>
      </c>
      <c r="N97" s="36" t="n">
        <f aca="false">L97+M97</f>
        <v>0</v>
      </c>
      <c r="O97" s="37" t="str">
        <f aca="false">IF(J97=0,"",N97/J97)</f>
        <v/>
      </c>
      <c r="P97" s="36" t="n">
        <f aca="false">Base_Semanal!L97</f>
        <v>0</v>
      </c>
      <c r="Q97" s="36" t="n">
        <f aca="false">Base_Semanal!M97</f>
        <v>0</v>
      </c>
      <c r="R97" s="36" t="n">
        <f aca="false">P97+Q97</f>
        <v>0</v>
      </c>
      <c r="S97" s="36" t="n">
        <f aca="false">Base_Semanal!N97</f>
        <v>0</v>
      </c>
      <c r="T97" s="36" t="n">
        <f aca="false">Base_Semanal!O97</f>
        <v>0</v>
      </c>
      <c r="U97" s="37" t="str">
        <f aca="false">IF(Base_Semanal!P97=0,"",Base_Semanal!Q97/Base_Semanal!P97)</f>
        <v/>
      </c>
      <c r="V97" s="37" t="str">
        <f aca="false">IF(Base_Semanal!R97=0,"",Base_Semanal!S97/Base_Semanal!R97)</f>
        <v/>
      </c>
      <c r="W97" s="37" t="str">
        <f aca="false">IF(Base_Semanal!P97+Base_Semanal!R97=0,"",(Base_Semanal!Q97+Base_Semanal!S97)/(Base_Semanal!P97+Base_Semanal!R97))</f>
        <v/>
      </c>
      <c r="X97" s="38" t="n">
        <f aca="false">Base_Semanal!T97</f>
        <v>0</v>
      </c>
      <c r="Y97" s="38" t="n">
        <f aca="false">Base_Semanal!U97</f>
        <v>0</v>
      </c>
      <c r="Z97" s="38" t="n">
        <f aca="false">Base_Semanal!V97</f>
        <v>0</v>
      </c>
      <c r="AA97" s="38" t="n">
        <f aca="false">Base_Semanal!W97</f>
        <v>0</v>
      </c>
      <c r="AB97" s="36" t="n">
        <f aca="false">COUNTIFS(Contratos!$B$4:$B$503,$A97,Contratos!$E$4:$E$503,"Avaliação")</f>
        <v>0</v>
      </c>
      <c r="AC97" s="39" t="n">
        <f aca="false">SUMIFS(Contratos!$I$4:$I$503,Contratos!$B$4:$B$503,$A97,Contratos!$E$4:$E$503,"Avaliação")</f>
        <v>0</v>
      </c>
      <c r="AD97" s="36" t="n">
        <f aca="false">COUNTIFS(Contratos!$B$4:$B$503,$A97,Contratos!$E$4:$E$503,"Protocolo")</f>
        <v>0</v>
      </c>
      <c r="AE97" s="39" t="n">
        <f aca="false">SUMIFS(Contratos!$I$4:$I$503,Contratos!$B$4:$B$503,$A97,Contratos!$E$4:$E$503,"Protocolo")</f>
        <v>0</v>
      </c>
      <c r="AF97" s="39" t="n">
        <f aca="false">AC97+AE97</f>
        <v>0</v>
      </c>
      <c r="AG97" s="36" t="n">
        <f aca="false">COUNTIFS(Contratos!$B$4:$B$503,$A97,Contratos!$J$4:$J$503,"À vista")</f>
        <v>0</v>
      </c>
      <c r="AH97" s="36" t="n">
        <f aca="false">COUNTIFS(Contratos!$B$4:$B$503,$A97,Contratos!$J$4:$J$503,"Parcelado")</f>
        <v>0</v>
      </c>
      <c r="AI97" s="39" t="n">
        <f aca="false">SUMIFS(Financeiro!$G$4:$G$503,Financeiro!$B$4:$B$503,$A97,Financeiro!$D$4:$D$503,"Receita",Financeiro!$H$4:$H$503,"&lt;&gt;Cancelado")</f>
        <v>0</v>
      </c>
      <c r="AJ97" s="39" t="n">
        <f aca="false">SUMIFS(Financeiro!$G$4:$G$503,Financeiro!$B$4:$B$503,$A97,Financeiro!$D$4:$D$503,"Gasto",Financeiro!$H$4:$H$503,"&lt;&gt;Cancelado")</f>
        <v>0</v>
      </c>
      <c r="AK97" s="39" t="n">
        <f aca="false">SUMIFS(Financeiro!$G$4:$G$503,Financeiro!$B$4:$B$503,$A97,Financeiro!$D$4:$D$503,"Imposto",Financeiro!$H$4:$H$503,"&lt;&gt;Cancelado")</f>
        <v>0</v>
      </c>
      <c r="AL97" s="39" t="n">
        <f aca="false">SUMIFS(Financeiro!$G$4:$G$503,Financeiro!$B$4:$B$503,$A97,Financeiro!$D$4:$D$503,"Marketing",Financeiro!$H$4:$H$503,"&lt;&gt;Cancelado")</f>
        <v>0</v>
      </c>
      <c r="AM97" s="39" t="n">
        <f aca="false">AI97-AJ97-AK97-AL97</f>
        <v>0</v>
      </c>
      <c r="AN97" s="37" t="n">
        <f aca="false">IF(Config!$B$16=0,"",AI97/Config!$B$16)</f>
        <v>0</v>
      </c>
      <c r="AO97" s="37" t="n">
        <f aca="false">IF(Config!$B$17=0,"",AJ97/Config!$B$17)</f>
        <v>0</v>
      </c>
      <c r="AP97" s="39" t="str">
        <f aca="false">IF(T97=0,"",AL97/T97)</f>
        <v/>
      </c>
      <c r="AQ97" s="39" t="n">
        <f aca="false">SUMIFS($AI$4:$AI$107,$D$4:$D$107,$D97,$B$4:$B$107,"&lt;="&amp;$B97)</f>
        <v>0</v>
      </c>
      <c r="AR97" s="39" t="n">
        <f aca="false">SUMIFS($AJ$4:$AJ$107,$D$4:$D$107,$D97,$B$4:$B$107,"&lt;="&amp;$B97)</f>
        <v>0</v>
      </c>
      <c r="AS97" s="36" t="n">
        <f aca="false">SUMIFS(Leads_Canal!$C$4:$C$503,Leads_Canal!$A$4:$A$503,$A97)</f>
        <v>0</v>
      </c>
      <c r="AT97" s="17" t="str">
        <f aca="false">IF(E97=0,"",IF(E97=AR97,"OK","Divergente"))</f>
        <v/>
      </c>
      <c r="AU97" s="17" t="str">
        <f aca="false">IF(N97=0,"",IF(N97=AD97,"OK","Divergente"))</f>
        <v/>
      </c>
    </row>
    <row r="98" customFormat="false" ht="15" hidden="false" customHeight="false" outlineLevel="0" collapsed="false">
      <c r="A98" s="17" t="str">
        <f aca="false">Base_Semanal!A98</f>
        <v>2027-S43</v>
      </c>
      <c r="B98" s="30" t="n">
        <f aca="false">Base_Semanal!B98</f>
        <v>46685</v>
      </c>
      <c r="C98" s="30" t="n">
        <f aca="false">Base_Semanal!C98</f>
        <v>46691</v>
      </c>
      <c r="D98" s="17" t="str">
        <f aca="false">Base_Semanal!D98</f>
        <v>2027-10</v>
      </c>
      <c r="E98" s="36" t="n">
        <f aca="false">Base_Semanal!E98</f>
        <v>0</v>
      </c>
      <c r="F98" s="36" t="n">
        <f aca="false">Base_Semanal!F98</f>
        <v>0</v>
      </c>
      <c r="G98" s="36" t="n">
        <f aca="false">Base_Semanal!G98</f>
        <v>0</v>
      </c>
      <c r="H98" s="36" t="n">
        <f aca="false">Base_Semanal!H98</f>
        <v>0</v>
      </c>
      <c r="I98" s="36" t="n">
        <f aca="false">Base_Semanal!I98</f>
        <v>0</v>
      </c>
      <c r="J98" s="36" t="n">
        <f aca="false">H98+I98</f>
        <v>0</v>
      </c>
      <c r="K98" s="37" t="str">
        <f aca="false">IF(F98=0,"",G98/F98)</f>
        <v/>
      </c>
      <c r="L98" s="36" t="n">
        <f aca="false">Base_Semanal!J98</f>
        <v>0</v>
      </c>
      <c r="M98" s="36" t="n">
        <f aca="false">Base_Semanal!K98</f>
        <v>0</v>
      </c>
      <c r="N98" s="36" t="n">
        <f aca="false">L98+M98</f>
        <v>0</v>
      </c>
      <c r="O98" s="37" t="str">
        <f aca="false">IF(J98=0,"",N98/J98)</f>
        <v/>
      </c>
      <c r="P98" s="36" t="n">
        <f aca="false">Base_Semanal!L98</f>
        <v>0</v>
      </c>
      <c r="Q98" s="36" t="n">
        <f aca="false">Base_Semanal!M98</f>
        <v>0</v>
      </c>
      <c r="R98" s="36" t="n">
        <f aca="false">P98+Q98</f>
        <v>0</v>
      </c>
      <c r="S98" s="36" t="n">
        <f aca="false">Base_Semanal!N98</f>
        <v>0</v>
      </c>
      <c r="T98" s="36" t="n">
        <f aca="false">Base_Semanal!O98</f>
        <v>0</v>
      </c>
      <c r="U98" s="37" t="str">
        <f aca="false">IF(Base_Semanal!P98=0,"",Base_Semanal!Q98/Base_Semanal!P98)</f>
        <v/>
      </c>
      <c r="V98" s="37" t="str">
        <f aca="false">IF(Base_Semanal!R98=0,"",Base_Semanal!S98/Base_Semanal!R98)</f>
        <v/>
      </c>
      <c r="W98" s="37" t="str">
        <f aca="false">IF(Base_Semanal!P98+Base_Semanal!R98=0,"",(Base_Semanal!Q98+Base_Semanal!S98)/(Base_Semanal!P98+Base_Semanal!R98))</f>
        <v/>
      </c>
      <c r="X98" s="38" t="n">
        <f aca="false">Base_Semanal!T98</f>
        <v>0</v>
      </c>
      <c r="Y98" s="38" t="n">
        <f aca="false">Base_Semanal!U98</f>
        <v>0</v>
      </c>
      <c r="Z98" s="38" t="n">
        <f aca="false">Base_Semanal!V98</f>
        <v>0</v>
      </c>
      <c r="AA98" s="38" t="n">
        <f aca="false">Base_Semanal!W98</f>
        <v>0</v>
      </c>
      <c r="AB98" s="36" t="n">
        <f aca="false">COUNTIFS(Contratos!$B$4:$B$503,$A98,Contratos!$E$4:$E$503,"Avaliação")</f>
        <v>0</v>
      </c>
      <c r="AC98" s="39" t="n">
        <f aca="false">SUMIFS(Contratos!$I$4:$I$503,Contratos!$B$4:$B$503,$A98,Contratos!$E$4:$E$503,"Avaliação")</f>
        <v>0</v>
      </c>
      <c r="AD98" s="36" t="n">
        <f aca="false">COUNTIFS(Contratos!$B$4:$B$503,$A98,Contratos!$E$4:$E$503,"Protocolo")</f>
        <v>0</v>
      </c>
      <c r="AE98" s="39" t="n">
        <f aca="false">SUMIFS(Contratos!$I$4:$I$503,Contratos!$B$4:$B$503,$A98,Contratos!$E$4:$E$503,"Protocolo")</f>
        <v>0</v>
      </c>
      <c r="AF98" s="39" t="n">
        <f aca="false">AC98+AE98</f>
        <v>0</v>
      </c>
      <c r="AG98" s="36" t="n">
        <f aca="false">COUNTIFS(Contratos!$B$4:$B$503,$A98,Contratos!$J$4:$J$503,"À vista")</f>
        <v>0</v>
      </c>
      <c r="AH98" s="36" t="n">
        <f aca="false">COUNTIFS(Contratos!$B$4:$B$503,$A98,Contratos!$J$4:$J$503,"Parcelado")</f>
        <v>0</v>
      </c>
      <c r="AI98" s="39" t="n">
        <f aca="false">SUMIFS(Financeiro!$G$4:$G$503,Financeiro!$B$4:$B$503,$A98,Financeiro!$D$4:$D$503,"Receita",Financeiro!$H$4:$H$503,"&lt;&gt;Cancelado")</f>
        <v>0</v>
      </c>
      <c r="AJ98" s="39" t="n">
        <f aca="false">SUMIFS(Financeiro!$G$4:$G$503,Financeiro!$B$4:$B$503,$A98,Financeiro!$D$4:$D$503,"Gasto",Financeiro!$H$4:$H$503,"&lt;&gt;Cancelado")</f>
        <v>0</v>
      </c>
      <c r="AK98" s="39" t="n">
        <f aca="false">SUMIFS(Financeiro!$G$4:$G$503,Financeiro!$B$4:$B$503,$A98,Financeiro!$D$4:$D$503,"Imposto",Financeiro!$H$4:$H$503,"&lt;&gt;Cancelado")</f>
        <v>0</v>
      </c>
      <c r="AL98" s="39" t="n">
        <f aca="false">SUMIFS(Financeiro!$G$4:$G$503,Financeiro!$B$4:$B$503,$A98,Financeiro!$D$4:$D$503,"Marketing",Financeiro!$H$4:$H$503,"&lt;&gt;Cancelado")</f>
        <v>0</v>
      </c>
      <c r="AM98" s="39" t="n">
        <f aca="false">AI98-AJ98-AK98-AL98</f>
        <v>0</v>
      </c>
      <c r="AN98" s="37" t="n">
        <f aca="false">IF(Config!$B$16=0,"",AI98/Config!$B$16)</f>
        <v>0</v>
      </c>
      <c r="AO98" s="37" t="n">
        <f aca="false">IF(Config!$B$17=0,"",AJ98/Config!$B$17)</f>
        <v>0</v>
      </c>
      <c r="AP98" s="39" t="str">
        <f aca="false">IF(T98=0,"",AL98/T98)</f>
        <v/>
      </c>
      <c r="AQ98" s="39" t="n">
        <f aca="false">SUMIFS($AI$4:$AI$107,$D$4:$D$107,$D98,$B$4:$B$107,"&lt;="&amp;$B98)</f>
        <v>0</v>
      </c>
      <c r="AR98" s="39" t="n">
        <f aca="false">SUMIFS($AJ$4:$AJ$107,$D$4:$D$107,$D98,$B$4:$B$107,"&lt;="&amp;$B98)</f>
        <v>0</v>
      </c>
      <c r="AS98" s="36" t="n">
        <f aca="false">SUMIFS(Leads_Canal!$C$4:$C$503,Leads_Canal!$A$4:$A$503,$A98)</f>
        <v>0</v>
      </c>
      <c r="AT98" s="17" t="str">
        <f aca="false">IF(E98=0,"",IF(E98=AR98,"OK","Divergente"))</f>
        <v/>
      </c>
      <c r="AU98" s="17" t="str">
        <f aca="false">IF(N98=0,"",IF(N98=AD98,"OK","Divergente"))</f>
        <v/>
      </c>
    </row>
    <row r="99" customFormat="false" ht="15" hidden="false" customHeight="false" outlineLevel="0" collapsed="false">
      <c r="A99" s="17" t="str">
        <f aca="false">Base_Semanal!A99</f>
        <v>2027-S44</v>
      </c>
      <c r="B99" s="30" t="n">
        <f aca="false">Base_Semanal!B99</f>
        <v>46692</v>
      </c>
      <c r="C99" s="30" t="n">
        <f aca="false">Base_Semanal!C99</f>
        <v>46698</v>
      </c>
      <c r="D99" s="17" t="str">
        <f aca="false">Base_Semanal!D99</f>
        <v>2027-11</v>
      </c>
      <c r="E99" s="36" t="n">
        <f aca="false">Base_Semanal!E99</f>
        <v>0</v>
      </c>
      <c r="F99" s="36" t="n">
        <f aca="false">Base_Semanal!F99</f>
        <v>0</v>
      </c>
      <c r="G99" s="36" t="n">
        <f aca="false">Base_Semanal!G99</f>
        <v>0</v>
      </c>
      <c r="H99" s="36" t="n">
        <f aca="false">Base_Semanal!H99</f>
        <v>0</v>
      </c>
      <c r="I99" s="36" t="n">
        <f aca="false">Base_Semanal!I99</f>
        <v>0</v>
      </c>
      <c r="J99" s="36" t="n">
        <f aca="false">H99+I99</f>
        <v>0</v>
      </c>
      <c r="K99" s="37" t="str">
        <f aca="false">IF(F99=0,"",G99/F99)</f>
        <v/>
      </c>
      <c r="L99" s="36" t="n">
        <f aca="false">Base_Semanal!J99</f>
        <v>0</v>
      </c>
      <c r="M99" s="36" t="n">
        <f aca="false">Base_Semanal!K99</f>
        <v>0</v>
      </c>
      <c r="N99" s="36" t="n">
        <f aca="false">L99+M99</f>
        <v>0</v>
      </c>
      <c r="O99" s="37" t="str">
        <f aca="false">IF(J99=0,"",N99/J99)</f>
        <v/>
      </c>
      <c r="P99" s="36" t="n">
        <f aca="false">Base_Semanal!L99</f>
        <v>0</v>
      </c>
      <c r="Q99" s="36" t="n">
        <f aca="false">Base_Semanal!M99</f>
        <v>0</v>
      </c>
      <c r="R99" s="36" t="n">
        <f aca="false">P99+Q99</f>
        <v>0</v>
      </c>
      <c r="S99" s="36" t="n">
        <f aca="false">Base_Semanal!N99</f>
        <v>0</v>
      </c>
      <c r="T99" s="36" t="n">
        <f aca="false">Base_Semanal!O99</f>
        <v>0</v>
      </c>
      <c r="U99" s="37" t="str">
        <f aca="false">IF(Base_Semanal!P99=0,"",Base_Semanal!Q99/Base_Semanal!P99)</f>
        <v/>
      </c>
      <c r="V99" s="37" t="str">
        <f aca="false">IF(Base_Semanal!R99=0,"",Base_Semanal!S99/Base_Semanal!R99)</f>
        <v/>
      </c>
      <c r="W99" s="37" t="str">
        <f aca="false">IF(Base_Semanal!P99+Base_Semanal!R99=0,"",(Base_Semanal!Q99+Base_Semanal!S99)/(Base_Semanal!P99+Base_Semanal!R99))</f>
        <v/>
      </c>
      <c r="X99" s="38" t="n">
        <f aca="false">Base_Semanal!T99</f>
        <v>0</v>
      </c>
      <c r="Y99" s="38" t="n">
        <f aca="false">Base_Semanal!U99</f>
        <v>0</v>
      </c>
      <c r="Z99" s="38" t="n">
        <f aca="false">Base_Semanal!V99</f>
        <v>0</v>
      </c>
      <c r="AA99" s="38" t="n">
        <f aca="false">Base_Semanal!W99</f>
        <v>0</v>
      </c>
      <c r="AB99" s="36" t="n">
        <f aca="false">COUNTIFS(Contratos!$B$4:$B$503,$A99,Contratos!$E$4:$E$503,"Avaliação")</f>
        <v>0</v>
      </c>
      <c r="AC99" s="39" t="n">
        <f aca="false">SUMIFS(Contratos!$I$4:$I$503,Contratos!$B$4:$B$503,$A99,Contratos!$E$4:$E$503,"Avaliação")</f>
        <v>0</v>
      </c>
      <c r="AD99" s="36" t="n">
        <f aca="false">COUNTIFS(Contratos!$B$4:$B$503,$A99,Contratos!$E$4:$E$503,"Protocolo")</f>
        <v>0</v>
      </c>
      <c r="AE99" s="39" t="n">
        <f aca="false">SUMIFS(Contratos!$I$4:$I$503,Contratos!$B$4:$B$503,$A99,Contratos!$E$4:$E$503,"Protocolo")</f>
        <v>0</v>
      </c>
      <c r="AF99" s="39" t="n">
        <f aca="false">AC99+AE99</f>
        <v>0</v>
      </c>
      <c r="AG99" s="36" t="n">
        <f aca="false">COUNTIFS(Contratos!$B$4:$B$503,$A99,Contratos!$J$4:$J$503,"À vista")</f>
        <v>0</v>
      </c>
      <c r="AH99" s="36" t="n">
        <f aca="false">COUNTIFS(Contratos!$B$4:$B$503,$A99,Contratos!$J$4:$J$503,"Parcelado")</f>
        <v>0</v>
      </c>
      <c r="AI99" s="39" t="n">
        <f aca="false">SUMIFS(Financeiro!$G$4:$G$503,Financeiro!$B$4:$B$503,$A99,Financeiro!$D$4:$D$503,"Receita",Financeiro!$H$4:$H$503,"&lt;&gt;Cancelado")</f>
        <v>0</v>
      </c>
      <c r="AJ99" s="39" t="n">
        <f aca="false">SUMIFS(Financeiro!$G$4:$G$503,Financeiro!$B$4:$B$503,$A99,Financeiro!$D$4:$D$503,"Gasto",Financeiro!$H$4:$H$503,"&lt;&gt;Cancelado")</f>
        <v>0</v>
      </c>
      <c r="AK99" s="39" t="n">
        <f aca="false">SUMIFS(Financeiro!$G$4:$G$503,Financeiro!$B$4:$B$503,$A99,Financeiro!$D$4:$D$503,"Imposto",Financeiro!$H$4:$H$503,"&lt;&gt;Cancelado")</f>
        <v>0</v>
      </c>
      <c r="AL99" s="39" t="n">
        <f aca="false">SUMIFS(Financeiro!$G$4:$G$503,Financeiro!$B$4:$B$503,$A99,Financeiro!$D$4:$D$503,"Marketing",Financeiro!$H$4:$H$503,"&lt;&gt;Cancelado")</f>
        <v>0</v>
      </c>
      <c r="AM99" s="39" t="n">
        <f aca="false">AI99-AJ99-AK99-AL99</f>
        <v>0</v>
      </c>
      <c r="AN99" s="37" t="n">
        <f aca="false">IF(Config!$B$16=0,"",AI99/Config!$B$16)</f>
        <v>0</v>
      </c>
      <c r="AO99" s="37" t="n">
        <f aca="false">IF(Config!$B$17=0,"",AJ99/Config!$B$17)</f>
        <v>0</v>
      </c>
      <c r="AP99" s="39" t="str">
        <f aca="false">IF(T99=0,"",AL99/T99)</f>
        <v/>
      </c>
      <c r="AQ99" s="39" t="n">
        <f aca="false">SUMIFS($AI$4:$AI$107,$D$4:$D$107,$D99,$B$4:$B$107,"&lt;="&amp;$B99)</f>
        <v>0</v>
      </c>
      <c r="AR99" s="39" t="n">
        <f aca="false">SUMIFS($AJ$4:$AJ$107,$D$4:$D$107,$D99,$B$4:$B$107,"&lt;="&amp;$B99)</f>
        <v>0</v>
      </c>
      <c r="AS99" s="36" t="n">
        <f aca="false">SUMIFS(Leads_Canal!$C$4:$C$503,Leads_Canal!$A$4:$A$503,$A99)</f>
        <v>0</v>
      </c>
      <c r="AT99" s="17" t="str">
        <f aca="false">IF(E99=0,"",IF(E99=AR99,"OK","Divergente"))</f>
        <v/>
      </c>
      <c r="AU99" s="17" t="str">
        <f aca="false">IF(N99=0,"",IF(N99=AD99,"OK","Divergente"))</f>
        <v/>
      </c>
    </row>
    <row r="100" customFormat="false" ht="15" hidden="false" customHeight="false" outlineLevel="0" collapsed="false">
      <c r="A100" s="17" t="str">
        <f aca="false">Base_Semanal!A100</f>
        <v>2027-S45</v>
      </c>
      <c r="B100" s="30" t="n">
        <f aca="false">Base_Semanal!B100</f>
        <v>46699</v>
      </c>
      <c r="C100" s="30" t="n">
        <f aca="false">Base_Semanal!C100</f>
        <v>46705</v>
      </c>
      <c r="D100" s="17" t="str">
        <f aca="false">Base_Semanal!D100</f>
        <v>2027-11</v>
      </c>
      <c r="E100" s="36" t="n">
        <f aca="false">Base_Semanal!E100</f>
        <v>0</v>
      </c>
      <c r="F100" s="36" t="n">
        <f aca="false">Base_Semanal!F100</f>
        <v>0</v>
      </c>
      <c r="G100" s="36" t="n">
        <f aca="false">Base_Semanal!G100</f>
        <v>0</v>
      </c>
      <c r="H100" s="36" t="n">
        <f aca="false">Base_Semanal!H100</f>
        <v>0</v>
      </c>
      <c r="I100" s="36" t="n">
        <f aca="false">Base_Semanal!I100</f>
        <v>0</v>
      </c>
      <c r="J100" s="36" t="n">
        <f aca="false">H100+I100</f>
        <v>0</v>
      </c>
      <c r="K100" s="37" t="str">
        <f aca="false">IF(F100=0,"",G100/F100)</f>
        <v/>
      </c>
      <c r="L100" s="36" t="n">
        <f aca="false">Base_Semanal!J100</f>
        <v>0</v>
      </c>
      <c r="M100" s="36" t="n">
        <f aca="false">Base_Semanal!K100</f>
        <v>0</v>
      </c>
      <c r="N100" s="36" t="n">
        <f aca="false">L100+M100</f>
        <v>0</v>
      </c>
      <c r="O100" s="37" t="str">
        <f aca="false">IF(J100=0,"",N100/J100)</f>
        <v/>
      </c>
      <c r="P100" s="36" t="n">
        <f aca="false">Base_Semanal!L100</f>
        <v>0</v>
      </c>
      <c r="Q100" s="36" t="n">
        <f aca="false">Base_Semanal!M100</f>
        <v>0</v>
      </c>
      <c r="R100" s="36" t="n">
        <f aca="false">P100+Q100</f>
        <v>0</v>
      </c>
      <c r="S100" s="36" t="n">
        <f aca="false">Base_Semanal!N100</f>
        <v>0</v>
      </c>
      <c r="T100" s="36" t="n">
        <f aca="false">Base_Semanal!O100</f>
        <v>0</v>
      </c>
      <c r="U100" s="37" t="str">
        <f aca="false">IF(Base_Semanal!P100=0,"",Base_Semanal!Q100/Base_Semanal!P100)</f>
        <v/>
      </c>
      <c r="V100" s="37" t="str">
        <f aca="false">IF(Base_Semanal!R100=0,"",Base_Semanal!S100/Base_Semanal!R100)</f>
        <v/>
      </c>
      <c r="W100" s="37" t="str">
        <f aca="false">IF(Base_Semanal!P100+Base_Semanal!R100=0,"",(Base_Semanal!Q100+Base_Semanal!S100)/(Base_Semanal!P100+Base_Semanal!R100))</f>
        <v/>
      </c>
      <c r="X100" s="38" t="n">
        <f aca="false">Base_Semanal!T100</f>
        <v>0</v>
      </c>
      <c r="Y100" s="38" t="n">
        <f aca="false">Base_Semanal!U100</f>
        <v>0</v>
      </c>
      <c r="Z100" s="38" t="n">
        <f aca="false">Base_Semanal!V100</f>
        <v>0</v>
      </c>
      <c r="AA100" s="38" t="n">
        <f aca="false">Base_Semanal!W100</f>
        <v>0</v>
      </c>
      <c r="AB100" s="36" t="n">
        <f aca="false">COUNTIFS(Contratos!$B$4:$B$503,$A100,Contratos!$E$4:$E$503,"Avaliação")</f>
        <v>0</v>
      </c>
      <c r="AC100" s="39" t="n">
        <f aca="false">SUMIFS(Contratos!$I$4:$I$503,Contratos!$B$4:$B$503,$A100,Contratos!$E$4:$E$503,"Avaliação")</f>
        <v>0</v>
      </c>
      <c r="AD100" s="36" t="n">
        <f aca="false">COUNTIFS(Contratos!$B$4:$B$503,$A100,Contratos!$E$4:$E$503,"Protocolo")</f>
        <v>0</v>
      </c>
      <c r="AE100" s="39" t="n">
        <f aca="false">SUMIFS(Contratos!$I$4:$I$503,Contratos!$B$4:$B$503,$A100,Contratos!$E$4:$E$503,"Protocolo")</f>
        <v>0</v>
      </c>
      <c r="AF100" s="39" t="n">
        <f aca="false">AC100+AE100</f>
        <v>0</v>
      </c>
      <c r="AG100" s="36" t="n">
        <f aca="false">COUNTIFS(Contratos!$B$4:$B$503,$A100,Contratos!$J$4:$J$503,"À vista")</f>
        <v>0</v>
      </c>
      <c r="AH100" s="36" t="n">
        <f aca="false">COUNTIFS(Contratos!$B$4:$B$503,$A100,Contratos!$J$4:$J$503,"Parcelado")</f>
        <v>0</v>
      </c>
      <c r="AI100" s="39" t="n">
        <f aca="false">SUMIFS(Financeiro!$G$4:$G$503,Financeiro!$B$4:$B$503,$A100,Financeiro!$D$4:$D$503,"Receita",Financeiro!$H$4:$H$503,"&lt;&gt;Cancelado")</f>
        <v>0</v>
      </c>
      <c r="AJ100" s="39" t="n">
        <f aca="false">SUMIFS(Financeiro!$G$4:$G$503,Financeiro!$B$4:$B$503,$A100,Financeiro!$D$4:$D$503,"Gasto",Financeiro!$H$4:$H$503,"&lt;&gt;Cancelado")</f>
        <v>0</v>
      </c>
      <c r="AK100" s="39" t="n">
        <f aca="false">SUMIFS(Financeiro!$G$4:$G$503,Financeiro!$B$4:$B$503,$A100,Financeiro!$D$4:$D$503,"Imposto",Financeiro!$H$4:$H$503,"&lt;&gt;Cancelado")</f>
        <v>0</v>
      </c>
      <c r="AL100" s="39" t="n">
        <f aca="false">SUMIFS(Financeiro!$G$4:$G$503,Financeiro!$B$4:$B$503,$A100,Financeiro!$D$4:$D$503,"Marketing",Financeiro!$H$4:$H$503,"&lt;&gt;Cancelado")</f>
        <v>0</v>
      </c>
      <c r="AM100" s="39" t="n">
        <f aca="false">AI100-AJ100-AK100-AL100</f>
        <v>0</v>
      </c>
      <c r="AN100" s="37" t="n">
        <f aca="false">IF(Config!$B$16=0,"",AI100/Config!$B$16)</f>
        <v>0</v>
      </c>
      <c r="AO100" s="37" t="n">
        <f aca="false">IF(Config!$B$17=0,"",AJ100/Config!$B$17)</f>
        <v>0</v>
      </c>
      <c r="AP100" s="39" t="str">
        <f aca="false">IF(T100=0,"",AL100/T100)</f>
        <v/>
      </c>
      <c r="AQ100" s="39" t="n">
        <f aca="false">SUMIFS($AI$4:$AI$107,$D$4:$D$107,$D100,$B$4:$B$107,"&lt;="&amp;$B100)</f>
        <v>0</v>
      </c>
      <c r="AR100" s="39" t="n">
        <f aca="false">SUMIFS($AJ$4:$AJ$107,$D$4:$D$107,$D100,$B$4:$B$107,"&lt;="&amp;$B100)</f>
        <v>0</v>
      </c>
      <c r="AS100" s="36" t="n">
        <f aca="false">SUMIFS(Leads_Canal!$C$4:$C$503,Leads_Canal!$A$4:$A$503,$A100)</f>
        <v>0</v>
      </c>
      <c r="AT100" s="17" t="str">
        <f aca="false">IF(E100=0,"",IF(E100=AR100,"OK","Divergente"))</f>
        <v/>
      </c>
      <c r="AU100" s="17" t="str">
        <f aca="false">IF(N100=0,"",IF(N100=AD100,"OK","Divergente"))</f>
        <v/>
      </c>
    </row>
    <row r="101" customFormat="false" ht="15" hidden="false" customHeight="false" outlineLevel="0" collapsed="false">
      <c r="A101" s="17" t="str">
        <f aca="false">Base_Semanal!A101</f>
        <v>2027-S46</v>
      </c>
      <c r="B101" s="30" t="n">
        <f aca="false">Base_Semanal!B101</f>
        <v>46706</v>
      </c>
      <c r="C101" s="30" t="n">
        <f aca="false">Base_Semanal!C101</f>
        <v>46712</v>
      </c>
      <c r="D101" s="17" t="str">
        <f aca="false">Base_Semanal!D101</f>
        <v>2027-11</v>
      </c>
      <c r="E101" s="36" t="n">
        <f aca="false">Base_Semanal!E101</f>
        <v>0</v>
      </c>
      <c r="F101" s="36" t="n">
        <f aca="false">Base_Semanal!F101</f>
        <v>0</v>
      </c>
      <c r="G101" s="36" t="n">
        <f aca="false">Base_Semanal!G101</f>
        <v>0</v>
      </c>
      <c r="H101" s="36" t="n">
        <f aca="false">Base_Semanal!H101</f>
        <v>0</v>
      </c>
      <c r="I101" s="36" t="n">
        <f aca="false">Base_Semanal!I101</f>
        <v>0</v>
      </c>
      <c r="J101" s="36" t="n">
        <f aca="false">H101+I101</f>
        <v>0</v>
      </c>
      <c r="K101" s="37" t="str">
        <f aca="false">IF(F101=0,"",G101/F101)</f>
        <v/>
      </c>
      <c r="L101" s="36" t="n">
        <f aca="false">Base_Semanal!J101</f>
        <v>0</v>
      </c>
      <c r="M101" s="36" t="n">
        <f aca="false">Base_Semanal!K101</f>
        <v>0</v>
      </c>
      <c r="N101" s="36" t="n">
        <f aca="false">L101+M101</f>
        <v>0</v>
      </c>
      <c r="O101" s="37" t="str">
        <f aca="false">IF(J101=0,"",N101/J101)</f>
        <v/>
      </c>
      <c r="P101" s="36" t="n">
        <f aca="false">Base_Semanal!L101</f>
        <v>0</v>
      </c>
      <c r="Q101" s="36" t="n">
        <f aca="false">Base_Semanal!M101</f>
        <v>0</v>
      </c>
      <c r="R101" s="36" t="n">
        <f aca="false">P101+Q101</f>
        <v>0</v>
      </c>
      <c r="S101" s="36" t="n">
        <f aca="false">Base_Semanal!N101</f>
        <v>0</v>
      </c>
      <c r="T101" s="36" t="n">
        <f aca="false">Base_Semanal!O101</f>
        <v>0</v>
      </c>
      <c r="U101" s="37" t="str">
        <f aca="false">IF(Base_Semanal!P101=0,"",Base_Semanal!Q101/Base_Semanal!P101)</f>
        <v/>
      </c>
      <c r="V101" s="37" t="str">
        <f aca="false">IF(Base_Semanal!R101=0,"",Base_Semanal!S101/Base_Semanal!R101)</f>
        <v/>
      </c>
      <c r="W101" s="37" t="str">
        <f aca="false">IF(Base_Semanal!P101+Base_Semanal!R101=0,"",(Base_Semanal!Q101+Base_Semanal!S101)/(Base_Semanal!P101+Base_Semanal!R101))</f>
        <v/>
      </c>
      <c r="X101" s="38" t="n">
        <f aca="false">Base_Semanal!T101</f>
        <v>0</v>
      </c>
      <c r="Y101" s="38" t="n">
        <f aca="false">Base_Semanal!U101</f>
        <v>0</v>
      </c>
      <c r="Z101" s="38" t="n">
        <f aca="false">Base_Semanal!V101</f>
        <v>0</v>
      </c>
      <c r="AA101" s="38" t="n">
        <f aca="false">Base_Semanal!W101</f>
        <v>0</v>
      </c>
      <c r="AB101" s="36" t="n">
        <f aca="false">COUNTIFS(Contratos!$B$4:$B$503,$A101,Contratos!$E$4:$E$503,"Avaliação")</f>
        <v>0</v>
      </c>
      <c r="AC101" s="39" t="n">
        <f aca="false">SUMIFS(Contratos!$I$4:$I$503,Contratos!$B$4:$B$503,$A101,Contratos!$E$4:$E$503,"Avaliação")</f>
        <v>0</v>
      </c>
      <c r="AD101" s="36" t="n">
        <f aca="false">COUNTIFS(Contratos!$B$4:$B$503,$A101,Contratos!$E$4:$E$503,"Protocolo")</f>
        <v>0</v>
      </c>
      <c r="AE101" s="39" t="n">
        <f aca="false">SUMIFS(Contratos!$I$4:$I$503,Contratos!$B$4:$B$503,$A101,Contratos!$E$4:$E$503,"Protocolo")</f>
        <v>0</v>
      </c>
      <c r="AF101" s="39" t="n">
        <f aca="false">AC101+AE101</f>
        <v>0</v>
      </c>
      <c r="AG101" s="36" t="n">
        <f aca="false">COUNTIFS(Contratos!$B$4:$B$503,$A101,Contratos!$J$4:$J$503,"À vista")</f>
        <v>0</v>
      </c>
      <c r="AH101" s="36" t="n">
        <f aca="false">COUNTIFS(Contratos!$B$4:$B$503,$A101,Contratos!$J$4:$J$503,"Parcelado")</f>
        <v>0</v>
      </c>
      <c r="AI101" s="39" t="n">
        <f aca="false">SUMIFS(Financeiro!$G$4:$G$503,Financeiro!$B$4:$B$503,$A101,Financeiro!$D$4:$D$503,"Receita",Financeiro!$H$4:$H$503,"&lt;&gt;Cancelado")</f>
        <v>0</v>
      </c>
      <c r="AJ101" s="39" t="n">
        <f aca="false">SUMIFS(Financeiro!$G$4:$G$503,Financeiro!$B$4:$B$503,$A101,Financeiro!$D$4:$D$503,"Gasto",Financeiro!$H$4:$H$503,"&lt;&gt;Cancelado")</f>
        <v>0</v>
      </c>
      <c r="AK101" s="39" t="n">
        <f aca="false">SUMIFS(Financeiro!$G$4:$G$503,Financeiro!$B$4:$B$503,$A101,Financeiro!$D$4:$D$503,"Imposto",Financeiro!$H$4:$H$503,"&lt;&gt;Cancelado")</f>
        <v>0</v>
      </c>
      <c r="AL101" s="39" t="n">
        <f aca="false">SUMIFS(Financeiro!$G$4:$G$503,Financeiro!$B$4:$B$503,$A101,Financeiro!$D$4:$D$503,"Marketing",Financeiro!$H$4:$H$503,"&lt;&gt;Cancelado")</f>
        <v>0</v>
      </c>
      <c r="AM101" s="39" t="n">
        <f aca="false">AI101-AJ101-AK101-AL101</f>
        <v>0</v>
      </c>
      <c r="AN101" s="37" t="n">
        <f aca="false">IF(Config!$B$16=0,"",AI101/Config!$B$16)</f>
        <v>0</v>
      </c>
      <c r="AO101" s="37" t="n">
        <f aca="false">IF(Config!$B$17=0,"",AJ101/Config!$B$17)</f>
        <v>0</v>
      </c>
      <c r="AP101" s="39" t="str">
        <f aca="false">IF(T101=0,"",AL101/T101)</f>
        <v/>
      </c>
      <c r="AQ101" s="39" t="n">
        <f aca="false">SUMIFS($AI$4:$AI$107,$D$4:$D$107,$D101,$B$4:$B$107,"&lt;="&amp;$B101)</f>
        <v>0</v>
      </c>
      <c r="AR101" s="39" t="n">
        <f aca="false">SUMIFS($AJ$4:$AJ$107,$D$4:$D$107,$D101,$B$4:$B$107,"&lt;="&amp;$B101)</f>
        <v>0</v>
      </c>
      <c r="AS101" s="36" t="n">
        <f aca="false">SUMIFS(Leads_Canal!$C$4:$C$503,Leads_Canal!$A$4:$A$503,$A101)</f>
        <v>0</v>
      </c>
      <c r="AT101" s="17" t="str">
        <f aca="false">IF(E101=0,"",IF(E101=AR101,"OK","Divergente"))</f>
        <v/>
      </c>
      <c r="AU101" s="17" t="str">
        <f aca="false">IF(N101=0,"",IF(N101=AD101,"OK","Divergente"))</f>
        <v/>
      </c>
    </row>
    <row r="102" customFormat="false" ht="15" hidden="false" customHeight="false" outlineLevel="0" collapsed="false">
      <c r="A102" s="17" t="str">
        <f aca="false">Base_Semanal!A102</f>
        <v>2027-S47</v>
      </c>
      <c r="B102" s="30" t="n">
        <f aca="false">Base_Semanal!B102</f>
        <v>46713</v>
      </c>
      <c r="C102" s="30" t="n">
        <f aca="false">Base_Semanal!C102</f>
        <v>46719</v>
      </c>
      <c r="D102" s="17" t="str">
        <f aca="false">Base_Semanal!D102</f>
        <v>2027-11</v>
      </c>
      <c r="E102" s="36" t="n">
        <f aca="false">Base_Semanal!E102</f>
        <v>0</v>
      </c>
      <c r="F102" s="36" t="n">
        <f aca="false">Base_Semanal!F102</f>
        <v>0</v>
      </c>
      <c r="G102" s="36" t="n">
        <f aca="false">Base_Semanal!G102</f>
        <v>0</v>
      </c>
      <c r="H102" s="36" t="n">
        <f aca="false">Base_Semanal!H102</f>
        <v>0</v>
      </c>
      <c r="I102" s="36" t="n">
        <f aca="false">Base_Semanal!I102</f>
        <v>0</v>
      </c>
      <c r="J102" s="36" t="n">
        <f aca="false">H102+I102</f>
        <v>0</v>
      </c>
      <c r="K102" s="37" t="str">
        <f aca="false">IF(F102=0,"",G102/F102)</f>
        <v/>
      </c>
      <c r="L102" s="36" t="n">
        <f aca="false">Base_Semanal!J102</f>
        <v>0</v>
      </c>
      <c r="M102" s="36" t="n">
        <f aca="false">Base_Semanal!K102</f>
        <v>0</v>
      </c>
      <c r="N102" s="36" t="n">
        <f aca="false">L102+M102</f>
        <v>0</v>
      </c>
      <c r="O102" s="37" t="str">
        <f aca="false">IF(J102=0,"",N102/J102)</f>
        <v/>
      </c>
      <c r="P102" s="36" t="n">
        <f aca="false">Base_Semanal!L102</f>
        <v>0</v>
      </c>
      <c r="Q102" s="36" t="n">
        <f aca="false">Base_Semanal!M102</f>
        <v>0</v>
      </c>
      <c r="R102" s="36" t="n">
        <f aca="false">P102+Q102</f>
        <v>0</v>
      </c>
      <c r="S102" s="36" t="n">
        <f aca="false">Base_Semanal!N102</f>
        <v>0</v>
      </c>
      <c r="T102" s="36" t="n">
        <f aca="false">Base_Semanal!O102</f>
        <v>0</v>
      </c>
      <c r="U102" s="37" t="str">
        <f aca="false">IF(Base_Semanal!P102=0,"",Base_Semanal!Q102/Base_Semanal!P102)</f>
        <v/>
      </c>
      <c r="V102" s="37" t="str">
        <f aca="false">IF(Base_Semanal!R102=0,"",Base_Semanal!S102/Base_Semanal!R102)</f>
        <v/>
      </c>
      <c r="W102" s="37" t="str">
        <f aca="false">IF(Base_Semanal!P102+Base_Semanal!R102=0,"",(Base_Semanal!Q102+Base_Semanal!S102)/(Base_Semanal!P102+Base_Semanal!R102))</f>
        <v/>
      </c>
      <c r="X102" s="38" t="n">
        <f aca="false">Base_Semanal!T102</f>
        <v>0</v>
      </c>
      <c r="Y102" s="38" t="n">
        <f aca="false">Base_Semanal!U102</f>
        <v>0</v>
      </c>
      <c r="Z102" s="38" t="n">
        <f aca="false">Base_Semanal!V102</f>
        <v>0</v>
      </c>
      <c r="AA102" s="38" t="n">
        <f aca="false">Base_Semanal!W102</f>
        <v>0</v>
      </c>
      <c r="AB102" s="36" t="n">
        <f aca="false">COUNTIFS(Contratos!$B$4:$B$503,$A102,Contratos!$E$4:$E$503,"Avaliação")</f>
        <v>0</v>
      </c>
      <c r="AC102" s="39" t="n">
        <f aca="false">SUMIFS(Contratos!$I$4:$I$503,Contratos!$B$4:$B$503,$A102,Contratos!$E$4:$E$503,"Avaliação")</f>
        <v>0</v>
      </c>
      <c r="AD102" s="36" t="n">
        <f aca="false">COUNTIFS(Contratos!$B$4:$B$503,$A102,Contratos!$E$4:$E$503,"Protocolo")</f>
        <v>0</v>
      </c>
      <c r="AE102" s="39" t="n">
        <f aca="false">SUMIFS(Contratos!$I$4:$I$503,Contratos!$B$4:$B$503,$A102,Contratos!$E$4:$E$503,"Protocolo")</f>
        <v>0</v>
      </c>
      <c r="AF102" s="39" t="n">
        <f aca="false">AC102+AE102</f>
        <v>0</v>
      </c>
      <c r="AG102" s="36" t="n">
        <f aca="false">COUNTIFS(Contratos!$B$4:$B$503,$A102,Contratos!$J$4:$J$503,"À vista")</f>
        <v>0</v>
      </c>
      <c r="AH102" s="36" t="n">
        <f aca="false">COUNTIFS(Contratos!$B$4:$B$503,$A102,Contratos!$J$4:$J$503,"Parcelado")</f>
        <v>0</v>
      </c>
      <c r="AI102" s="39" t="n">
        <f aca="false">SUMIFS(Financeiro!$G$4:$G$503,Financeiro!$B$4:$B$503,$A102,Financeiro!$D$4:$D$503,"Receita",Financeiro!$H$4:$H$503,"&lt;&gt;Cancelado")</f>
        <v>0</v>
      </c>
      <c r="AJ102" s="39" t="n">
        <f aca="false">SUMIFS(Financeiro!$G$4:$G$503,Financeiro!$B$4:$B$503,$A102,Financeiro!$D$4:$D$503,"Gasto",Financeiro!$H$4:$H$503,"&lt;&gt;Cancelado")</f>
        <v>0</v>
      </c>
      <c r="AK102" s="39" t="n">
        <f aca="false">SUMIFS(Financeiro!$G$4:$G$503,Financeiro!$B$4:$B$503,$A102,Financeiro!$D$4:$D$503,"Imposto",Financeiro!$H$4:$H$503,"&lt;&gt;Cancelado")</f>
        <v>0</v>
      </c>
      <c r="AL102" s="39" t="n">
        <f aca="false">SUMIFS(Financeiro!$G$4:$G$503,Financeiro!$B$4:$B$503,$A102,Financeiro!$D$4:$D$503,"Marketing",Financeiro!$H$4:$H$503,"&lt;&gt;Cancelado")</f>
        <v>0</v>
      </c>
      <c r="AM102" s="39" t="n">
        <f aca="false">AI102-AJ102-AK102-AL102</f>
        <v>0</v>
      </c>
      <c r="AN102" s="37" t="n">
        <f aca="false">IF(Config!$B$16=0,"",AI102/Config!$B$16)</f>
        <v>0</v>
      </c>
      <c r="AO102" s="37" t="n">
        <f aca="false">IF(Config!$B$17=0,"",AJ102/Config!$B$17)</f>
        <v>0</v>
      </c>
      <c r="AP102" s="39" t="str">
        <f aca="false">IF(T102=0,"",AL102/T102)</f>
        <v/>
      </c>
      <c r="AQ102" s="39" t="n">
        <f aca="false">SUMIFS($AI$4:$AI$107,$D$4:$D$107,$D102,$B$4:$B$107,"&lt;="&amp;$B102)</f>
        <v>0</v>
      </c>
      <c r="AR102" s="39" t="n">
        <f aca="false">SUMIFS($AJ$4:$AJ$107,$D$4:$D$107,$D102,$B$4:$B$107,"&lt;="&amp;$B102)</f>
        <v>0</v>
      </c>
      <c r="AS102" s="36" t="n">
        <f aca="false">SUMIFS(Leads_Canal!$C$4:$C$503,Leads_Canal!$A$4:$A$503,$A102)</f>
        <v>0</v>
      </c>
      <c r="AT102" s="17" t="str">
        <f aca="false">IF(E102=0,"",IF(E102=AR102,"OK","Divergente"))</f>
        <v/>
      </c>
      <c r="AU102" s="17" t="str">
        <f aca="false">IF(N102=0,"",IF(N102=AD102,"OK","Divergente"))</f>
        <v/>
      </c>
    </row>
    <row r="103" customFormat="false" ht="15" hidden="false" customHeight="false" outlineLevel="0" collapsed="false">
      <c r="A103" s="17" t="str">
        <f aca="false">Base_Semanal!A103</f>
        <v>2027-S48</v>
      </c>
      <c r="B103" s="30" t="n">
        <f aca="false">Base_Semanal!B103</f>
        <v>46720</v>
      </c>
      <c r="C103" s="30" t="n">
        <f aca="false">Base_Semanal!C103</f>
        <v>46726</v>
      </c>
      <c r="D103" s="17" t="str">
        <f aca="false">Base_Semanal!D103</f>
        <v>2027-11</v>
      </c>
      <c r="E103" s="36" t="n">
        <f aca="false">Base_Semanal!E103</f>
        <v>0</v>
      </c>
      <c r="F103" s="36" t="n">
        <f aca="false">Base_Semanal!F103</f>
        <v>0</v>
      </c>
      <c r="G103" s="36" t="n">
        <f aca="false">Base_Semanal!G103</f>
        <v>0</v>
      </c>
      <c r="H103" s="36" t="n">
        <f aca="false">Base_Semanal!H103</f>
        <v>0</v>
      </c>
      <c r="I103" s="36" t="n">
        <f aca="false">Base_Semanal!I103</f>
        <v>0</v>
      </c>
      <c r="J103" s="36" t="n">
        <f aca="false">H103+I103</f>
        <v>0</v>
      </c>
      <c r="K103" s="37" t="str">
        <f aca="false">IF(F103=0,"",G103/F103)</f>
        <v/>
      </c>
      <c r="L103" s="36" t="n">
        <f aca="false">Base_Semanal!J103</f>
        <v>0</v>
      </c>
      <c r="M103" s="36" t="n">
        <f aca="false">Base_Semanal!K103</f>
        <v>0</v>
      </c>
      <c r="N103" s="36" t="n">
        <f aca="false">L103+M103</f>
        <v>0</v>
      </c>
      <c r="O103" s="37" t="str">
        <f aca="false">IF(J103=0,"",N103/J103)</f>
        <v/>
      </c>
      <c r="P103" s="36" t="n">
        <f aca="false">Base_Semanal!L103</f>
        <v>0</v>
      </c>
      <c r="Q103" s="36" t="n">
        <f aca="false">Base_Semanal!M103</f>
        <v>0</v>
      </c>
      <c r="R103" s="36" t="n">
        <f aca="false">P103+Q103</f>
        <v>0</v>
      </c>
      <c r="S103" s="36" t="n">
        <f aca="false">Base_Semanal!N103</f>
        <v>0</v>
      </c>
      <c r="T103" s="36" t="n">
        <f aca="false">Base_Semanal!O103</f>
        <v>0</v>
      </c>
      <c r="U103" s="37" t="str">
        <f aca="false">IF(Base_Semanal!P103=0,"",Base_Semanal!Q103/Base_Semanal!P103)</f>
        <v/>
      </c>
      <c r="V103" s="37" t="str">
        <f aca="false">IF(Base_Semanal!R103=0,"",Base_Semanal!S103/Base_Semanal!R103)</f>
        <v/>
      </c>
      <c r="W103" s="37" t="str">
        <f aca="false">IF(Base_Semanal!P103+Base_Semanal!R103=0,"",(Base_Semanal!Q103+Base_Semanal!S103)/(Base_Semanal!P103+Base_Semanal!R103))</f>
        <v/>
      </c>
      <c r="X103" s="38" t="n">
        <f aca="false">Base_Semanal!T103</f>
        <v>0</v>
      </c>
      <c r="Y103" s="38" t="n">
        <f aca="false">Base_Semanal!U103</f>
        <v>0</v>
      </c>
      <c r="Z103" s="38" t="n">
        <f aca="false">Base_Semanal!V103</f>
        <v>0</v>
      </c>
      <c r="AA103" s="38" t="n">
        <f aca="false">Base_Semanal!W103</f>
        <v>0</v>
      </c>
      <c r="AB103" s="36" t="n">
        <f aca="false">COUNTIFS(Contratos!$B$4:$B$503,$A103,Contratos!$E$4:$E$503,"Avaliação")</f>
        <v>0</v>
      </c>
      <c r="AC103" s="39" t="n">
        <f aca="false">SUMIFS(Contratos!$I$4:$I$503,Contratos!$B$4:$B$503,$A103,Contratos!$E$4:$E$503,"Avaliação")</f>
        <v>0</v>
      </c>
      <c r="AD103" s="36" t="n">
        <f aca="false">COUNTIFS(Contratos!$B$4:$B$503,$A103,Contratos!$E$4:$E$503,"Protocolo")</f>
        <v>0</v>
      </c>
      <c r="AE103" s="39" t="n">
        <f aca="false">SUMIFS(Contratos!$I$4:$I$503,Contratos!$B$4:$B$503,$A103,Contratos!$E$4:$E$503,"Protocolo")</f>
        <v>0</v>
      </c>
      <c r="AF103" s="39" t="n">
        <f aca="false">AC103+AE103</f>
        <v>0</v>
      </c>
      <c r="AG103" s="36" t="n">
        <f aca="false">COUNTIFS(Contratos!$B$4:$B$503,$A103,Contratos!$J$4:$J$503,"À vista")</f>
        <v>0</v>
      </c>
      <c r="AH103" s="36" t="n">
        <f aca="false">COUNTIFS(Contratos!$B$4:$B$503,$A103,Contratos!$J$4:$J$503,"Parcelado")</f>
        <v>0</v>
      </c>
      <c r="AI103" s="39" t="n">
        <f aca="false">SUMIFS(Financeiro!$G$4:$G$503,Financeiro!$B$4:$B$503,$A103,Financeiro!$D$4:$D$503,"Receita",Financeiro!$H$4:$H$503,"&lt;&gt;Cancelado")</f>
        <v>0</v>
      </c>
      <c r="AJ103" s="39" t="n">
        <f aca="false">SUMIFS(Financeiro!$G$4:$G$503,Financeiro!$B$4:$B$503,$A103,Financeiro!$D$4:$D$503,"Gasto",Financeiro!$H$4:$H$503,"&lt;&gt;Cancelado")</f>
        <v>0</v>
      </c>
      <c r="AK103" s="39" t="n">
        <f aca="false">SUMIFS(Financeiro!$G$4:$G$503,Financeiro!$B$4:$B$503,$A103,Financeiro!$D$4:$D$503,"Imposto",Financeiro!$H$4:$H$503,"&lt;&gt;Cancelado")</f>
        <v>0</v>
      </c>
      <c r="AL103" s="39" t="n">
        <f aca="false">SUMIFS(Financeiro!$G$4:$G$503,Financeiro!$B$4:$B$503,$A103,Financeiro!$D$4:$D$503,"Marketing",Financeiro!$H$4:$H$503,"&lt;&gt;Cancelado")</f>
        <v>0</v>
      </c>
      <c r="AM103" s="39" t="n">
        <f aca="false">AI103-AJ103-AK103-AL103</f>
        <v>0</v>
      </c>
      <c r="AN103" s="37" t="n">
        <f aca="false">IF(Config!$B$16=0,"",AI103/Config!$B$16)</f>
        <v>0</v>
      </c>
      <c r="AO103" s="37" t="n">
        <f aca="false">IF(Config!$B$17=0,"",AJ103/Config!$B$17)</f>
        <v>0</v>
      </c>
      <c r="AP103" s="39" t="str">
        <f aca="false">IF(T103=0,"",AL103/T103)</f>
        <v/>
      </c>
      <c r="AQ103" s="39" t="n">
        <f aca="false">SUMIFS($AI$4:$AI$107,$D$4:$D$107,$D103,$B$4:$B$107,"&lt;="&amp;$B103)</f>
        <v>0</v>
      </c>
      <c r="AR103" s="39" t="n">
        <f aca="false">SUMIFS($AJ$4:$AJ$107,$D$4:$D$107,$D103,$B$4:$B$107,"&lt;="&amp;$B103)</f>
        <v>0</v>
      </c>
      <c r="AS103" s="36" t="n">
        <f aca="false">SUMIFS(Leads_Canal!$C$4:$C$503,Leads_Canal!$A$4:$A$503,$A103)</f>
        <v>0</v>
      </c>
      <c r="AT103" s="17" t="str">
        <f aca="false">IF(E103=0,"",IF(E103=AR103,"OK","Divergente"))</f>
        <v/>
      </c>
      <c r="AU103" s="17" t="str">
        <f aca="false">IF(N103=0,"",IF(N103=AD103,"OK","Divergente"))</f>
        <v/>
      </c>
    </row>
    <row r="104" customFormat="false" ht="15" hidden="false" customHeight="false" outlineLevel="0" collapsed="false">
      <c r="A104" s="17" t="str">
        <f aca="false">Base_Semanal!A104</f>
        <v>2027-S49</v>
      </c>
      <c r="B104" s="30" t="n">
        <f aca="false">Base_Semanal!B104</f>
        <v>46727</v>
      </c>
      <c r="C104" s="30" t="n">
        <f aca="false">Base_Semanal!C104</f>
        <v>46733</v>
      </c>
      <c r="D104" s="17" t="str">
        <f aca="false">Base_Semanal!D104</f>
        <v>2027-12</v>
      </c>
      <c r="E104" s="36" t="n">
        <f aca="false">Base_Semanal!E104</f>
        <v>0</v>
      </c>
      <c r="F104" s="36" t="n">
        <f aca="false">Base_Semanal!F104</f>
        <v>0</v>
      </c>
      <c r="G104" s="36" t="n">
        <f aca="false">Base_Semanal!G104</f>
        <v>0</v>
      </c>
      <c r="H104" s="36" t="n">
        <f aca="false">Base_Semanal!H104</f>
        <v>0</v>
      </c>
      <c r="I104" s="36" t="n">
        <f aca="false">Base_Semanal!I104</f>
        <v>0</v>
      </c>
      <c r="J104" s="36" t="n">
        <f aca="false">H104+I104</f>
        <v>0</v>
      </c>
      <c r="K104" s="37" t="str">
        <f aca="false">IF(F104=0,"",G104/F104)</f>
        <v/>
      </c>
      <c r="L104" s="36" t="n">
        <f aca="false">Base_Semanal!J104</f>
        <v>0</v>
      </c>
      <c r="M104" s="36" t="n">
        <f aca="false">Base_Semanal!K104</f>
        <v>0</v>
      </c>
      <c r="N104" s="36" t="n">
        <f aca="false">L104+M104</f>
        <v>0</v>
      </c>
      <c r="O104" s="37" t="str">
        <f aca="false">IF(J104=0,"",N104/J104)</f>
        <v/>
      </c>
      <c r="P104" s="36" t="n">
        <f aca="false">Base_Semanal!L104</f>
        <v>0</v>
      </c>
      <c r="Q104" s="36" t="n">
        <f aca="false">Base_Semanal!M104</f>
        <v>0</v>
      </c>
      <c r="R104" s="36" t="n">
        <f aca="false">P104+Q104</f>
        <v>0</v>
      </c>
      <c r="S104" s="36" t="n">
        <f aca="false">Base_Semanal!N104</f>
        <v>0</v>
      </c>
      <c r="T104" s="36" t="n">
        <f aca="false">Base_Semanal!O104</f>
        <v>0</v>
      </c>
      <c r="U104" s="37" t="str">
        <f aca="false">IF(Base_Semanal!P104=0,"",Base_Semanal!Q104/Base_Semanal!P104)</f>
        <v/>
      </c>
      <c r="V104" s="37" t="str">
        <f aca="false">IF(Base_Semanal!R104=0,"",Base_Semanal!S104/Base_Semanal!R104)</f>
        <v/>
      </c>
      <c r="W104" s="37" t="str">
        <f aca="false">IF(Base_Semanal!P104+Base_Semanal!R104=0,"",(Base_Semanal!Q104+Base_Semanal!S104)/(Base_Semanal!P104+Base_Semanal!R104))</f>
        <v/>
      </c>
      <c r="X104" s="38" t="n">
        <f aca="false">Base_Semanal!T104</f>
        <v>0</v>
      </c>
      <c r="Y104" s="38" t="n">
        <f aca="false">Base_Semanal!U104</f>
        <v>0</v>
      </c>
      <c r="Z104" s="38" t="n">
        <f aca="false">Base_Semanal!V104</f>
        <v>0</v>
      </c>
      <c r="AA104" s="38" t="n">
        <f aca="false">Base_Semanal!W104</f>
        <v>0</v>
      </c>
      <c r="AB104" s="36" t="n">
        <f aca="false">COUNTIFS(Contratos!$B$4:$B$503,$A104,Contratos!$E$4:$E$503,"Avaliação")</f>
        <v>0</v>
      </c>
      <c r="AC104" s="39" t="n">
        <f aca="false">SUMIFS(Contratos!$I$4:$I$503,Contratos!$B$4:$B$503,$A104,Contratos!$E$4:$E$503,"Avaliação")</f>
        <v>0</v>
      </c>
      <c r="AD104" s="36" t="n">
        <f aca="false">COUNTIFS(Contratos!$B$4:$B$503,$A104,Contratos!$E$4:$E$503,"Protocolo")</f>
        <v>0</v>
      </c>
      <c r="AE104" s="39" t="n">
        <f aca="false">SUMIFS(Contratos!$I$4:$I$503,Contratos!$B$4:$B$503,$A104,Contratos!$E$4:$E$503,"Protocolo")</f>
        <v>0</v>
      </c>
      <c r="AF104" s="39" t="n">
        <f aca="false">AC104+AE104</f>
        <v>0</v>
      </c>
      <c r="AG104" s="36" t="n">
        <f aca="false">COUNTIFS(Contratos!$B$4:$B$503,$A104,Contratos!$J$4:$J$503,"À vista")</f>
        <v>0</v>
      </c>
      <c r="AH104" s="36" t="n">
        <f aca="false">COUNTIFS(Contratos!$B$4:$B$503,$A104,Contratos!$J$4:$J$503,"Parcelado")</f>
        <v>0</v>
      </c>
      <c r="AI104" s="39" t="n">
        <f aca="false">SUMIFS(Financeiro!$G$4:$G$503,Financeiro!$B$4:$B$503,$A104,Financeiro!$D$4:$D$503,"Receita",Financeiro!$H$4:$H$503,"&lt;&gt;Cancelado")</f>
        <v>0</v>
      </c>
      <c r="AJ104" s="39" t="n">
        <f aca="false">SUMIFS(Financeiro!$G$4:$G$503,Financeiro!$B$4:$B$503,$A104,Financeiro!$D$4:$D$503,"Gasto",Financeiro!$H$4:$H$503,"&lt;&gt;Cancelado")</f>
        <v>0</v>
      </c>
      <c r="AK104" s="39" t="n">
        <f aca="false">SUMIFS(Financeiro!$G$4:$G$503,Financeiro!$B$4:$B$503,$A104,Financeiro!$D$4:$D$503,"Imposto",Financeiro!$H$4:$H$503,"&lt;&gt;Cancelado")</f>
        <v>0</v>
      </c>
      <c r="AL104" s="39" t="n">
        <f aca="false">SUMIFS(Financeiro!$G$4:$G$503,Financeiro!$B$4:$B$503,$A104,Financeiro!$D$4:$D$503,"Marketing",Financeiro!$H$4:$H$503,"&lt;&gt;Cancelado")</f>
        <v>0</v>
      </c>
      <c r="AM104" s="39" t="n">
        <f aca="false">AI104-AJ104-AK104-AL104</f>
        <v>0</v>
      </c>
      <c r="AN104" s="37" t="n">
        <f aca="false">IF(Config!$B$16=0,"",AI104/Config!$B$16)</f>
        <v>0</v>
      </c>
      <c r="AO104" s="37" t="n">
        <f aca="false">IF(Config!$B$17=0,"",AJ104/Config!$B$17)</f>
        <v>0</v>
      </c>
      <c r="AP104" s="39" t="str">
        <f aca="false">IF(T104=0,"",AL104/T104)</f>
        <v/>
      </c>
      <c r="AQ104" s="39" t="n">
        <f aca="false">SUMIFS($AI$4:$AI$107,$D$4:$D$107,$D104,$B$4:$B$107,"&lt;="&amp;$B104)</f>
        <v>0</v>
      </c>
      <c r="AR104" s="39" t="n">
        <f aca="false">SUMIFS($AJ$4:$AJ$107,$D$4:$D$107,$D104,$B$4:$B$107,"&lt;="&amp;$B104)</f>
        <v>0</v>
      </c>
      <c r="AS104" s="36" t="n">
        <f aca="false">SUMIFS(Leads_Canal!$C$4:$C$503,Leads_Canal!$A$4:$A$503,$A104)</f>
        <v>0</v>
      </c>
      <c r="AT104" s="17" t="str">
        <f aca="false">IF(E104=0,"",IF(E104=AR104,"OK","Divergente"))</f>
        <v/>
      </c>
      <c r="AU104" s="17" t="str">
        <f aca="false">IF(N104=0,"",IF(N104=AD104,"OK","Divergente"))</f>
        <v/>
      </c>
    </row>
    <row r="105" customFormat="false" ht="15" hidden="false" customHeight="false" outlineLevel="0" collapsed="false">
      <c r="A105" s="17" t="str">
        <f aca="false">Base_Semanal!A105</f>
        <v>2027-S50</v>
      </c>
      <c r="B105" s="30" t="n">
        <f aca="false">Base_Semanal!B105</f>
        <v>46734</v>
      </c>
      <c r="C105" s="30" t="n">
        <f aca="false">Base_Semanal!C105</f>
        <v>46740</v>
      </c>
      <c r="D105" s="17" t="str">
        <f aca="false">Base_Semanal!D105</f>
        <v>2027-12</v>
      </c>
      <c r="E105" s="36" t="n">
        <f aca="false">Base_Semanal!E105</f>
        <v>0</v>
      </c>
      <c r="F105" s="36" t="n">
        <f aca="false">Base_Semanal!F105</f>
        <v>0</v>
      </c>
      <c r="G105" s="36" t="n">
        <f aca="false">Base_Semanal!G105</f>
        <v>0</v>
      </c>
      <c r="H105" s="36" t="n">
        <f aca="false">Base_Semanal!H105</f>
        <v>0</v>
      </c>
      <c r="I105" s="36" t="n">
        <f aca="false">Base_Semanal!I105</f>
        <v>0</v>
      </c>
      <c r="J105" s="36" t="n">
        <f aca="false">H105+I105</f>
        <v>0</v>
      </c>
      <c r="K105" s="37" t="str">
        <f aca="false">IF(F105=0,"",G105/F105)</f>
        <v/>
      </c>
      <c r="L105" s="36" t="n">
        <f aca="false">Base_Semanal!J105</f>
        <v>0</v>
      </c>
      <c r="M105" s="36" t="n">
        <f aca="false">Base_Semanal!K105</f>
        <v>0</v>
      </c>
      <c r="N105" s="36" t="n">
        <f aca="false">L105+M105</f>
        <v>0</v>
      </c>
      <c r="O105" s="37" t="str">
        <f aca="false">IF(J105=0,"",N105/J105)</f>
        <v/>
      </c>
      <c r="P105" s="36" t="n">
        <f aca="false">Base_Semanal!L105</f>
        <v>0</v>
      </c>
      <c r="Q105" s="36" t="n">
        <f aca="false">Base_Semanal!M105</f>
        <v>0</v>
      </c>
      <c r="R105" s="36" t="n">
        <f aca="false">P105+Q105</f>
        <v>0</v>
      </c>
      <c r="S105" s="36" t="n">
        <f aca="false">Base_Semanal!N105</f>
        <v>0</v>
      </c>
      <c r="T105" s="36" t="n">
        <f aca="false">Base_Semanal!O105</f>
        <v>0</v>
      </c>
      <c r="U105" s="37" t="str">
        <f aca="false">IF(Base_Semanal!P105=0,"",Base_Semanal!Q105/Base_Semanal!P105)</f>
        <v/>
      </c>
      <c r="V105" s="37" t="str">
        <f aca="false">IF(Base_Semanal!R105=0,"",Base_Semanal!S105/Base_Semanal!R105)</f>
        <v/>
      </c>
      <c r="W105" s="37" t="str">
        <f aca="false">IF(Base_Semanal!P105+Base_Semanal!R105=0,"",(Base_Semanal!Q105+Base_Semanal!S105)/(Base_Semanal!P105+Base_Semanal!R105))</f>
        <v/>
      </c>
      <c r="X105" s="38" t="n">
        <f aca="false">Base_Semanal!T105</f>
        <v>0</v>
      </c>
      <c r="Y105" s="38" t="n">
        <f aca="false">Base_Semanal!U105</f>
        <v>0</v>
      </c>
      <c r="Z105" s="38" t="n">
        <f aca="false">Base_Semanal!V105</f>
        <v>0</v>
      </c>
      <c r="AA105" s="38" t="n">
        <f aca="false">Base_Semanal!W105</f>
        <v>0</v>
      </c>
      <c r="AB105" s="36" t="n">
        <f aca="false">COUNTIFS(Contratos!$B$4:$B$503,$A105,Contratos!$E$4:$E$503,"Avaliação")</f>
        <v>0</v>
      </c>
      <c r="AC105" s="39" t="n">
        <f aca="false">SUMIFS(Contratos!$I$4:$I$503,Contratos!$B$4:$B$503,$A105,Contratos!$E$4:$E$503,"Avaliação")</f>
        <v>0</v>
      </c>
      <c r="AD105" s="36" t="n">
        <f aca="false">COUNTIFS(Contratos!$B$4:$B$503,$A105,Contratos!$E$4:$E$503,"Protocolo")</f>
        <v>0</v>
      </c>
      <c r="AE105" s="39" t="n">
        <f aca="false">SUMIFS(Contratos!$I$4:$I$503,Contratos!$B$4:$B$503,$A105,Contratos!$E$4:$E$503,"Protocolo")</f>
        <v>0</v>
      </c>
      <c r="AF105" s="39" t="n">
        <f aca="false">AC105+AE105</f>
        <v>0</v>
      </c>
      <c r="AG105" s="36" t="n">
        <f aca="false">COUNTIFS(Contratos!$B$4:$B$503,$A105,Contratos!$J$4:$J$503,"À vista")</f>
        <v>0</v>
      </c>
      <c r="AH105" s="36" t="n">
        <f aca="false">COUNTIFS(Contratos!$B$4:$B$503,$A105,Contratos!$J$4:$J$503,"Parcelado")</f>
        <v>0</v>
      </c>
      <c r="AI105" s="39" t="n">
        <f aca="false">SUMIFS(Financeiro!$G$4:$G$503,Financeiro!$B$4:$B$503,$A105,Financeiro!$D$4:$D$503,"Receita",Financeiro!$H$4:$H$503,"&lt;&gt;Cancelado")</f>
        <v>0</v>
      </c>
      <c r="AJ105" s="39" t="n">
        <f aca="false">SUMIFS(Financeiro!$G$4:$G$503,Financeiro!$B$4:$B$503,$A105,Financeiro!$D$4:$D$503,"Gasto",Financeiro!$H$4:$H$503,"&lt;&gt;Cancelado")</f>
        <v>0</v>
      </c>
      <c r="AK105" s="39" t="n">
        <f aca="false">SUMIFS(Financeiro!$G$4:$G$503,Financeiro!$B$4:$B$503,$A105,Financeiro!$D$4:$D$503,"Imposto",Financeiro!$H$4:$H$503,"&lt;&gt;Cancelado")</f>
        <v>0</v>
      </c>
      <c r="AL105" s="39" t="n">
        <f aca="false">SUMIFS(Financeiro!$G$4:$G$503,Financeiro!$B$4:$B$503,$A105,Financeiro!$D$4:$D$503,"Marketing",Financeiro!$H$4:$H$503,"&lt;&gt;Cancelado")</f>
        <v>0</v>
      </c>
      <c r="AM105" s="39" t="n">
        <f aca="false">AI105-AJ105-AK105-AL105</f>
        <v>0</v>
      </c>
      <c r="AN105" s="37" t="n">
        <f aca="false">IF(Config!$B$16=0,"",AI105/Config!$B$16)</f>
        <v>0</v>
      </c>
      <c r="AO105" s="37" t="n">
        <f aca="false">IF(Config!$B$17=0,"",AJ105/Config!$B$17)</f>
        <v>0</v>
      </c>
      <c r="AP105" s="39" t="str">
        <f aca="false">IF(T105=0,"",AL105/T105)</f>
        <v/>
      </c>
      <c r="AQ105" s="39" t="n">
        <f aca="false">SUMIFS($AI$4:$AI$107,$D$4:$D$107,$D105,$B$4:$B$107,"&lt;="&amp;$B105)</f>
        <v>0</v>
      </c>
      <c r="AR105" s="39" t="n">
        <f aca="false">SUMIFS($AJ$4:$AJ$107,$D$4:$D$107,$D105,$B$4:$B$107,"&lt;="&amp;$B105)</f>
        <v>0</v>
      </c>
      <c r="AS105" s="36" t="n">
        <f aca="false">SUMIFS(Leads_Canal!$C$4:$C$503,Leads_Canal!$A$4:$A$503,$A105)</f>
        <v>0</v>
      </c>
      <c r="AT105" s="17" t="str">
        <f aca="false">IF(E105=0,"",IF(E105=AR105,"OK","Divergente"))</f>
        <v/>
      </c>
      <c r="AU105" s="17" t="str">
        <f aca="false">IF(N105=0,"",IF(N105=AD105,"OK","Divergente"))</f>
        <v/>
      </c>
    </row>
    <row r="106" customFormat="false" ht="15" hidden="false" customHeight="false" outlineLevel="0" collapsed="false">
      <c r="A106" s="17" t="str">
        <f aca="false">Base_Semanal!A106</f>
        <v>2027-S51</v>
      </c>
      <c r="B106" s="30" t="n">
        <f aca="false">Base_Semanal!B106</f>
        <v>46741</v>
      </c>
      <c r="C106" s="30" t="n">
        <f aca="false">Base_Semanal!C106</f>
        <v>46747</v>
      </c>
      <c r="D106" s="17" t="str">
        <f aca="false">Base_Semanal!D106</f>
        <v>2027-12</v>
      </c>
      <c r="E106" s="36" t="n">
        <f aca="false">Base_Semanal!E106</f>
        <v>0</v>
      </c>
      <c r="F106" s="36" t="n">
        <f aca="false">Base_Semanal!F106</f>
        <v>0</v>
      </c>
      <c r="G106" s="36" t="n">
        <f aca="false">Base_Semanal!G106</f>
        <v>0</v>
      </c>
      <c r="H106" s="36" t="n">
        <f aca="false">Base_Semanal!H106</f>
        <v>0</v>
      </c>
      <c r="I106" s="36" t="n">
        <f aca="false">Base_Semanal!I106</f>
        <v>0</v>
      </c>
      <c r="J106" s="36" t="n">
        <f aca="false">H106+I106</f>
        <v>0</v>
      </c>
      <c r="K106" s="37" t="str">
        <f aca="false">IF(F106=0,"",G106/F106)</f>
        <v/>
      </c>
      <c r="L106" s="36" t="n">
        <f aca="false">Base_Semanal!J106</f>
        <v>0</v>
      </c>
      <c r="M106" s="36" t="n">
        <f aca="false">Base_Semanal!K106</f>
        <v>0</v>
      </c>
      <c r="N106" s="36" t="n">
        <f aca="false">L106+M106</f>
        <v>0</v>
      </c>
      <c r="O106" s="37" t="str">
        <f aca="false">IF(J106=0,"",N106/J106)</f>
        <v/>
      </c>
      <c r="P106" s="36" t="n">
        <f aca="false">Base_Semanal!L106</f>
        <v>0</v>
      </c>
      <c r="Q106" s="36" t="n">
        <f aca="false">Base_Semanal!M106</f>
        <v>0</v>
      </c>
      <c r="R106" s="36" t="n">
        <f aca="false">P106+Q106</f>
        <v>0</v>
      </c>
      <c r="S106" s="36" t="n">
        <f aca="false">Base_Semanal!N106</f>
        <v>0</v>
      </c>
      <c r="T106" s="36" t="n">
        <f aca="false">Base_Semanal!O106</f>
        <v>0</v>
      </c>
      <c r="U106" s="37" t="str">
        <f aca="false">IF(Base_Semanal!P106=0,"",Base_Semanal!Q106/Base_Semanal!P106)</f>
        <v/>
      </c>
      <c r="V106" s="37" t="str">
        <f aca="false">IF(Base_Semanal!R106=0,"",Base_Semanal!S106/Base_Semanal!R106)</f>
        <v/>
      </c>
      <c r="W106" s="37" t="str">
        <f aca="false">IF(Base_Semanal!P106+Base_Semanal!R106=0,"",(Base_Semanal!Q106+Base_Semanal!S106)/(Base_Semanal!P106+Base_Semanal!R106))</f>
        <v/>
      </c>
      <c r="X106" s="38" t="n">
        <f aca="false">Base_Semanal!T106</f>
        <v>0</v>
      </c>
      <c r="Y106" s="38" t="n">
        <f aca="false">Base_Semanal!U106</f>
        <v>0</v>
      </c>
      <c r="Z106" s="38" t="n">
        <f aca="false">Base_Semanal!V106</f>
        <v>0</v>
      </c>
      <c r="AA106" s="38" t="n">
        <f aca="false">Base_Semanal!W106</f>
        <v>0</v>
      </c>
      <c r="AB106" s="36" t="n">
        <f aca="false">COUNTIFS(Contratos!$B$4:$B$503,$A106,Contratos!$E$4:$E$503,"Avaliação")</f>
        <v>0</v>
      </c>
      <c r="AC106" s="39" t="n">
        <f aca="false">SUMIFS(Contratos!$I$4:$I$503,Contratos!$B$4:$B$503,$A106,Contratos!$E$4:$E$503,"Avaliação")</f>
        <v>0</v>
      </c>
      <c r="AD106" s="36" t="n">
        <f aca="false">COUNTIFS(Contratos!$B$4:$B$503,$A106,Contratos!$E$4:$E$503,"Protocolo")</f>
        <v>0</v>
      </c>
      <c r="AE106" s="39" t="n">
        <f aca="false">SUMIFS(Contratos!$I$4:$I$503,Contratos!$B$4:$B$503,$A106,Contratos!$E$4:$E$503,"Protocolo")</f>
        <v>0</v>
      </c>
      <c r="AF106" s="39" t="n">
        <f aca="false">AC106+AE106</f>
        <v>0</v>
      </c>
      <c r="AG106" s="36" t="n">
        <f aca="false">COUNTIFS(Contratos!$B$4:$B$503,$A106,Contratos!$J$4:$J$503,"À vista")</f>
        <v>0</v>
      </c>
      <c r="AH106" s="36" t="n">
        <f aca="false">COUNTIFS(Contratos!$B$4:$B$503,$A106,Contratos!$J$4:$J$503,"Parcelado")</f>
        <v>0</v>
      </c>
      <c r="AI106" s="39" t="n">
        <f aca="false">SUMIFS(Financeiro!$G$4:$G$503,Financeiro!$B$4:$B$503,$A106,Financeiro!$D$4:$D$503,"Receita",Financeiro!$H$4:$H$503,"&lt;&gt;Cancelado")</f>
        <v>0</v>
      </c>
      <c r="AJ106" s="39" t="n">
        <f aca="false">SUMIFS(Financeiro!$G$4:$G$503,Financeiro!$B$4:$B$503,$A106,Financeiro!$D$4:$D$503,"Gasto",Financeiro!$H$4:$H$503,"&lt;&gt;Cancelado")</f>
        <v>0</v>
      </c>
      <c r="AK106" s="39" t="n">
        <f aca="false">SUMIFS(Financeiro!$G$4:$G$503,Financeiro!$B$4:$B$503,$A106,Financeiro!$D$4:$D$503,"Imposto",Financeiro!$H$4:$H$503,"&lt;&gt;Cancelado")</f>
        <v>0</v>
      </c>
      <c r="AL106" s="39" t="n">
        <f aca="false">SUMIFS(Financeiro!$G$4:$G$503,Financeiro!$B$4:$B$503,$A106,Financeiro!$D$4:$D$503,"Marketing",Financeiro!$H$4:$H$503,"&lt;&gt;Cancelado")</f>
        <v>0</v>
      </c>
      <c r="AM106" s="39" t="n">
        <f aca="false">AI106-AJ106-AK106-AL106</f>
        <v>0</v>
      </c>
      <c r="AN106" s="37" t="n">
        <f aca="false">IF(Config!$B$16=0,"",AI106/Config!$B$16)</f>
        <v>0</v>
      </c>
      <c r="AO106" s="37" t="n">
        <f aca="false">IF(Config!$B$17=0,"",AJ106/Config!$B$17)</f>
        <v>0</v>
      </c>
      <c r="AP106" s="39" t="str">
        <f aca="false">IF(T106=0,"",AL106/T106)</f>
        <v/>
      </c>
      <c r="AQ106" s="39" t="n">
        <f aca="false">SUMIFS($AI$4:$AI$107,$D$4:$D$107,$D106,$B$4:$B$107,"&lt;="&amp;$B106)</f>
        <v>0</v>
      </c>
      <c r="AR106" s="39" t="n">
        <f aca="false">SUMIFS($AJ$4:$AJ$107,$D$4:$D$107,$D106,$B$4:$B$107,"&lt;="&amp;$B106)</f>
        <v>0</v>
      </c>
      <c r="AS106" s="36" t="n">
        <f aca="false">SUMIFS(Leads_Canal!$C$4:$C$503,Leads_Canal!$A$4:$A$503,$A106)</f>
        <v>0</v>
      </c>
      <c r="AT106" s="17" t="str">
        <f aca="false">IF(E106=0,"",IF(E106=AR106,"OK","Divergente"))</f>
        <v/>
      </c>
      <c r="AU106" s="17" t="str">
        <f aca="false">IF(N106=0,"",IF(N106=AD106,"OK","Divergente"))</f>
        <v/>
      </c>
    </row>
    <row r="107" customFormat="false" ht="15" hidden="false" customHeight="false" outlineLevel="0" collapsed="false">
      <c r="A107" s="17" t="str">
        <f aca="false">Base_Semanal!A107</f>
        <v>2027-S52</v>
      </c>
      <c r="B107" s="30" t="n">
        <f aca="false">Base_Semanal!B107</f>
        <v>46748</v>
      </c>
      <c r="C107" s="30" t="n">
        <f aca="false">Base_Semanal!C107</f>
        <v>46754</v>
      </c>
      <c r="D107" s="17" t="str">
        <f aca="false">Base_Semanal!D107</f>
        <v>2027-12</v>
      </c>
      <c r="E107" s="36" t="n">
        <f aca="false">Base_Semanal!E107</f>
        <v>0</v>
      </c>
      <c r="F107" s="36" t="n">
        <f aca="false">Base_Semanal!F107</f>
        <v>0</v>
      </c>
      <c r="G107" s="36" t="n">
        <f aca="false">Base_Semanal!G107</f>
        <v>0</v>
      </c>
      <c r="H107" s="36" t="n">
        <f aca="false">Base_Semanal!H107</f>
        <v>0</v>
      </c>
      <c r="I107" s="36" t="n">
        <f aca="false">Base_Semanal!I107</f>
        <v>0</v>
      </c>
      <c r="J107" s="36" t="n">
        <f aca="false">H107+I107</f>
        <v>0</v>
      </c>
      <c r="K107" s="37" t="str">
        <f aca="false">IF(F107=0,"",G107/F107)</f>
        <v/>
      </c>
      <c r="L107" s="36" t="n">
        <f aca="false">Base_Semanal!J107</f>
        <v>0</v>
      </c>
      <c r="M107" s="36" t="n">
        <f aca="false">Base_Semanal!K107</f>
        <v>0</v>
      </c>
      <c r="N107" s="36" t="n">
        <f aca="false">L107+M107</f>
        <v>0</v>
      </c>
      <c r="O107" s="37" t="str">
        <f aca="false">IF(J107=0,"",N107/J107)</f>
        <v/>
      </c>
      <c r="P107" s="36" t="n">
        <f aca="false">Base_Semanal!L107</f>
        <v>0</v>
      </c>
      <c r="Q107" s="36" t="n">
        <f aca="false">Base_Semanal!M107</f>
        <v>0</v>
      </c>
      <c r="R107" s="36" t="n">
        <f aca="false">P107+Q107</f>
        <v>0</v>
      </c>
      <c r="S107" s="36" t="n">
        <f aca="false">Base_Semanal!N107</f>
        <v>0</v>
      </c>
      <c r="T107" s="36" t="n">
        <f aca="false">Base_Semanal!O107</f>
        <v>0</v>
      </c>
      <c r="U107" s="37" t="str">
        <f aca="false">IF(Base_Semanal!P107=0,"",Base_Semanal!Q107/Base_Semanal!P107)</f>
        <v/>
      </c>
      <c r="V107" s="37" t="str">
        <f aca="false">IF(Base_Semanal!R107=0,"",Base_Semanal!S107/Base_Semanal!R107)</f>
        <v/>
      </c>
      <c r="W107" s="37" t="str">
        <f aca="false">IF(Base_Semanal!P107+Base_Semanal!R107=0,"",(Base_Semanal!Q107+Base_Semanal!S107)/(Base_Semanal!P107+Base_Semanal!R107))</f>
        <v/>
      </c>
      <c r="X107" s="38" t="n">
        <f aca="false">Base_Semanal!T107</f>
        <v>0</v>
      </c>
      <c r="Y107" s="38" t="n">
        <f aca="false">Base_Semanal!U107</f>
        <v>0</v>
      </c>
      <c r="Z107" s="38" t="n">
        <f aca="false">Base_Semanal!V107</f>
        <v>0</v>
      </c>
      <c r="AA107" s="38" t="n">
        <f aca="false">Base_Semanal!W107</f>
        <v>0</v>
      </c>
      <c r="AB107" s="36" t="n">
        <f aca="false">COUNTIFS(Contratos!$B$4:$B$503,$A107,Contratos!$E$4:$E$503,"Avaliação")</f>
        <v>0</v>
      </c>
      <c r="AC107" s="39" t="n">
        <f aca="false">SUMIFS(Contratos!$I$4:$I$503,Contratos!$B$4:$B$503,$A107,Contratos!$E$4:$E$503,"Avaliação")</f>
        <v>0</v>
      </c>
      <c r="AD107" s="36" t="n">
        <f aca="false">COUNTIFS(Contratos!$B$4:$B$503,$A107,Contratos!$E$4:$E$503,"Protocolo")</f>
        <v>0</v>
      </c>
      <c r="AE107" s="39" t="n">
        <f aca="false">SUMIFS(Contratos!$I$4:$I$503,Contratos!$B$4:$B$503,$A107,Contratos!$E$4:$E$503,"Protocolo")</f>
        <v>0</v>
      </c>
      <c r="AF107" s="39" t="n">
        <f aca="false">AC107+AE107</f>
        <v>0</v>
      </c>
      <c r="AG107" s="36" t="n">
        <f aca="false">COUNTIFS(Contratos!$B$4:$B$503,$A107,Contratos!$J$4:$J$503,"À vista")</f>
        <v>0</v>
      </c>
      <c r="AH107" s="36" t="n">
        <f aca="false">COUNTIFS(Contratos!$B$4:$B$503,$A107,Contratos!$J$4:$J$503,"Parcelado")</f>
        <v>0</v>
      </c>
      <c r="AI107" s="39" t="n">
        <f aca="false">SUMIFS(Financeiro!$G$4:$G$503,Financeiro!$B$4:$B$503,$A107,Financeiro!$D$4:$D$503,"Receita",Financeiro!$H$4:$H$503,"&lt;&gt;Cancelado")</f>
        <v>0</v>
      </c>
      <c r="AJ107" s="39" t="n">
        <f aca="false">SUMIFS(Financeiro!$G$4:$G$503,Financeiro!$B$4:$B$503,$A107,Financeiro!$D$4:$D$503,"Gasto",Financeiro!$H$4:$H$503,"&lt;&gt;Cancelado")</f>
        <v>0</v>
      </c>
      <c r="AK107" s="39" t="n">
        <f aca="false">SUMIFS(Financeiro!$G$4:$G$503,Financeiro!$B$4:$B$503,$A107,Financeiro!$D$4:$D$503,"Imposto",Financeiro!$H$4:$H$503,"&lt;&gt;Cancelado")</f>
        <v>0</v>
      </c>
      <c r="AL107" s="39" t="n">
        <f aca="false">SUMIFS(Financeiro!$G$4:$G$503,Financeiro!$B$4:$B$503,$A107,Financeiro!$D$4:$D$503,"Marketing",Financeiro!$H$4:$H$503,"&lt;&gt;Cancelado")</f>
        <v>0</v>
      </c>
      <c r="AM107" s="39" t="n">
        <f aca="false">AI107-AJ107-AK107-AL107</f>
        <v>0</v>
      </c>
      <c r="AN107" s="37" t="n">
        <f aca="false">IF(Config!$B$16=0,"",AI107/Config!$B$16)</f>
        <v>0</v>
      </c>
      <c r="AO107" s="37" t="n">
        <f aca="false">IF(Config!$B$17=0,"",AJ107/Config!$B$17)</f>
        <v>0</v>
      </c>
      <c r="AP107" s="39" t="str">
        <f aca="false">IF(T107=0,"",AL107/T107)</f>
        <v/>
      </c>
      <c r="AQ107" s="39" t="n">
        <f aca="false">SUMIFS($AI$4:$AI$107,$D$4:$D$107,$D107,$B$4:$B$107,"&lt;="&amp;$B107)</f>
        <v>0</v>
      </c>
      <c r="AR107" s="39" t="n">
        <f aca="false">SUMIFS($AJ$4:$AJ$107,$D$4:$D$107,$D107,$B$4:$B$107,"&lt;="&amp;$B107)</f>
        <v>0</v>
      </c>
      <c r="AS107" s="36" t="n">
        <f aca="false">SUMIFS(Leads_Canal!$C$4:$C$503,Leads_Canal!$A$4:$A$503,$A107)</f>
        <v>0</v>
      </c>
      <c r="AT107" s="17" t="str">
        <f aca="false">IF(E107=0,"",IF(E107=AR107,"OK","Divergente"))</f>
        <v/>
      </c>
      <c r="AU107" s="17" t="str">
        <f aca="false">IF(N107=0,"",IF(N107=AD107,"OK","Divergente"))</f>
        <v/>
      </c>
    </row>
    <row r="109" customFormat="false" ht="15" hidden="false" customHeight="false" outlineLevel="0" collapsed="false">
      <c r="A109" s="2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1" min="2" style="0" width="10"/>
    <col collapsed="false" customWidth="true" hidden="false" outlineLevel="0" max="12" min="12" style="0" width="11"/>
    <col collapsed="false" customWidth="true" hidden="false" outlineLevel="0" max="15" min="13" style="0" width="10"/>
    <col collapsed="false" customWidth="true" hidden="false" outlineLevel="0" max="16" min="16" style="0" width="11"/>
    <col collapsed="false" customWidth="true" hidden="false" outlineLevel="0" max="20" min="17" style="0" width="10"/>
    <col collapsed="false" customWidth="true" hidden="false" outlineLevel="0" max="21" min="21" style="0" width="11"/>
    <col collapsed="false" customWidth="true" hidden="false" outlineLevel="0" max="22" min="22" style="0" width="13"/>
    <col collapsed="false" customWidth="true" hidden="false" outlineLevel="0" max="23" min="23" style="0" width="11"/>
    <col collapsed="false" customWidth="true" hidden="false" outlineLevel="0" max="29" min="24" style="0" width="13"/>
    <col collapsed="false" customWidth="true" hidden="false" outlineLevel="0" max="31" min="30" style="0" width="10"/>
    <col collapsed="false" customWidth="true" hidden="false" outlineLevel="0" max="32" min="32" style="0" width="12"/>
  </cols>
  <sheetData>
    <row r="1" customFormat="false" ht="17.35" hidden="false" customHeight="false" outlineLevel="0" collapsed="false">
      <c r="A1" s="1" t="s">
        <v>541</v>
      </c>
    </row>
    <row r="2" customFormat="false" ht="15" hidden="false" customHeight="false" outlineLevel="0" collapsed="false">
      <c r="A2" s="2" t="s">
        <v>542</v>
      </c>
    </row>
    <row r="3" customFormat="false" ht="31.5" hidden="false" customHeight="true" outlineLevel="0" collapsed="false">
      <c r="A3" s="8" t="s">
        <v>36</v>
      </c>
      <c r="B3" s="8" t="s">
        <v>38</v>
      </c>
      <c r="C3" s="8" t="s">
        <v>40</v>
      </c>
      <c r="D3" s="8" t="s">
        <v>42</v>
      </c>
      <c r="E3" s="8" t="s">
        <v>174</v>
      </c>
      <c r="F3" s="8" t="s">
        <v>175</v>
      </c>
      <c r="G3" s="8" t="s">
        <v>176</v>
      </c>
      <c r="H3" s="8" t="s">
        <v>177</v>
      </c>
      <c r="I3" s="8" t="s">
        <v>178</v>
      </c>
      <c r="J3" s="8" t="s">
        <v>179</v>
      </c>
      <c r="K3" s="8" t="s">
        <v>180</v>
      </c>
      <c r="L3" s="8" t="s">
        <v>181</v>
      </c>
      <c r="M3" s="8" t="s">
        <v>182</v>
      </c>
      <c r="N3" s="8" t="s">
        <v>183</v>
      </c>
      <c r="O3" s="8" t="s">
        <v>184</v>
      </c>
      <c r="P3" s="8" t="s">
        <v>185</v>
      </c>
      <c r="Q3" s="8" t="s">
        <v>58</v>
      </c>
      <c r="R3" s="8" t="s">
        <v>186</v>
      </c>
      <c r="S3" s="8" t="s">
        <v>187</v>
      </c>
      <c r="T3" s="8" t="s">
        <v>188</v>
      </c>
      <c r="U3" s="8" t="s">
        <v>193</v>
      </c>
      <c r="V3" s="8" t="s">
        <v>194</v>
      </c>
      <c r="W3" s="8" t="s">
        <v>195</v>
      </c>
      <c r="X3" s="8" t="s">
        <v>196</v>
      </c>
      <c r="Y3" s="8" t="s">
        <v>199</v>
      </c>
      <c r="Z3" s="8" t="s">
        <v>200</v>
      </c>
      <c r="AA3" s="8" t="s">
        <v>201</v>
      </c>
      <c r="AB3" s="8" t="s">
        <v>202</v>
      </c>
      <c r="AC3" s="8" t="s">
        <v>203</v>
      </c>
      <c r="AD3" s="8" t="s">
        <v>214</v>
      </c>
      <c r="AE3" s="8" t="s">
        <v>215</v>
      </c>
      <c r="AF3" s="8" t="s">
        <v>206</v>
      </c>
    </row>
    <row r="4" customFormat="false" ht="15" hidden="false" customHeight="false" outlineLevel="0" collapsed="false">
      <c r="A4" s="17" t="s">
        <v>337</v>
      </c>
      <c r="B4" s="36" t="n">
        <f aca="false">SUMIFS(Base_Semanal!$E$4:$E$107,Base_Semanal!$D$4:$D$107,$A4)</f>
        <v>0</v>
      </c>
      <c r="C4" s="36" t="n">
        <f aca="false">SUMIFS(Base_Semanal!$F$4:$F$107,Base_Semanal!$D$4:$D$107,$A4)</f>
        <v>0</v>
      </c>
      <c r="D4" s="36" t="n">
        <f aca="false">SUMIFS(Base_Semanal!$G$4:$G$107,Base_Semanal!$D$4:$D$107,$A4)</f>
        <v>0</v>
      </c>
      <c r="E4" s="36" t="n">
        <f aca="false">SUMIFS(Base_Semanal!$H$4:$H$107,Base_Semanal!$D$4:$D$107,$A4)</f>
        <v>0</v>
      </c>
      <c r="F4" s="36" t="n">
        <f aca="false">SUMIFS(Base_Semanal!$I$4:$I$107,Base_Semanal!$D$4:$D$107,$A4)</f>
        <v>0</v>
      </c>
      <c r="G4" s="36" t="n">
        <f aca="false">E4+F4</f>
        <v>0</v>
      </c>
      <c r="H4" s="37" t="str">
        <f aca="false">IF(C4=0,"",D4/C4)</f>
        <v/>
      </c>
      <c r="I4" s="36" t="n">
        <f aca="false">SUMIFS(Base_Semanal!$J$4:$J$107,Base_Semanal!$D$4:$D$107,$A4)</f>
        <v>0</v>
      </c>
      <c r="J4" s="36" t="n">
        <f aca="false">SUMIFS(Base_Semanal!$K$4:$K$107,Base_Semanal!$D$4:$D$107,$A4)</f>
        <v>0</v>
      </c>
      <c r="K4" s="36" t="n">
        <f aca="false">I4+J4</f>
        <v>0</v>
      </c>
      <c r="L4" s="37" t="str">
        <f aca="false">IF(G4=0,"",K4/G4)</f>
        <v/>
      </c>
      <c r="M4" s="36" t="n">
        <f aca="false">SUMIFS(Base_Semanal!$L$4:$L$107,Base_Semanal!$D$4:$D$107,$A4)</f>
        <v>0</v>
      </c>
      <c r="N4" s="36" t="n">
        <f aca="false">SUMIFS(Base_Semanal!$M$4:$M$107,Base_Semanal!$D$4:$D$107,$A4)</f>
        <v>0</v>
      </c>
      <c r="O4" s="36" t="n">
        <f aca="false">M4+N4</f>
        <v>0</v>
      </c>
      <c r="P4" s="36" t="n">
        <f aca="false">SUMIFS(Base_Semanal!$N$4:$N$107,Base_Semanal!$D$4:$D$107,$A4)</f>
        <v>0</v>
      </c>
      <c r="Q4" s="36" t="n">
        <f aca="false">SUMIFS(Base_Semanal!$O$4:$O$107,Base_Semanal!$D$4:$D$107,$A4)</f>
        <v>0</v>
      </c>
      <c r="R4" s="37" t="str">
        <f aca="false">IF(SUMIFS(Base_Semanal!$P$4:$P$107,Base_Semanal!$D$4:$D$107,$A4)=0,"",SUMIFS(Base_Semanal!$Q$4:$Q$107,Base_Semanal!$D$4:$D$107,$A4)/SUMIFS(Base_Semanal!$P$4:$P$107,Base_Semanal!$D$4:$D$107,$A4))</f>
        <v/>
      </c>
      <c r="S4" s="37" t="str">
        <f aca="false">IF(SUMIFS(Base_Semanal!$R$4:$R$107,Base_Semanal!$D$4:$D$107,$A4)=0,"",SUMIFS(Base_Semanal!$S$4:$S$107,Base_Semanal!$D$4:$D$107,$A4)/SUMIFS(Base_Semanal!$R$4:$R$107,Base_Semanal!$D$4:$D$107,$A4))</f>
        <v/>
      </c>
      <c r="T4" s="37" t="str">
        <f aca="false">IF(SUMIFS(Base_Semanal!$P$4:$P$107,Base_Semanal!$D$4:$D$107,$A4)+SUMIFS(Base_Semanal!$R$4:$R$107,Base_Semanal!$D$4:$D$107,$A4)=0,"",(SUMIFS(Base_Semanal!$Q$4:$Q$107,Base_Semanal!$D$4:$D$107,$A4)+SUMIFS(Base_Semanal!$S$4:$S$107,Base_Semanal!$D$4:$D$107,$A4))/(SUMIFS(Base_Semanal!$P$4:$P$107,Base_Semanal!$D$4:$D$107,$A4)+SUMIFS(Base_Semanal!$R$4:$R$107,Base_Semanal!$D$4:$D$107,$A4)))</f>
        <v/>
      </c>
      <c r="U4" s="36" t="n">
        <f aca="false">COUNTIFS(Contratos!$C$4:$C$503,$A4,Contratos!$E$4:$E$503,"Avaliação")</f>
        <v>0</v>
      </c>
      <c r="V4" s="39" t="n">
        <f aca="false">SUMIFS(Contratos!$I$4:$I$503,Contratos!$C$4:$C$503,$A4,Contratos!$E$4:$E$503,"Avaliação")</f>
        <v>0</v>
      </c>
      <c r="W4" s="36" t="n">
        <f aca="false">COUNTIFS(Contratos!$C$4:$C$503,$A4,Contratos!$E$4:$E$503,"Protocolo")</f>
        <v>0</v>
      </c>
      <c r="X4" s="39" t="n">
        <f aca="false">SUMIFS(Contratos!$I$4:$I$503,Contratos!$C$4:$C$503,$A4,Contratos!$E$4:$E$503,"Protocolo")</f>
        <v>0</v>
      </c>
      <c r="Y4" s="39" t="n">
        <f aca="false">SUMIFS(Financeiro!$G$4:$G$503,Financeiro!$C$4:$C$503,$A4,Financeiro!$D$4:$D$503,"Receita",Financeiro!$H$4:$H$503,"&lt;&gt;Cancelado")</f>
        <v>0</v>
      </c>
      <c r="Z4" s="39" t="n">
        <f aca="false">SUMIFS(Financeiro!$G$4:$G$503,Financeiro!$C$4:$C$503,$A4,Financeiro!$D$4:$D$503,"Gasto",Financeiro!$H$4:$H$503,"&lt;&gt;Cancelado")</f>
        <v>0</v>
      </c>
      <c r="AA4" s="39" t="n">
        <f aca="false">SUMIFS(Financeiro!$G$4:$G$503,Financeiro!$C$4:$C$503,$A4,Financeiro!$D$4:$D$503,"Imposto",Financeiro!$H$4:$H$503,"&lt;&gt;Cancelado")</f>
        <v>0</v>
      </c>
      <c r="AB4" s="39" t="n">
        <f aca="false">SUMIFS(Financeiro!$G$4:$G$503,Financeiro!$C$4:$C$503,$A4,Financeiro!$D$4:$D$503,"Marketing",Financeiro!$H$4:$H$503,"&lt;&gt;Cancelado")</f>
        <v>0</v>
      </c>
      <c r="AC4" s="39" t="n">
        <f aca="false">Y4-Z4-AA4-AB4</f>
        <v>0</v>
      </c>
      <c r="AD4" s="37" t="n">
        <f aca="false">IF(Config!$C$16=0,"",Y4/Config!$C$16)</f>
        <v>0</v>
      </c>
      <c r="AE4" s="37" t="n">
        <f aca="false">IF(Config!$C$17=0,"",Z4/Config!$C$17)</f>
        <v>0</v>
      </c>
      <c r="AF4" s="39" t="str">
        <f aca="false">IF(Q4=0,"",AB4/Q4)</f>
        <v/>
      </c>
    </row>
    <row r="5" customFormat="false" ht="15" hidden="false" customHeight="false" outlineLevel="0" collapsed="false">
      <c r="A5" s="17" t="s">
        <v>342</v>
      </c>
      <c r="B5" s="36" t="n">
        <f aca="false">SUMIFS(Base_Semanal!$E$4:$E$107,Base_Semanal!$D$4:$D$107,$A5)</f>
        <v>0</v>
      </c>
      <c r="C5" s="36" t="n">
        <f aca="false">SUMIFS(Base_Semanal!$F$4:$F$107,Base_Semanal!$D$4:$D$107,$A5)</f>
        <v>0</v>
      </c>
      <c r="D5" s="36" t="n">
        <f aca="false">SUMIFS(Base_Semanal!$G$4:$G$107,Base_Semanal!$D$4:$D$107,$A5)</f>
        <v>0</v>
      </c>
      <c r="E5" s="36" t="n">
        <f aca="false">SUMIFS(Base_Semanal!$H$4:$H$107,Base_Semanal!$D$4:$D$107,$A5)</f>
        <v>0</v>
      </c>
      <c r="F5" s="36" t="n">
        <f aca="false">SUMIFS(Base_Semanal!$I$4:$I$107,Base_Semanal!$D$4:$D$107,$A5)</f>
        <v>0</v>
      </c>
      <c r="G5" s="36" t="n">
        <f aca="false">E5+F5</f>
        <v>0</v>
      </c>
      <c r="H5" s="37" t="str">
        <f aca="false">IF(C5=0,"",D5/C5)</f>
        <v/>
      </c>
      <c r="I5" s="36" t="n">
        <f aca="false">SUMIFS(Base_Semanal!$J$4:$J$107,Base_Semanal!$D$4:$D$107,$A5)</f>
        <v>0</v>
      </c>
      <c r="J5" s="36" t="n">
        <f aca="false">SUMIFS(Base_Semanal!$K$4:$K$107,Base_Semanal!$D$4:$D$107,$A5)</f>
        <v>0</v>
      </c>
      <c r="K5" s="36" t="n">
        <f aca="false">I5+J5</f>
        <v>0</v>
      </c>
      <c r="L5" s="37" t="str">
        <f aca="false">IF(G5=0,"",K5/G5)</f>
        <v/>
      </c>
      <c r="M5" s="36" t="n">
        <f aca="false">SUMIFS(Base_Semanal!$L$4:$L$107,Base_Semanal!$D$4:$D$107,$A5)</f>
        <v>0</v>
      </c>
      <c r="N5" s="36" t="n">
        <f aca="false">SUMIFS(Base_Semanal!$M$4:$M$107,Base_Semanal!$D$4:$D$107,$A5)</f>
        <v>0</v>
      </c>
      <c r="O5" s="36" t="n">
        <f aca="false">M5+N5</f>
        <v>0</v>
      </c>
      <c r="P5" s="36" t="n">
        <f aca="false">SUMIFS(Base_Semanal!$N$4:$N$107,Base_Semanal!$D$4:$D$107,$A5)</f>
        <v>0</v>
      </c>
      <c r="Q5" s="36" t="n">
        <f aca="false">SUMIFS(Base_Semanal!$O$4:$O$107,Base_Semanal!$D$4:$D$107,$A5)</f>
        <v>0</v>
      </c>
      <c r="R5" s="37" t="str">
        <f aca="false">IF(SUMIFS(Base_Semanal!$P$4:$P$107,Base_Semanal!$D$4:$D$107,$A5)=0,"",SUMIFS(Base_Semanal!$Q$4:$Q$107,Base_Semanal!$D$4:$D$107,$A5)/SUMIFS(Base_Semanal!$P$4:$P$107,Base_Semanal!$D$4:$D$107,$A5))</f>
        <v/>
      </c>
      <c r="S5" s="37" t="str">
        <f aca="false">IF(SUMIFS(Base_Semanal!$R$4:$R$107,Base_Semanal!$D$4:$D$107,$A5)=0,"",SUMIFS(Base_Semanal!$S$4:$S$107,Base_Semanal!$D$4:$D$107,$A5)/SUMIFS(Base_Semanal!$R$4:$R$107,Base_Semanal!$D$4:$D$107,$A5))</f>
        <v/>
      </c>
      <c r="T5" s="37" t="str">
        <f aca="false">IF(SUMIFS(Base_Semanal!$P$4:$P$107,Base_Semanal!$D$4:$D$107,$A5)+SUMIFS(Base_Semanal!$R$4:$R$107,Base_Semanal!$D$4:$D$107,$A5)=0,"",(SUMIFS(Base_Semanal!$Q$4:$Q$107,Base_Semanal!$D$4:$D$107,$A5)+SUMIFS(Base_Semanal!$S$4:$S$107,Base_Semanal!$D$4:$D$107,$A5))/(SUMIFS(Base_Semanal!$P$4:$P$107,Base_Semanal!$D$4:$D$107,$A5)+SUMIFS(Base_Semanal!$R$4:$R$107,Base_Semanal!$D$4:$D$107,$A5)))</f>
        <v/>
      </c>
      <c r="U5" s="36" t="n">
        <f aca="false">COUNTIFS(Contratos!$C$4:$C$503,$A5,Contratos!$E$4:$E$503,"Avaliação")</f>
        <v>0</v>
      </c>
      <c r="V5" s="39" t="n">
        <f aca="false">SUMIFS(Contratos!$I$4:$I$503,Contratos!$C$4:$C$503,$A5,Contratos!$E$4:$E$503,"Avaliação")</f>
        <v>0</v>
      </c>
      <c r="W5" s="36" t="n">
        <f aca="false">COUNTIFS(Contratos!$C$4:$C$503,$A5,Contratos!$E$4:$E$503,"Protocolo")</f>
        <v>0</v>
      </c>
      <c r="X5" s="39" t="n">
        <f aca="false">SUMIFS(Contratos!$I$4:$I$503,Contratos!$C$4:$C$503,$A5,Contratos!$E$4:$E$503,"Protocolo")</f>
        <v>0</v>
      </c>
      <c r="Y5" s="39" t="n">
        <f aca="false">SUMIFS(Financeiro!$G$4:$G$503,Financeiro!$C$4:$C$503,$A5,Financeiro!$D$4:$D$503,"Receita",Financeiro!$H$4:$H$503,"&lt;&gt;Cancelado")</f>
        <v>0</v>
      </c>
      <c r="Z5" s="39" t="n">
        <f aca="false">SUMIFS(Financeiro!$G$4:$G$503,Financeiro!$C$4:$C$503,$A5,Financeiro!$D$4:$D$503,"Gasto",Financeiro!$H$4:$H$503,"&lt;&gt;Cancelado")</f>
        <v>0</v>
      </c>
      <c r="AA5" s="39" t="n">
        <f aca="false">SUMIFS(Financeiro!$G$4:$G$503,Financeiro!$C$4:$C$503,$A5,Financeiro!$D$4:$D$503,"Imposto",Financeiro!$H$4:$H$503,"&lt;&gt;Cancelado")</f>
        <v>0</v>
      </c>
      <c r="AB5" s="39" t="n">
        <f aca="false">SUMIFS(Financeiro!$G$4:$G$503,Financeiro!$C$4:$C$503,$A5,Financeiro!$D$4:$D$503,"Marketing",Financeiro!$H$4:$H$503,"&lt;&gt;Cancelado")</f>
        <v>0</v>
      </c>
      <c r="AC5" s="39" t="n">
        <f aca="false">Y5-Z5-AA5-AB5</f>
        <v>0</v>
      </c>
      <c r="AD5" s="37" t="n">
        <f aca="false">IF(Config!$C$16=0,"",Y5/Config!$C$16)</f>
        <v>0</v>
      </c>
      <c r="AE5" s="37" t="n">
        <f aca="false">IF(Config!$C$17=0,"",Z5/Config!$C$17)</f>
        <v>0</v>
      </c>
      <c r="AF5" s="39" t="str">
        <f aca="false">IF(Q5=0,"",AB5/Q5)</f>
        <v/>
      </c>
    </row>
    <row r="6" customFormat="false" ht="15" hidden="false" customHeight="false" outlineLevel="0" collapsed="false">
      <c r="A6" s="17" t="s">
        <v>347</v>
      </c>
      <c r="B6" s="36" t="n">
        <f aca="false">SUMIFS(Base_Semanal!$E$4:$E$107,Base_Semanal!$D$4:$D$107,$A6)</f>
        <v>0</v>
      </c>
      <c r="C6" s="36" t="n">
        <f aca="false">SUMIFS(Base_Semanal!$F$4:$F$107,Base_Semanal!$D$4:$D$107,$A6)</f>
        <v>0</v>
      </c>
      <c r="D6" s="36" t="n">
        <f aca="false">SUMIFS(Base_Semanal!$G$4:$G$107,Base_Semanal!$D$4:$D$107,$A6)</f>
        <v>0</v>
      </c>
      <c r="E6" s="36" t="n">
        <f aca="false">SUMIFS(Base_Semanal!$H$4:$H$107,Base_Semanal!$D$4:$D$107,$A6)</f>
        <v>0</v>
      </c>
      <c r="F6" s="36" t="n">
        <f aca="false">SUMIFS(Base_Semanal!$I$4:$I$107,Base_Semanal!$D$4:$D$107,$A6)</f>
        <v>0</v>
      </c>
      <c r="G6" s="36" t="n">
        <f aca="false">E6+F6</f>
        <v>0</v>
      </c>
      <c r="H6" s="37" t="str">
        <f aca="false">IF(C6=0,"",D6/C6)</f>
        <v/>
      </c>
      <c r="I6" s="36" t="n">
        <f aca="false">SUMIFS(Base_Semanal!$J$4:$J$107,Base_Semanal!$D$4:$D$107,$A6)</f>
        <v>0</v>
      </c>
      <c r="J6" s="36" t="n">
        <f aca="false">SUMIFS(Base_Semanal!$K$4:$K$107,Base_Semanal!$D$4:$D$107,$A6)</f>
        <v>0</v>
      </c>
      <c r="K6" s="36" t="n">
        <f aca="false">I6+J6</f>
        <v>0</v>
      </c>
      <c r="L6" s="37" t="str">
        <f aca="false">IF(G6=0,"",K6/G6)</f>
        <v/>
      </c>
      <c r="M6" s="36" t="n">
        <f aca="false">SUMIFS(Base_Semanal!$L$4:$L$107,Base_Semanal!$D$4:$D$107,$A6)</f>
        <v>0</v>
      </c>
      <c r="N6" s="36" t="n">
        <f aca="false">SUMIFS(Base_Semanal!$M$4:$M$107,Base_Semanal!$D$4:$D$107,$A6)</f>
        <v>0</v>
      </c>
      <c r="O6" s="36" t="n">
        <f aca="false">M6+N6</f>
        <v>0</v>
      </c>
      <c r="P6" s="36" t="n">
        <f aca="false">SUMIFS(Base_Semanal!$N$4:$N$107,Base_Semanal!$D$4:$D$107,$A6)</f>
        <v>0</v>
      </c>
      <c r="Q6" s="36" t="n">
        <f aca="false">SUMIFS(Base_Semanal!$O$4:$O$107,Base_Semanal!$D$4:$D$107,$A6)</f>
        <v>0</v>
      </c>
      <c r="R6" s="37" t="str">
        <f aca="false">IF(SUMIFS(Base_Semanal!$P$4:$P$107,Base_Semanal!$D$4:$D$107,$A6)=0,"",SUMIFS(Base_Semanal!$Q$4:$Q$107,Base_Semanal!$D$4:$D$107,$A6)/SUMIFS(Base_Semanal!$P$4:$P$107,Base_Semanal!$D$4:$D$107,$A6))</f>
        <v/>
      </c>
      <c r="S6" s="37" t="str">
        <f aca="false">IF(SUMIFS(Base_Semanal!$R$4:$R$107,Base_Semanal!$D$4:$D$107,$A6)=0,"",SUMIFS(Base_Semanal!$S$4:$S$107,Base_Semanal!$D$4:$D$107,$A6)/SUMIFS(Base_Semanal!$R$4:$R$107,Base_Semanal!$D$4:$D$107,$A6))</f>
        <v/>
      </c>
      <c r="T6" s="37" t="str">
        <f aca="false">IF(SUMIFS(Base_Semanal!$P$4:$P$107,Base_Semanal!$D$4:$D$107,$A6)+SUMIFS(Base_Semanal!$R$4:$R$107,Base_Semanal!$D$4:$D$107,$A6)=0,"",(SUMIFS(Base_Semanal!$Q$4:$Q$107,Base_Semanal!$D$4:$D$107,$A6)+SUMIFS(Base_Semanal!$S$4:$S$107,Base_Semanal!$D$4:$D$107,$A6))/(SUMIFS(Base_Semanal!$P$4:$P$107,Base_Semanal!$D$4:$D$107,$A6)+SUMIFS(Base_Semanal!$R$4:$R$107,Base_Semanal!$D$4:$D$107,$A6)))</f>
        <v/>
      </c>
      <c r="U6" s="36" t="n">
        <f aca="false">COUNTIFS(Contratos!$C$4:$C$503,$A6,Contratos!$E$4:$E$503,"Avaliação")</f>
        <v>0</v>
      </c>
      <c r="V6" s="39" t="n">
        <f aca="false">SUMIFS(Contratos!$I$4:$I$503,Contratos!$C$4:$C$503,$A6,Contratos!$E$4:$E$503,"Avaliação")</f>
        <v>0</v>
      </c>
      <c r="W6" s="36" t="n">
        <f aca="false">COUNTIFS(Contratos!$C$4:$C$503,$A6,Contratos!$E$4:$E$503,"Protocolo")</f>
        <v>0</v>
      </c>
      <c r="X6" s="39" t="n">
        <f aca="false">SUMIFS(Contratos!$I$4:$I$503,Contratos!$C$4:$C$503,$A6,Contratos!$E$4:$E$503,"Protocolo")</f>
        <v>0</v>
      </c>
      <c r="Y6" s="39" t="n">
        <f aca="false">SUMIFS(Financeiro!$G$4:$G$503,Financeiro!$C$4:$C$503,$A6,Financeiro!$D$4:$D$503,"Receita",Financeiro!$H$4:$H$503,"&lt;&gt;Cancelado")</f>
        <v>0</v>
      </c>
      <c r="Z6" s="39" t="n">
        <f aca="false">SUMIFS(Financeiro!$G$4:$G$503,Financeiro!$C$4:$C$503,$A6,Financeiro!$D$4:$D$503,"Gasto",Financeiro!$H$4:$H$503,"&lt;&gt;Cancelado")</f>
        <v>0</v>
      </c>
      <c r="AA6" s="39" t="n">
        <f aca="false">SUMIFS(Financeiro!$G$4:$G$503,Financeiro!$C$4:$C$503,$A6,Financeiro!$D$4:$D$503,"Imposto",Financeiro!$H$4:$H$503,"&lt;&gt;Cancelado")</f>
        <v>0</v>
      </c>
      <c r="AB6" s="39" t="n">
        <f aca="false">SUMIFS(Financeiro!$G$4:$G$503,Financeiro!$C$4:$C$503,$A6,Financeiro!$D$4:$D$503,"Marketing",Financeiro!$H$4:$H$503,"&lt;&gt;Cancelado")</f>
        <v>0</v>
      </c>
      <c r="AC6" s="39" t="n">
        <f aca="false">Y6-Z6-AA6-AB6</f>
        <v>0</v>
      </c>
      <c r="AD6" s="37" t="n">
        <f aca="false">IF(Config!$C$16=0,"",Y6/Config!$C$16)</f>
        <v>0</v>
      </c>
      <c r="AE6" s="37" t="n">
        <f aca="false">IF(Config!$C$17=0,"",Z6/Config!$C$17)</f>
        <v>0</v>
      </c>
      <c r="AF6" s="39" t="str">
        <f aca="false">IF(Q6=0,"",AB6/Q6)</f>
        <v/>
      </c>
    </row>
    <row r="7" customFormat="false" ht="15" hidden="false" customHeight="false" outlineLevel="0" collapsed="false">
      <c r="A7" s="17" t="s">
        <v>353</v>
      </c>
      <c r="B7" s="36" t="n">
        <f aca="false">SUMIFS(Base_Semanal!$E$4:$E$107,Base_Semanal!$D$4:$D$107,$A7)</f>
        <v>0</v>
      </c>
      <c r="C7" s="36" t="n">
        <f aca="false">SUMIFS(Base_Semanal!$F$4:$F$107,Base_Semanal!$D$4:$D$107,$A7)</f>
        <v>0</v>
      </c>
      <c r="D7" s="36" t="n">
        <f aca="false">SUMIFS(Base_Semanal!$G$4:$G$107,Base_Semanal!$D$4:$D$107,$A7)</f>
        <v>0</v>
      </c>
      <c r="E7" s="36" t="n">
        <f aca="false">SUMIFS(Base_Semanal!$H$4:$H$107,Base_Semanal!$D$4:$D$107,$A7)</f>
        <v>0</v>
      </c>
      <c r="F7" s="36" t="n">
        <f aca="false">SUMIFS(Base_Semanal!$I$4:$I$107,Base_Semanal!$D$4:$D$107,$A7)</f>
        <v>0</v>
      </c>
      <c r="G7" s="36" t="n">
        <f aca="false">E7+F7</f>
        <v>0</v>
      </c>
      <c r="H7" s="37" t="str">
        <f aca="false">IF(C7=0,"",D7/C7)</f>
        <v/>
      </c>
      <c r="I7" s="36" t="n">
        <f aca="false">SUMIFS(Base_Semanal!$J$4:$J$107,Base_Semanal!$D$4:$D$107,$A7)</f>
        <v>0</v>
      </c>
      <c r="J7" s="36" t="n">
        <f aca="false">SUMIFS(Base_Semanal!$K$4:$K$107,Base_Semanal!$D$4:$D$107,$A7)</f>
        <v>0</v>
      </c>
      <c r="K7" s="36" t="n">
        <f aca="false">I7+J7</f>
        <v>0</v>
      </c>
      <c r="L7" s="37" t="str">
        <f aca="false">IF(G7=0,"",K7/G7)</f>
        <v/>
      </c>
      <c r="M7" s="36" t="n">
        <f aca="false">SUMIFS(Base_Semanal!$L$4:$L$107,Base_Semanal!$D$4:$D$107,$A7)</f>
        <v>0</v>
      </c>
      <c r="N7" s="36" t="n">
        <f aca="false">SUMIFS(Base_Semanal!$M$4:$M$107,Base_Semanal!$D$4:$D$107,$A7)</f>
        <v>0</v>
      </c>
      <c r="O7" s="36" t="n">
        <f aca="false">M7+N7</f>
        <v>0</v>
      </c>
      <c r="P7" s="36" t="n">
        <f aca="false">SUMIFS(Base_Semanal!$N$4:$N$107,Base_Semanal!$D$4:$D$107,$A7)</f>
        <v>0</v>
      </c>
      <c r="Q7" s="36" t="n">
        <f aca="false">SUMIFS(Base_Semanal!$O$4:$O$107,Base_Semanal!$D$4:$D$107,$A7)</f>
        <v>0</v>
      </c>
      <c r="R7" s="37" t="str">
        <f aca="false">IF(SUMIFS(Base_Semanal!$P$4:$P$107,Base_Semanal!$D$4:$D$107,$A7)=0,"",SUMIFS(Base_Semanal!$Q$4:$Q$107,Base_Semanal!$D$4:$D$107,$A7)/SUMIFS(Base_Semanal!$P$4:$P$107,Base_Semanal!$D$4:$D$107,$A7))</f>
        <v/>
      </c>
      <c r="S7" s="37" t="str">
        <f aca="false">IF(SUMIFS(Base_Semanal!$R$4:$R$107,Base_Semanal!$D$4:$D$107,$A7)=0,"",SUMIFS(Base_Semanal!$S$4:$S$107,Base_Semanal!$D$4:$D$107,$A7)/SUMIFS(Base_Semanal!$R$4:$R$107,Base_Semanal!$D$4:$D$107,$A7))</f>
        <v/>
      </c>
      <c r="T7" s="37" t="str">
        <f aca="false">IF(SUMIFS(Base_Semanal!$P$4:$P$107,Base_Semanal!$D$4:$D$107,$A7)+SUMIFS(Base_Semanal!$R$4:$R$107,Base_Semanal!$D$4:$D$107,$A7)=0,"",(SUMIFS(Base_Semanal!$Q$4:$Q$107,Base_Semanal!$D$4:$D$107,$A7)+SUMIFS(Base_Semanal!$S$4:$S$107,Base_Semanal!$D$4:$D$107,$A7))/(SUMIFS(Base_Semanal!$P$4:$P$107,Base_Semanal!$D$4:$D$107,$A7)+SUMIFS(Base_Semanal!$R$4:$R$107,Base_Semanal!$D$4:$D$107,$A7)))</f>
        <v/>
      </c>
      <c r="U7" s="36" t="n">
        <f aca="false">COUNTIFS(Contratos!$C$4:$C$503,$A7,Contratos!$E$4:$E$503,"Avaliação")</f>
        <v>0</v>
      </c>
      <c r="V7" s="39" t="n">
        <f aca="false">SUMIFS(Contratos!$I$4:$I$503,Contratos!$C$4:$C$503,$A7,Contratos!$E$4:$E$503,"Avaliação")</f>
        <v>0</v>
      </c>
      <c r="W7" s="36" t="n">
        <f aca="false">COUNTIFS(Contratos!$C$4:$C$503,$A7,Contratos!$E$4:$E$503,"Protocolo")</f>
        <v>0</v>
      </c>
      <c r="X7" s="39" t="n">
        <f aca="false">SUMIFS(Contratos!$I$4:$I$503,Contratos!$C$4:$C$503,$A7,Contratos!$E$4:$E$503,"Protocolo")</f>
        <v>0</v>
      </c>
      <c r="Y7" s="39" t="n">
        <f aca="false">SUMIFS(Financeiro!$G$4:$G$503,Financeiro!$C$4:$C$503,$A7,Financeiro!$D$4:$D$503,"Receita",Financeiro!$H$4:$H$503,"&lt;&gt;Cancelado")</f>
        <v>0</v>
      </c>
      <c r="Z7" s="39" t="n">
        <f aca="false">SUMIFS(Financeiro!$G$4:$G$503,Financeiro!$C$4:$C$503,$A7,Financeiro!$D$4:$D$503,"Gasto",Financeiro!$H$4:$H$503,"&lt;&gt;Cancelado")</f>
        <v>0</v>
      </c>
      <c r="AA7" s="39" t="n">
        <f aca="false">SUMIFS(Financeiro!$G$4:$G$503,Financeiro!$C$4:$C$503,$A7,Financeiro!$D$4:$D$503,"Imposto",Financeiro!$H$4:$H$503,"&lt;&gt;Cancelado")</f>
        <v>0</v>
      </c>
      <c r="AB7" s="39" t="n">
        <f aca="false">SUMIFS(Financeiro!$G$4:$G$503,Financeiro!$C$4:$C$503,$A7,Financeiro!$D$4:$D$503,"Marketing",Financeiro!$H$4:$H$503,"&lt;&gt;Cancelado")</f>
        <v>0</v>
      </c>
      <c r="AC7" s="39" t="n">
        <f aca="false">Y7-Z7-AA7-AB7</f>
        <v>0</v>
      </c>
      <c r="AD7" s="37" t="n">
        <f aca="false">IF(Config!$C$16=0,"",Y7/Config!$C$16)</f>
        <v>0</v>
      </c>
      <c r="AE7" s="37" t="n">
        <f aca="false">IF(Config!$C$17=0,"",Z7/Config!$C$17)</f>
        <v>0</v>
      </c>
      <c r="AF7" s="39" t="str">
        <f aca="false">IF(Q7=0,"",AB7/Q7)</f>
        <v/>
      </c>
    </row>
    <row r="8" customFormat="false" ht="15" hidden="false" customHeight="false" outlineLevel="0" collapsed="false">
      <c r="A8" s="17" t="s">
        <v>358</v>
      </c>
      <c r="B8" s="36" t="n">
        <f aca="false">SUMIFS(Base_Semanal!$E$4:$E$107,Base_Semanal!$D$4:$D$107,$A8)</f>
        <v>0</v>
      </c>
      <c r="C8" s="36" t="n">
        <f aca="false">SUMIFS(Base_Semanal!$F$4:$F$107,Base_Semanal!$D$4:$D$107,$A8)</f>
        <v>0</v>
      </c>
      <c r="D8" s="36" t="n">
        <f aca="false">SUMIFS(Base_Semanal!$G$4:$G$107,Base_Semanal!$D$4:$D$107,$A8)</f>
        <v>0</v>
      </c>
      <c r="E8" s="36" t="n">
        <f aca="false">SUMIFS(Base_Semanal!$H$4:$H$107,Base_Semanal!$D$4:$D$107,$A8)</f>
        <v>0</v>
      </c>
      <c r="F8" s="36" t="n">
        <f aca="false">SUMIFS(Base_Semanal!$I$4:$I$107,Base_Semanal!$D$4:$D$107,$A8)</f>
        <v>0</v>
      </c>
      <c r="G8" s="36" t="n">
        <f aca="false">E8+F8</f>
        <v>0</v>
      </c>
      <c r="H8" s="37" t="str">
        <f aca="false">IF(C8=0,"",D8/C8)</f>
        <v/>
      </c>
      <c r="I8" s="36" t="n">
        <f aca="false">SUMIFS(Base_Semanal!$J$4:$J$107,Base_Semanal!$D$4:$D$107,$A8)</f>
        <v>0</v>
      </c>
      <c r="J8" s="36" t="n">
        <f aca="false">SUMIFS(Base_Semanal!$K$4:$K$107,Base_Semanal!$D$4:$D$107,$A8)</f>
        <v>0</v>
      </c>
      <c r="K8" s="36" t="n">
        <f aca="false">I8+J8</f>
        <v>0</v>
      </c>
      <c r="L8" s="37" t="str">
        <f aca="false">IF(G8=0,"",K8/G8)</f>
        <v/>
      </c>
      <c r="M8" s="36" t="n">
        <f aca="false">SUMIFS(Base_Semanal!$L$4:$L$107,Base_Semanal!$D$4:$D$107,$A8)</f>
        <v>0</v>
      </c>
      <c r="N8" s="36" t="n">
        <f aca="false">SUMIFS(Base_Semanal!$M$4:$M$107,Base_Semanal!$D$4:$D$107,$A8)</f>
        <v>0</v>
      </c>
      <c r="O8" s="36" t="n">
        <f aca="false">M8+N8</f>
        <v>0</v>
      </c>
      <c r="P8" s="36" t="n">
        <f aca="false">SUMIFS(Base_Semanal!$N$4:$N$107,Base_Semanal!$D$4:$D$107,$A8)</f>
        <v>0</v>
      </c>
      <c r="Q8" s="36" t="n">
        <f aca="false">SUMIFS(Base_Semanal!$O$4:$O$107,Base_Semanal!$D$4:$D$107,$A8)</f>
        <v>0</v>
      </c>
      <c r="R8" s="37" t="str">
        <f aca="false">IF(SUMIFS(Base_Semanal!$P$4:$P$107,Base_Semanal!$D$4:$D$107,$A8)=0,"",SUMIFS(Base_Semanal!$Q$4:$Q$107,Base_Semanal!$D$4:$D$107,$A8)/SUMIFS(Base_Semanal!$P$4:$P$107,Base_Semanal!$D$4:$D$107,$A8))</f>
        <v/>
      </c>
      <c r="S8" s="37" t="str">
        <f aca="false">IF(SUMIFS(Base_Semanal!$R$4:$R$107,Base_Semanal!$D$4:$D$107,$A8)=0,"",SUMIFS(Base_Semanal!$S$4:$S$107,Base_Semanal!$D$4:$D$107,$A8)/SUMIFS(Base_Semanal!$R$4:$R$107,Base_Semanal!$D$4:$D$107,$A8))</f>
        <v/>
      </c>
      <c r="T8" s="37" t="str">
        <f aca="false">IF(SUMIFS(Base_Semanal!$P$4:$P$107,Base_Semanal!$D$4:$D$107,$A8)+SUMIFS(Base_Semanal!$R$4:$R$107,Base_Semanal!$D$4:$D$107,$A8)=0,"",(SUMIFS(Base_Semanal!$Q$4:$Q$107,Base_Semanal!$D$4:$D$107,$A8)+SUMIFS(Base_Semanal!$S$4:$S$107,Base_Semanal!$D$4:$D$107,$A8))/(SUMIFS(Base_Semanal!$P$4:$P$107,Base_Semanal!$D$4:$D$107,$A8)+SUMIFS(Base_Semanal!$R$4:$R$107,Base_Semanal!$D$4:$D$107,$A8)))</f>
        <v/>
      </c>
      <c r="U8" s="36" t="n">
        <f aca="false">COUNTIFS(Contratos!$C$4:$C$503,$A8,Contratos!$E$4:$E$503,"Avaliação")</f>
        <v>0</v>
      </c>
      <c r="V8" s="39" t="n">
        <f aca="false">SUMIFS(Contratos!$I$4:$I$503,Contratos!$C$4:$C$503,$A8,Contratos!$E$4:$E$503,"Avaliação")</f>
        <v>0</v>
      </c>
      <c r="W8" s="36" t="n">
        <f aca="false">COUNTIFS(Contratos!$C$4:$C$503,$A8,Contratos!$E$4:$E$503,"Protocolo")</f>
        <v>0</v>
      </c>
      <c r="X8" s="39" t="n">
        <f aca="false">SUMIFS(Contratos!$I$4:$I$503,Contratos!$C$4:$C$503,$A8,Contratos!$E$4:$E$503,"Protocolo")</f>
        <v>0</v>
      </c>
      <c r="Y8" s="39" t="n">
        <f aca="false">SUMIFS(Financeiro!$G$4:$G$503,Financeiro!$C$4:$C$503,$A8,Financeiro!$D$4:$D$503,"Receita",Financeiro!$H$4:$H$503,"&lt;&gt;Cancelado")</f>
        <v>0</v>
      </c>
      <c r="Z8" s="39" t="n">
        <f aca="false">SUMIFS(Financeiro!$G$4:$G$503,Financeiro!$C$4:$C$503,$A8,Financeiro!$D$4:$D$503,"Gasto",Financeiro!$H$4:$H$503,"&lt;&gt;Cancelado")</f>
        <v>0</v>
      </c>
      <c r="AA8" s="39" t="n">
        <f aca="false">SUMIFS(Financeiro!$G$4:$G$503,Financeiro!$C$4:$C$503,$A8,Financeiro!$D$4:$D$503,"Imposto",Financeiro!$H$4:$H$503,"&lt;&gt;Cancelado")</f>
        <v>0</v>
      </c>
      <c r="AB8" s="39" t="n">
        <f aca="false">SUMIFS(Financeiro!$G$4:$G$503,Financeiro!$C$4:$C$503,$A8,Financeiro!$D$4:$D$503,"Marketing",Financeiro!$H$4:$H$503,"&lt;&gt;Cancelado")</f>
        <v>0</v>
      </c>
      <c r="AC8" s="39" t="n">
        <f aca="false">Y8-Z8-AA8-AB8</f>
        <v>0</v>
      </c>
      <c r="AD8" s="37" t="n">
        <f aca="false">IF(Config!$C$16=0,"",Y8/Config!$C$16)</f>
        <v>0</v>
      </c>
      <c r="AE8" s="37" t="n">
        <f aca="false">IF(Config!$C$17=0,"",Z8/Config!$C$17)</f>
        <v>0</v>
      </c>
      <c r="AF8" s="39" t="str">
        <f aca="false">IF(Q8=0,"",AB8/Q8)</f>
        <v/>
      </c>
    </row>
    <row r="9" customFormat="false" ht="15" hidden="false" customHeight="false" outlineLevel="0" collapsed="false">
      <c r="A9" s="17" t="s">
        <v>363</v>
      </c>
      <c r="B9" s="36" t="n">
        <f aca="false">SUMIFS(Base_Semanal!$E$4:$E$107,Base_Semanal!$D$4:$D$107,$A9)</f>
        <v>0</v>
      </c>
      <c r="C9" s="36" t="n">
        <f aca="false">SUMIFS(Base_Semanal!$F$4:$F$107,Base_Semanal!$D$4:$D$107,$A9)</f>
        <v>0</v>
      </c>
      <c r="D9" s="36" t="n">
        <f aca="false">SUMIFS(Base_Semanal!$G$4:$G$107,Base_Semanal!$D$4:$D$107,$A9)</f>
        <v>0</v>
      </c>
      <c r="E9" s="36" t="n">
        <f aca="false">SUMIFS(Base_Semanal!$H$4:$H$107,Base_Semanal!$D$4:$D$107,$A9)</f>
        <v>0</v>
      </c>
      <c r="F9" s="36" t="n">
        <f aca="false">SUMIFS(Base_Semanal!$I$4:$I$107,Base_Semanal!$D$4:$D$107,$A9)</f>
        <v>0</v>
      </c>
      <c r="G9" s="36" t="n">
        <f aca="false">E9+F9</f>
        <v>0</v>
      </c>
      <c r="H9" s="37" t="str">
        <f aca="false">IF(C9=0,"",D9/C9)</f>
        <v/>
      </c>
      <c r="I9" s="36" t="n">
        <f aca="false">SUMIFS(Base_Semanal!$J$4:$J$107,Base_Semanal!$D$4:$D$107,$A9)</f>
        <v>0</v>
      </c>
      <c r="J9" s="36" t="n">
        <f aca="false">SUMIFS(Base_Semanal!$K$4:$K$107,Base_Semanal!$D$4:$D$107,$A9)</f>
        <v>0</v>
      </c>
      <c r="K9" s="36" t="n">
        <f aca="false">I9+J9</f>
        <v>0</v>
      </c>
      <c r="L9" s="37" t="str">
        <f aca="false">IF(G9=0,"",K9/G9)</f>
        <v/>
      </c>
      <c r="M9" s="36" t="n">
        <f aca="false">SUMIFS(Base_Semanal!$L$4:$L$107,Base_Semanal!$D$4:$D$107,$A9)</f>
        <v>0</v>
      </c>
      <c r="N9" s="36" t="n">
        <f aca="false">SUMIFS(Base_Semanal!$M$4:$M$107,Base_Semanal!$D$4:$D$107,$A9)</f>
        <v>0</v>
      </c>
      <c r="O9" s="36" t="n">
        <f aca="false">M9+N9</f>
        <v>0</v>
      </c>
      <c r="P9" s="36" t="n">
        <f aca="false">SUMIFS(Base_Semanal!$N$4:$N$107,Base_Semanal!$D$4:$D$107,$A9)</f>
        <v>0</v>
      </c>
      <c r="Q9" s="36" t="n">
        <f aca="false">SUMIFS(Base_Semanal!$O$4:$O$107,Base_Semanal!$D$4:$D$107,$A9)</f>
        <v>0</v>
      </c>
      <c r="R9" s="37" t="str">
        <f aca="false">IF(SUMIFS(Base_Semanal!$P$4:$P$107,Base_Semanal!$D$4:$D$107,$A9)=0,"",SUMIFS(Base_Semanal!$Q$4:$Q$107,Base_Semanal!$D$4:$D$107,$A9)/SUMIFS(Base_Semanal!$P$4:$P$107,Base_Semanal!$D$4:$D$107,$A9))</f>
        <v/>
      </c>
      <c r="S9" s="37" t="str">
        <f aca="false">IF(SUMIFS(Base_Semanal!$R$4:$R$107,Base_Semanal!$D$4:$D$107,$A9)=0,"",SUMIFS(Base_Semanal!$S$4:$S$107,Base_Semanal!$D$4:$D$107,$A9)/SUMIFS(Base_Semanal!$R$4:$R$107,Base_Semanal!$D$4:$D$107,$A9))</f>
        <v/>
      </c>
      <c r="T9" s="37" t="str">
        <f aca="false">IF(SUMIFS(Base_Semanal!$P$4:$P$107,Base_Semanal!$D$4:$D$107,$A9)+SUMIFS(Base_Semanal!$R$4:$R$107,Base_Semanal!$D$4:$D$107,$A9)=0,"",(SUMIFS(Base_Semanal!$Q$4:$Q$107,Base_Semanal!$D$4:$D$107,$A9)+SUMIFS(Base_Semanal!$S$4:$S$107,Base_Semanal!$D$4:$D$107,$A9))/(SUMIFS(Base_Semanal!$P$4:$P$107,Base_Semanal!$D$4:$D$107,$A9)+SUMIFS(Base_Semanal!$R$4:$R$107,Base_Semanal!$D$4:$D$107,$A9)))</f>
        <v/>
      </c>
      <c r="U9" s="36" t="n">
        <f aca="false">COUNTIFS(Contratos!$C$4:$C$503,$A9,Contratos!$E$4:$E$503,"Avaliação")</f>
        <v>0</v>
      </c>
      <c r="V9" s="39" t="n">
        <f aca="false">SUMIFS(Contratos!$I$4:$I$503,Contratos!$C$4:$C$503,$A9,Contratos!$E$4:$E$503,"Avaliação")</f>
        <v>0</v>
      </c>
      <c r="W9" s="36" t="n">
        <f aca="false">COUNTIFS(Contratos!$C$4:$C$503,$A9,Contratos!$E$4:$E$503,"Protocolo")</f>
        <v>0</v>
      </c>
      <c r="X9" s="39" t="n">
        <f aca="false">SUMIFS(Contratos!$I$4:$I$503,Contratos!$C$4:$C$503,$A9,Contratos!$E$4:$E$503,"Protocolo")</f>
        <v>0</v>
      </c>
      <c r="Y9" s="39" t="n">
        <f aca="false">SUMIFS(Financeiro!$G$4:$G$503,Financeiro!$C$4:$C$503,$A9,Financeiro!$D$4:$D$503,"Receita",Financeiro!$H$4:$H$503,"&lt;&gt;Cancelado")</f>
        <v>0</v>
      </c>
      <c r="Z9" s="39" t="n">
        <f aca="false">SUMIFS(Financeiro!$G$4:$G$503,Financeiro!$C$4:$C$503,$A9,Financeiro!$D$4:$D$503,"Gasto",Financeiro!$H$4:$H$503,"&lt;&gt;Cancelado")</f>
        <v>0</v>
      </c>
      <c r="AA9" s="39" t="n">
        <f aca="false">SUMIFS(Financeiro!$G$4:$G$503,Financeiro!$C$4:$C$503,$A9,Financeiro!$D$4:$D$503,"Imposto",Financeiro!$H$4:$H$503,"&lt;&gt;Cancelado")</f>
        <v>0</v>
      </c>
      <c r="AB9" s="39" t="n">
        <f aca="false">SUMIFS(Financeiro!$G$4:$G$503,Financeiro!$C$4:$C$503,$A9,Financeiro!$D$4:$D$503,"Marketing",Financeiro!$H$4:$H$503,"&lt;&gt;Cancelado")</f>
        <v>0</v>
      </c>
      <c r="AC9" s="39" t="n">
        <f aca="false">Y9-Z9-AA9-AB9</f>
        <v>0</v>
      </c>
      <c r="AD9" s="37" t="n">
        <f aca="false">IF(Config!$C$16=0,"",Y9/Config!$C$16)</f>
        <v>0</v>
      </c>
      <c r="AE9" s="37" t="n">
        <f aca="false">IF(Config!$C$17=0,"",Z9/Config!$C$17)</f>
        <v>0</v>
      </c>
      <c r="AF9" s="39" t="str">
        <f aca="false">IF(Q9=0,"",AB9/Q9)</f>
        <v/>
      </c>
    </row>
    <row r="10" customFormat="false" ht="15" hidden="false" customHeight="false" outlineLevel="0" collapsed="false">
      <c r="A10" s="17" t="s">
        <v>369</v>
      </c>
      <c r="B10" s="36" t="n">
        <f aca="false">SUMIFS(Base_Semanal!$E$4:$E$107,Base_Semanal!$D$4:$D$107,$A10)</f>
        <v>0</v>
      </c>
      <c r="C10" s="36" t="n">
        <f aca="false">SUMIFS(Base_Semanal!$F$4:$F$107,Base_Semanal!$D$4:$D$107,$A10)</f>
        <v>0</v>
      </c>
      <c r="D10" s="36" t="n">
        <f aca="false">SUMIFS(Base_Semanal!$G$4:$G$107,Base_Semanal!$D$4:$D$107,$A10)</f>
        <v>0</v>
      </c>
      <c r="E10" s="36" t="n">
        <f aca="false">SUMIFS(Base_Semanal!$H$4:$H$107,Base_Semanal!$D$4:$D$107,$A10)</f>
        <v>0</v>
      </c>
      <c r="F10" s="36" t="n">
        <f aca="false">SUMIFS(Base_Semanal!$I$4:$I$107,Base_Semanal!$D$4:$D$107,$A10)</f>
        <v>0</v>
      </c>
      <c r="G10" s="36" t="n">
        <f aca="false">E10+F10</f>
        <v>0</v>
      </c>
      <c r="H10" s="37" t="str">
        <f aca="false">IF(C10=0,"",D10/C10)</f>
        <v/>
      </c>
      <c r="I10" s="36" t="n">
        <f aca="false">SUMIFS(Base_Semanal!$J$4:$J$107,Base_Semanal!$D$4:$D$107,$A10)</f>
        <v>0</v>
      </c>
      <c r="J10" s="36" t="n">
        <f aca="false">SUMIFS(Base_Semanal!$K$4:$K$107,Base_Semanal!$D$4:$D$107,$A10)</f>
        <v>0</v>
      </c>
      <c r="K10" s="36" t="n">
        <f aca="false">I10+J10</f>
        <v>0</v>
      </c>
      <c r="L10" s="37" t="str">
        <f aca="false">IF(G10=0,"",K10/G10)</f>
        <v/>
      </c>
      <c r="M10" s="36" t="n">
        <f aca="false">SUMIFS(Base_Semanal!$L$4:$L$107,Base_Semanal!$D$4:$D$107,$A10)</f>
        <v>0</v>
      </c>
      <c r="N10" s="36" t="n">
        <f aca="false">SUMIFS(Base_Semanal!$M$4:$M$107,Base_Semanal!$D$4:$D$107,$A10)</f>
        <v>0</v>
      </c>
      <c r="O10" s="36" t="n">
        <f aca="false">M10+N10</f>
        <v>0</v>
      </c>
      <c r="P10" s="36" t="n">
        <f aca="false">SUMIFS(Base_Semanal!$N$4:$N$107,Base_Semanal!$D$4:$D$107,$A10)</f>
        <v>0</v>
      </c>
      <c r="Q10" s="36" t="n">
        <f aca="false">SUMIFS(Base_Semanal!$O$4:$O$107,Base_Semanal!$D$4:$D$107,$A10)</f>
        <v>0</v>
      </c>
      <c r="R10" s="37" t="str">
        <f aca="false">IF(SUMIFS(Base_Semanal!$P$4:$P$107,Base_Semanal!$D$4:$D$107,$A10)=0,"",SUMIFS(Base_Semanal!$Q$4:$Q$107,Base_Semanal!$D$4:$D$107,$A10)/SUMIFS(Base_Semanal!$P$4:$P$107,Base_Semanal!$D$4:$D$107,$A10))</f>
        <v/>
      </c>
      <c r="S10" s="37" t="str">
        <f aca="false">IF(SUMIFS(Base_Semanal!$R$4:$R$107,Base_Semanal!$D$4:$D$107,$A10)=0,"",SUMIFS(Base_Semanal!$S$4:$S$107,Base_Semanal!$D$4:$D$107,$A10)/SUMIFS(Base_Semanal!$R$4:$R$107,Base_Semanal!$D$4:$D$107,$A10))</f>
        <v/>
      </c>
      <c r="T10" s="37" t="str">
        <f aca="false">IF(SUMIFS(Base_Semanal!$P$4:$P$107,Base_Semanal!$D$4:$D$107,$A10)+SUMIFS(Base_Semanal!$R$4:$R$107,Base_Semanal!$D$4:$D$107,$A10)=0,"",(SUMIFS(Base_Semanal!$Q$4:$Q$107,Base_Semanal!$D$4:$D$107,$A10)+SUMIFS(Base_Semanal!$S$4:$S$107,Base_Semanal!$D$4:$D$107,$A10))/(SUMIFS(Base_Semanal!$P$4:$P$107,Base_Semanal!$D$4:$D$107,$A10)+SUMIFS(Base_Semanal!$R$4:$R$107,Base_Semanal!$D$4:$D$107,$A10)))</f>
        <v/>
      </c>
      <c r="U10" s="36" t="n">
        <f aca="false">COUNTIFS(Contratos!$C$4:$C$503,$A10,Contratos!$E$4:$E$503,"Avaliação")</f>
        <v>0</v>
      </c>
      <c r="V10" s="39" t="n">
        <f aca="false">SUMIFS(Contratos!$I$4:$I$503,Contratos!$C$4:$C$503,$A10,Contratos!$E$4:$E$503,"Avaliação")</f>
        <v>0</v>
      </c>
      <c r="W10" s="36" t="n">
        <f aca="false">COUNTIFS(Contratos!$C$4:$C$503,$A10,Contratos!$E$4:$E$503,"Protocolo")</f>
        <v>0</v>
      </c>
      <c r="X10" s="39" t="n">
        <f aca="false">SUMIFS(Contratos!$I$4:$I$503,Contratos!$C$4:$C$503,$A10,Contratos!$E$4:$E$503,"Protocolo")</f>
        <v>0</v>
      </c>
      <c r="Y10" s="39" t="n">
        <f aca="false">SUMIFS(Financeiro!$G$4:$G$503,Financeiro!$C$4:$C$503,$A10,Financeiro!$D$4:$D$503,"Receita",Financeiro!$H$4:$H$503,"&lt;&gt;Cancelado")</f>
        <v>0</v>
      </c>
      <c r="Z10" s="39" t="n">
        <f aca="false">SUMIFS(Financeiro!$G$4:$G$503,Financeiro!$C$4:$C$503,$A10,Financeiro!$D$4:$D$503,"Gasto",Financeiro!$H$4:$H$503,"&lt;&gt;Cancelado")</f>
        <v>0</v>
      </c>
      <c r="AA10" s="39" t="n">
        <f aca="false">SUMIFS(Financeiro!$G$4:$G$503,Financeiro!$C$4:$C$503,$A10,Financeiro!$D$4:$D$503,"Imposto",Financeiro!$H$4:$H$503,"&lt;&gt;Cancelado")</f>
        <v>0</v>
      </c>
      <c r="AB10" s="39" t="n">
        <f aca="false">SUMIFS(Financeiro!$G$4:$G$503,Financeiro!$C$4:$C$503,$A10,Financeiro!$D$4:$D$503,"Marketing",Financeiro!$H$4:$H$503,"&lt;&gt;Cancelado")</f>
        <v>0</v>
      </c>
      <c r="AC10" s="39" t="n">
        <f aca="false">Y10-Z10-AA10-AB10</f>
        <v>0</v>
      </c>
      <c r="AD10" s="37" t="n">
        <f aca="false">IF(Config!$C$16=0,"",Y10/Config!$C$16)</f>
        <v>0</v>
      </c>
      <c r="AE10" s="37" t="n">
        <f aca="false">IF(Config!$C$17=0,"",Z10/Config!$C$17)</f>
        <v>0</v>
      </c>
      <c r="AF10" s="39" t="str">
        <f aca="false">IF(Q10=0,"",AB10/Q10)</f>
        <v/>
      </c>
    </row>
    <row r="11" customFormat="false" ht="15" hidden="false" customHeight="false" outlineLevel="0" collapsed="false">
      <c r="A11" s="17" t="s">
        <v>374</v>
      </c>
      <c r="B11" s="36" t="n">
        <f aca="false">SUMIFS(Base_Semanal!$E$4:$E$107,Base_Semanal!$D$4:$D$107,$A11)</f>
        <v>0</v>
      </c>
      <c r="C11" s="36" t="n">
        <f aca="false">SUMIFS(Base_Semanal!$F$4:$F$107,Base_Semanal!$D$4:$D$107,$A11)</f>
        <v>0</v>
      </c>
      <c r="D11" s="36" t="n">
        <f aca="false">SUMIFS(Base_Semanal!$G$4:$G$107,Base_Semanal!$D$4:$D$107,$A11)</f>
        <v>0</v>
      </c>
      <c r="E11" s="36" t="n">
        <f aca="false">SUMIFS(Base_Semanal!$H$4:$H$107,Base_Semanal!$D$4:$D$107,$A11)</f>
        <v>0</v>
      </c>
      <c r="F11" s="36" t="n">
        <f aca="false">SUMIFS(Base_Semanal!$I$4:$I$107,Base_Semanal!$D$4:$D$107,$A11)</f>
        <v>0</v>
      </c>
      <c r="G11" s="36" t="n">
        <f aca="false">E11+F11</f>
        <v>0</v>
      </c>
      <c r="H11" s="37" t="str">
        <f aca="false">IF(C11=0,"",D11/C11)</f>
        <v/>
      </c>
      <c r="I11" s="36" t="n">
        <f aca="false">SUMIFS(Base_Semanal!$J$4:$J$107,Base_Semanal!$D$4:$D$107,$A11)</f>
        <v>0</v>
      </c>
      <c r="J11" s="36" t="n">
        <f aca="false">SUMIFS(Base_Semanal!$K$4:$K$107,Base_Semanal!$D$4:$D$107,$A11)</f>
        <v>0</v>
      </c>
      <c r="K11" s="36" t="n">
        <f aca="false">I11+J11</f>
        <v>0</v>
      </c>
      <c r="L11" s="37" t="str">
        <f aca="false">IF(G11=0,"",K11/G11)</f>
        <v/>
      </c>
      <c r="M11" s="36" t="n">
        <f aca="false">SUMIFS(Base_Semanal!$L$4:$L$107,Base_Semanal!$D$4:$D$107,$A11)</f>
        <v>0</v>
      </c>
      <c r="N11" s="36" t="n">
        <f aca="false">SUMIFS(Base_Semanal!$M$4:$M$107,Base_Semanal!$D$4:$D$107,$A11)</f>
        <v>0</v>
      </c>
      <c r="O11" s="36" t="n">
        <f aca="false">M11+N11</f>
        <v>0</v>
      </c>
      <c r="P11" s="36" t="n">
        <f aca="false">SUMIFS(Base_Semanal!$N$4:$N$107,Base_Semanal!$D$4:$D$107,$A11)</f>
        <v>0</v>
      </c>
      <c r="Q11" s="36" t="n">
        <f aca="false">SUMIFS(Base_Semanal!$O$4:$O$107,Base_Semanal!$D$4:$D$107,$A11)</f>
        <v>0</v>
      </c>
      <c r="R11" s="37" t="str">
        <f aca="false">IF(SUMIFS(Base_Semanal!$P$4:$P$107,Base_Semanal!$D$4:$D$107,$A11)=0,"",SUMIFS(Base_Semanal!$Q$4:$Q$107,Base_Semanal!$D$4:$D$107,$A11)/SUMIFS(Base_Semanal!$P$4:$P$107,Base_Semanal!$D$4:$D$107,$A11))</f>
        <v/>
      </c>
      <c r="S11" s="37" t="str">
        <f aca="false">IF(SUMIFS(Base_Semanal!$R$4:$R$107,Base_Semanal!$D$4:$D$107,$A11)=0,"",SUMIFS(Base_Semanal!$S$4:$S$107,Base_Semanal!$D$4:$D$107,$A11)/SUMIFS(Base_Semanal!$R$4:$R$107,Base_Semanal!$D$4:$D$107,$A11))</f>
        <v/>
      </c>
      <c r="T11" s="37" t="str">
        <f aca="false">IF(SUMIFS(Base_Semanal!$P$4:$P$107,Base_Semanal!$D$4:$D$107,$A11)+SUMIFS(Base_Semanal!$R$4:$R$107,Base_Semanal!$D$4:$D$107,$A11)=0,"",(SUMIFS(Base_Semanal!$Q$4:$Q$107,Base_Semanal!$D$4:$D$107,$A11)+SUMIFS(Base_Semanal!$S$4:$S$107,Base_Semanal!$D$4:$D$107,$A11))/(SUMIFS(Base_Semanal!$P$4:$P$107,Base_Semanal!$D$4:$D$107,$A11)+SUMIFS(Base_Semanal!$R$4:$R$107,Base_Semanal!$D$4:$D$107,$A11)))</f>
        <v/>
      </c>
      <c r="U11" s="36" t="n">
        <f aca="false">COUNTIFS(Contratos!$C$4:$C$503,$A11,Contratos!$E$4:$E$503,"Avaliação")</f>
        <v>0</v>
      </c>
      <c r="V11" s="39" t="n">
        <f aca="false">SUMIFS(Contratos!$I$4:$I$503,Contratos!$C$4:$C$503,$A11,Contratos!$E$4:$E$503,"Avaliação")</f>
        <v>0</v>
      </c>
      <c r="W11" s="36" t="n">
        <f aca="false">COUNTIFS(Contratos!$C$4:$C$503,$A11,Contratos!$E$4:$E$503,"Protocolo")</f>
        <v>0</v>
      </c>
      <c r="X11" s="39" t="n">
        <f aca="false">SUMIFS(Contratos!$I$4:$I$503,Contratos!$C$4:$C$503,$A11,Contratos!$E$4:$E$503,"Protocolo")</f>
        <v>0</v>
      </c>
      <c r="Y11" s="39" t="n">
        <f aca="false">SUMIFS(Financeiro!$G$4:$G$503,Financeiro!$C$4:$C$503,$A11,Financeiro!$D$4:$D$503,"Receita",Financeiro!$H$4:$H$503,"&lt;&gt;Cancelado")</f>
        <v>0</v>
      </c>
      <c r="Z11" s="39" t="n">
        <f aca="false">SUMIFS(Financeiro!$G$4:$G$503,Financeiro!$C$4:$C$503,$A11,Financeiro!$D$4:$D$503,"Gasto",Financeiro!$H$4:$H$503,"&lt;&gt;Cancelado")</f>
        <v>0</v>
      </c>
      <c r="AA11" s="39" t="n">
        <f aca="false">SUMIFS(Financeiro!$G$4:$G$503,Financeiro!$C$4:$C$503,$A11,Financeiro!$D$4:$D$503,"Imposto",Financeiro!$H$4:$H$503,"&lt;&gt;Cancelado")</f>
        <v>0</v>
      </c>
      <c r="AB11" s="39" t="n">
        <f aca="false">SUMIFS(Financeiro!$G$4:$G$503,Financeiro!$C$4:$C$503,$A11,Financeiro!$D$4:$D$503,"Marketing",Financeiro!$H$4:$H$503,"&lt;&gt;Cancelado")</f>
        <v>0</v>
      </c>
      <c r="AC11" s="39" t="n">
        <f aca="false">Y11-Z11-AA11-AB11</f>
        <v>0</v>
      </c>
      <c r="AD11" s="37" t="n">
        <f aca="false">IF(Config!$C$16=0,"",Y11/Config!$C$16)</f>
        <v>0</v>
      </c>
      <c r="AE11" s="37" t="n">
        <f aca="false">IF(Config!$C$17=0,"",Z11/Config!$C$17)</f>
        <v>0</v>
      </c>
      <c r="AF11" s="39" t="str">
        <f aca="false">IF(Q11=0,"",AB11/Q11)</f>
        <v/>
      </c>
    </row>
    <row r="12" customFormat="false" ht="15" hidden="false" customHeight="false" outlineLevel="0" collapsed="false">
      <c r="A12" s="17" t="s">
        <v>380</v>
      </c>
      <c r="B12" s="36" t="n">
        <f aca="false">SUMIFS(Base_Semanal!$E$4:$E$107,Base_Semanal!$D$4:$D$107,$A12)</f>
        <v>83</v>
      </c>
      <c r="C12" s="36" t="n">
        <f aca="false">SUMIFS(Base_Semanal!$F$4:$F$107,Base_Semanal!$D$4:$D$107,$A12)</f>
        <v>30</v>
      </c>
      <c r="D12" s="36" t="n">
        <f aca="false">SUMIFS(Base_Semanal!$G$4:$G$107,Base_Semanal!$D$4:$D$107,$A12)</f>
        <v>3</v>
      </c>
      <c r="E12" s="36" t="n">
        <f aca="false">SUMIFS(Base_Semanal!$H$4:$H$107,Base_Semanal!$D$4:$D$107,$A12)</f>
        <v>14</v>
      </c>
      <c r="F12" s="36" t="n">
        <f aca="false">SUMIFS(Base_Semanal!$I$4:$I$107,Base_Semanal!$D$4:$D$107,$A12)</f>
        <v>11</v>
      </c>
      <c r="G12" s="36" t="n">
        <f aca="false">E12+F12</f>
        <v>25</v>
      </c>
      <c r="H12" s="37" t="n">
        <f aca="false">IF(C12=0,"",D12/C12)</f>
        <v>0.1</v>
      </c>
      <c r="I12" s="36" t="n">
        <f aca="false">SUMIFS(Base_Semanal!$J$4:$J$107,Base_Semanal!$D$4:$D$107,$A12)</f>
        <v>10</v>
      </c>
      <c r="J12" s="36" t="n">
        <f aca="false">SUMIFS(Base_Semanal!$K$4:$K$107,Base_Semanal!$D$4:$D$107,$A12)</f>
        <v>7</v>
      </c>
      <c r="K12" s="36" t="n">
        <f aca="false">I12+J12</f>
        <v>17</v>
      </c>
      <c r="L12" s="37" t="n">
        <f aca="false">IF(G12=0,"",K12/G12)</f>
        <v>0.68</v>
      </c>
      <c r="M12" s="36" t="n">
        <f aca="false">SUMIFS(Base_Semanal!$L$4:$L$107,Base_Semanal!$D$4:$D$107,$A12)</f>
        <v>121</v>
      </c>
      <c r="N12" s="36" t="n">
        <f aca="false">SUMIFS(Base_Semanal!$M$4:$M$107,Base_Semanal!$D$4:$D$107,$A12)</f>
        <v>109</v>
      </c>
      <c r="O12" s="36" t="n">
        <f aca="false">M12+N12</f>
        <v>230</v>
      </c>
      <c r="P12" s="36" t="n">
        <f aca="false">SUMIFS(Base_Semanal!$N$4:$N$107,Base_Semanal!$D$4:$D$107,$A12)</f>
        <v>12</v>
      </c>
      <c r="Q12" s="36" t="n">
        <f aca="false">SUMIFS(Base_Semanal!$O$4:$O$107,Base_Semanal!$D$4:$D$107,$A12)</f>
        <v>15</v>
      </c>
      <c r="R12" s="37" t="n">
        <f aca="false">IF(SUMIFS(Base_Semanal!$P$4:$P$107,Base_Semanal!$D$4:$D$107,$A12)=0,"",SUMIFS(Base_Semanal!$Q$4:$Q$107,Base_Semanal!$D$4:$D$107,$A12)/SUMIFS(Base_Semanal!$P$4:$P$107,Base_Semanal!$D$4:$D$107,$A12))</f>
        <v>0.925</v>
      </c>
      <c r="S12" s="37" t="n">
        <f aca="false">IF(SUMIFS(Base_Semanal!$R$4:$R$107,Base_Semanal!$D$4:$D$107,$A12)=0,"",SUMIFS(Base_Semanal!$S$4:$S$107,Base_Semanal!$D$4:$D$107,$A12)/SUMIFS(Base_Semanal!$R$4:$R$107,Base_Semanal!$D$4:$D$107,$A12))</f>
        <v>0.875</v>
      </c>
      <c r="T12" s="37" t="n">
        <f aca="false">IF(SUMIFS(Base_Semanal!$P$4:$P$107,Base_Semanal!$D$4:$D$107,$A12)+SUMIFS(Base_Semanal!$R$4:$R$107,Base_Semanal!$D$4:$D$107,$A12)=0,"",(SUMIFS(Base_Semanal!$Q$4:$Q$107,Base_Semanal!$D$4:$D$107,$A12)+SUMIFS(Base_Semanal!$S$4:$S$107,Base_Semanal!$D$4:$D$107,$A12))/(SUMIFS(Base_Semanal!$P$4:$P$107,Base_Semanal!$D$4:$D$107,$A12)+SUMIFS(Base_Semanal!$R$4:$R$107,Base_Semanal!$D$4:$D$107,$A12)))</f>
        <v>0.9</v>
      </c>
      <c r="U12" s="36" t="n">
        <f aca="false">COUNTIFS(Contratos!$C$4:$C$503,$A12,Contratos!$E$4:$E$503,"Avaliação")</f>
        <v>2</v>
      </c>
      <c r="V12" s="39" t="n">
        <f aca="false">SUMIFS(Contratos!$I$4:$I$503,Contratos!$C$4:$C$503,$A12,Contratos!$E$4:$E$503,"Avaliação")</f>
        <v>300</v>
      </c>
      <c r="W12" s="36" t="n">
        <f aca="false">COUNTIFS(Contratos!$C$4:$C$503,$A12,Contratos!$E$4:$E$503,"Protocolo")</f>
        <v>3</v>
      </c>
      <c r="X12" s="39" t="n">
        <f aca="false">SUMIFS(Contratos!$I$4:$I$503,Contratos!$C$4:$C$503,$A12,Contratos!$E$4:$E$503,"Protocolo")</f>
        <v>10000</v>
      </c>
      <c r="Y12" s="39" t="n">
        <f aca="false">SUMIFS(Financeiro!$G$4:$G$503,Financeiro!$C$4:$C$503,$A12,Financeiro!$D$4:$D$503,"Receita",Financeiro!$H$4:$H$503,"&lt;&gt;Cancelado")</f>
        <v>4283.33</v>
      </c>
      <c r="Z12" s="39" t="n">
        <f aca="false">SUMIFS(Financeiro!$G$4:$G$503,Financeiro!$C$4:$C$503,$A12,Financeiro!$D$4:$D$503,"Gasto",Financeiro!$H$4:$H$503,"&lt;&gt;Cancelado")</f>
        <v>2800</v>
      </c>
      <c r="AA12" s="39" t="n">
        <f aca="false">SUMIFS(Financeiro!$G$4:$G$503,Financeiro!$C$4:$C$503,$A12,Financeiro!$D$4:$D$503,"Imposto",Financeiro!$H$4:$H$503,"&lt;&gt;Cancelado")</f>
        <v>0</v>
      </c>
      <c r="AB12" s="39" t="n">
        <f aca="false">SUMIFS(Financeiro!$G$4:$G$503,Financeiro!$C$4:$C$503,$A12,Financeiro!$D$4:$D$503,"Marketing",Financeiro!$H$4:$H$503,"&lt;&gt;Cancelado")</f>
        <v>600</v>
      </c>
      <c r="AC12" s="39" t="n">
        <f aca="false">Y12-Z12-AA12-AB12</f>
        <v>883.33</v>
      </c>
      <c r="AD12" s="37" t="n">
        <f aca="false">IF(Config!$C$16=0,"",Y12/Config!$C$16)</f>
        <v>0.0356944166666667</v>
      </c>
      <c r="AE12" s="37" t="n">
        <f aca="false">IF(Config!$C$17=0,"",Z12/Config!$C$17)</f>
        <v>0.0388888888888889</v>
      </c>
      <c r="AF12" s="39" t="n">
        <f aca="false">IF(Q12=0,"",AB12/Q12)</f>
        <v>40</v>
      </c>
    </row>
    <row r="13" customFormat="false" ht="15" hidden="false" customHeight="false" outlineLevel="0" collapsed="false">
      <c r="A13" s="17" t="s">
        <v>384</v>
      </c>
      <c r="B13" s="36" t="n">
        <f aca="false">SUMIFS(Base_Semanal!$E$4:$E$107,Base_Semanal!$D$4:$D$107,$A13)</f>
        <v>0</v>
      </c>
      <c r="C13" s="36" t="n">
        <f aca="false">SUMIFS(Base_Semanal!$F$4:$F$107,Base_Semanal!$D$4:$D$107,$A13)</f>
        <v>0</v>
      </c>
      <c r="D13" s="36" t="n">
        <f aca="false">SUMIFS(Base_Semanal!$G$4:$G$107,Base_Semanal!$D$4:$D$107,$A13)</f>
        <v>0</v>
      </c>
      <c r="E13" s="36" t="n">
        <f aca="false">SUMIFS(Base_Semanal!$H$4:$H$107,Base_Semanal!$D$4:$D$107,$A13)</f>
        <v>0</v>
      </c>
      <c r="F13" s="36" t="n">
        <f aca="false">SUMIFS(Base_Semanal!$I$4:$I$107,Base_Semanal!$D$4:$D$107,$A13)</f>
        <v>0</v>
      </c>
      <c r="G13" s="36" t="n">
        <f aca="false">E13+F13</f>
        <v>0</v>
      </c>
      <c r="H13" s="37" t="str">
        <f aca="false">IF(C13=0,"",D13/C13)</f>
        <v/>
      </c>
      <c r="I13" s="36" t="n">
        <f aca="false">SUMIFS(Base_Semanal!$J$4:$J$107,Base_Semanal!$D$4:$D$107,$A13)</f>
        <v>0</v>
      </c>
      <c r="J13" s="36" t="n">
        <f aca="false">SUMIFS(Base_Semanal!$K$4:$K$107,Base_Semanal!$D$4:$D$107,$A13)</f>
        <v>0</v>
      </c>
      <c r="K13" s="36" t="n">
        <f aca="false">I13+J13</f>
        <v>0</v>
      </c>
      <c r="L13" s="37" t="str">
        <f aca="false">IF(G13=0,"",K13/G13)</f>
        <v/>
      </c>
      <c r="M13" s="36" t="n">
        <f aca="false">SUMIFS(Base_Semanal!$L$4:$L$107,Base_Semanal!$D$4:$D$107,$A13)</f>
        <v>0</v>
      </c>
      <c r="N13" s="36" t="n">
        <f aca="false">SUMIFS(Base_Semanal!$M$4:$M$107,Base_Semanal!$D$4:$D$107,$A13)</f>
        <v>0</v>
      </c>
      <c r="O13" s="36" t="n">
        <f aca="false">M13+N13</f>
        <v>0</v>
      </c>
      <c r="P13" s="36" t="n">
        <f aca="false">SUMIFS(Base_Semanal!$N$4:$N$107,Base_Semanal!$D$4:$D$107,$A13)</f>
        <v>0</v>
      </c>
      <c r="Q13" s="36" t="n">
        <f aca="false">SUMIFS(Base_Semanal!$O$4:$O$107,Base_Semanal!$D$4:$D$107,$A13)</f>
        <v>0</v>
      </c>
      <c r="R13" s="37" t="n">
        <f aca="false">IF(SUMIFS(Base_Semanal!$P$4:$P$107,Base_Semanal!$D$4:$D$107,$A13)=0,"",SUMIFS(Base_Semanal!$Q$4:$Q$107,Base_Semanal!$D$4:$D$107,$A13)/SUMIFS(Base_Semanal!$P$4:$P$107,Base_Semanal!$D$4:$D$107,$A13))</f>
        <v>0.733333333333333</v>
      </c>
      <c r="S13" s="37" t="n">
        <f aca="false">IF(SUMIFS(Base_Semanal!$R$4:$R$107,Base_Semanal!$D$4:$D$107,$A13)=0,"",SUMIFS(Base_Semanal!$S$4:$S$107,Base_Semanal!$D$4:$D$107,$A13)/SUMIFS(Base_Semanal!$R$4:$R$107,Base_Semanal!$D$4:$D$107,$A13))</f>
        <v>0.633333333333333</v>
      </c>
      <c r="T13" s="37" t="n">
        <f aca="false">IF(SUMIFS(Base_Semanal!$P$4:$P$107,Base_Semanal!$D$4:$D$107,$A13)+SUMIFS(Base_Semanal!$R$4:$R$107,Base_Semanal!$D$4:$D$107,$A13)=0,"",(SUMIFS(Base_Semanal!$Q$4:$Q$107,Base_Semanal!$D$4:$D$107,$A13)+SUMIFS(Base_Semanal!$S$4:$S$107,Base_Semanal!$D$4:$D$107,$A13))/(SUMIFS(Base_Semanal!$P$4:$P$107,Base_Semanal!$D$4:$D$107,$A13)+SUMIFS(Base_Semanal!$R$4:$R$107,Base_Semanal!$D$4:$D$107,$A13)))</f>
        <v>0.683333333333333</v>
      </c>
      <c r="U13" s="36" t="n">
        <f aca="false">COUNTIFS(Contratos!$C$4:$C$503,$A13,Contratos!$E$4:$E$503,"Avaliação")</f>
        <v>1</v>
      </c>
      <c r="V13" s="39" t="n">
        <f aca="false">SUMIFS(Contratos!$I$4:$I$503,Contratos!$C$4:$C$503,$A13,Contratos!$E$4:$E$503,"Avaliação")</f>
        <v>150</v>
      </c>
      <c r="W13" s="36" t="n">
        <f aca="false">COUNTIFS(Contratos!$C$4:$C$503,$A13,Contratos!$E$4:$E$503,"Protocolo")</f>
        <v>1</v>
      </c>
      <c r="X13" s="39" t="n">
        <f aca="false">SUMIFS(Contratos!$I$4:$I$503,Contratos!$C$4:$C$503,$A13,Contratos!$E$4:$E$503,"Protocolo")</f>
        <v>3000</v>
      </c>
      <c r="Y13" s="39" t="n">
        <f aca="false">SUMIFS(Financeiro!$G$4:$G$503,Financeiro!$C$4:$C$503,$A13,Financeiro!$D$4:$D$503,"Receita",Financeiro!$H$4:$H$503,"&lt;&gt;Cancelado")</f>
        <v>1760</v>
      </c>
      <c r="Z13" s="39" t="n">
        <f aca="false">SUMIFS(Financeiro!$G$4:$G$503,Financeiro!$C$4:$C$503,$A13,Financeiro!$D$4:$D$503,"Gasto",Financeiro!$H$4:$H$503,"&lt;&gt;Cancelado")</f>
        <v>4880</v>
      </c>
      <c r="AA13" s="39" t="n">
        <f aca="false">SUMIFS(Financeiro!$G$4:$G$503,Financeiro!$C$4:$C$503,$A13,Financeiro!$D$4:$D$503,"Imposto",Financeiro!$H$4:$H$503,"&lt;&gt;Cancelado")</f>
        <v>1850</v>
      </c>
      <c r="AB13" s="39" t="n">
        <f aca="false">SUMIFS(Financeiro!$G$4:$G$503,Financeiro!$C$4:$C$503,$A13,Financeiro!$D$4:$D$503,"Marketing",Financeiro!$H$4:$H$503,"&lt;&gt;Cancelado")</f>
        <v>700</v>
      </c>
      <c r="AC13" s="39" t="n">
        <f aca="false">Y13-Z13-AA13-AB13</f>
        <v>-5670</v>
      </c>
      <c r="AD13" s="37" t="n">
        <f aca="false">IF(Config!$C$16=0,"",Y13/Config!$C$16)</f>
        <v>0.0146666666666667</v>
      </c>
      <c r="AE13" s="37" t="n">
        <f aca="false">IF(Config!$C$17=0,"",Z13/Config!$C$17)</f>
        <v>0.0677777777777778</v>
      </c>
      <c r="AF13" s="39" t="str">
        <f aca="false">IF(Q13=0,"",AB13/Q13)</f>
        <v/>
      </c>
    </row>
    <row r="14" customFormat="false" ht="15" hidden="false" customHeight="false" outlineLevel="0" collapsed="false">
      <c r="A14" s="17" t="s">
        <v>389</v>
      </c>
      <c r="B14" s="36" t="n">
        <f aca="false">SUMIFS(Base_Semanal!$E$4:$E$107,Base_Semanal!$D$4:$D$107,$A14)</f>
        <v>0</v>
      </c>
      <c r="C14" s="36" t="n">
        <f aca="false">SUMIFS(Base_Semanal!$F$4:$F$107,Base_Semanal!$D$4:$D$107,$A14)</f>
        <v>0</v>
      </c>
      <c r="D14" s="36" t="n">
        <f aca="false">SUMIFS(Base_Semanal!$G$4:$G$107,Base_Semanal!$D$4:$D$107,$A14)</f>
        <v>0</v>
      </c>
      <c r="E14" s="36" t="n">
        <f aca="false">SUMIFS(Base_Semanal!$H$4:$H$107,Base_Semanal!$D$4:$D$107,$A14)</f>
        <v>0</v>
      </c>
      <c r="F14" s="36" t="n">
        <f aca="false">SUMIFS(Base_Semanal!$I$4:$I$107,Base_Semanal!$D$4:$D$107,$A14)</f>
        <v>0</v>
      </c>
      <c r="G14" s="36" t="n">
        <f aca="false">E14+F14</f>
        <v>0</v>
      </c>
      <c r="H14" s="37" t="str">
        <f aca="false">IF(C14=0,"",D14/C14)</f>
        <v/>
      </c>
      <c r="I14" s="36" t="n">
        <f aca="false">SUMIFS(Base_Semanal!$J$4:$J$107,Base_Semanal!$D$4:$D$107,$A14)</f>
        <v>0</v>
      </c>
      <c r="J14" s="36" t="n">
        <f aca="false">SUMIFS(Base_Semanal!$K$4:$K$107,Base_Semanal!$D$4:$D$107,$A14)</f>
        <v>0</v>
      </c>
      <c r="K14" s="36" t="n">
        <f aca="false">I14+J14</f>
        <v>0</v>
      </c>
      <c r="L14" s="37" t="str">
        <f aca="false">IF(G14=0,"",K14/G14)</f>
        <v/>
      </c>
      <c r="M14" s="36" t="n">
        <f aca="false">SUMIFS(Base_Semanal!$L$4:$L$107,Base_Semanal!$D$4:$D$107,$A14)</f>
        <v>0</v>
      </c>
      <c r="N14" s="36" t="n">
        <f aca="false">SUMIFS(Base_Semanal!$M$4:$M$107,Base_Semanal!$D$4:$D$107,$A14)</f>
        <v>0</v>
      </c>
      <c r="O14" s="36" t="n">
        <f aca="false">M14+N14</f>
        <v>0</v>
      </c>
      <c r="P14" s="36" t="n">
        <f aca="false">SUMIFS(Base_Semanal!$N$4:$N$107,Base_Semanal!$D$4:$D$107,$A14)</f>
        <v>0</v>
      </c>
      <c r="Q14" s="36" t="n">
        <f aca="false">SUMIFS(Base_Semanal!$O$4:$O$107,Base_Semanal!$D$4:$D$107,$A14)</f>
        <v>0</v>
      </c>
      <c r="R14" s="37" t="str">
        <f aca="false">IF(SUMIFS(Base_Semanal!$P$4:$P$107,Base_Semanal!$D$4:$D$107,$A14)=0,"",SUMIFS(Base_Semanal!$Q$4:$Q$107,Base_Semanal!$D$4:$D$107,$A14)/SUMIFS(Base_Semanal!$P$4:$P$107,Base_Semanal!$D$4:$D$107,$A14))</f>
        <v/>
      </c>
      <c r="S14" s="37" t="str">
        <f aca="false">IF(SUMIFS(Base_Semanal!$R$4:$R$107,Base_Semanal!$D$4:$D$107,$A14)=0,"",SUMIFS(Base_Semanal!$S$4:$S$107,Base_Semanal!$D$4:$D$107,$A14)/SUMIFS(Base_Semanal!$R$4:$R$107,Base_Semanal!$D$4:$D$107,$A14))</f>
        <v/>
      </c>
      <c r="T14" s="37" t="str">
        <f aca="false">IF(SUMIFS(Base_Semanal!$P$4:$P$107,Base_Semanal!$D$4:$D$107,$A14)+SUMIFS(Base_Semanal!$R$4:$R$107,Base_Semanal!$D$4:$D$107,$A14)=0,"",(SUMIFS(Base_Semanal!$Q$4:$Q$107,Base_Semanal!$D$4:$D$107,$A14)+SUMIFS(Base_Semanal!$S$4:$S$107,Base_Semanal!$D$4:$D$107,$A14))/(SUMIFS(Base_Semanal!$P$4:$P$107,Base_Semanal!$D$4:$D$107,$A14)+SUMIFS(Base_Semanal!$R$4:$R$107,Base_Semanal!$D$4:$D$107,$A14)))</f>
        <v/>
      </c>
      <c r="U14" s="36" t="n">
        <f aca="false">COUNTIFS(Contratos!$C$4:$C$503,$A14,Contratos!$E$4:$E$503,"Avaliação")</f>
        <v>0</v>
      </c>
      <c r="V14" s="39" t="n">
        <f aca="false">SUMIFS(Contratos!$I$4:$I$503,Contratos!$C$4:$C$503,$A14,Contratos!$E$4:$E$503,"Avaliação")</f>
        <v>0</v>
      </c>
      <c r="W14" s="36" t="n">
        <f aca="false">COUNTIFS(Contratos!$C$4:$C$503,$A14,Contratos!$E$4:$E$503,"Protocolo")</f>
        <v>0</v>
      </c>
      <c r="X14" s="39" t="n">
        <f aca="false">SUMIFS(Contratos!$I$4:$I$503,Contratos!$C$4:$C$503,$A14,Contratos!$E$4:$E$503,"Protocolo")</f>
        <v>0</v>
      </c>
      <c r="Y14" s="39" t="n">
        <f aca="false">SUMIFS(Financeiro!$G$4:$G$503,Financeiro!$C$4:$C$503,$A14,Financeiro!$D$4:$D$503,"Receita",Financeiro!$H$4:$H$503,"&lt;&gt;Cancelado")</f>
        <v>0</v>
      </c>
      <c r="Z14" s="39" t="n">
        <f aca="false">SUMIFS(Financeiro!$G$4:$G$503,Financeiro!$C$4:$C$503,$A14,Financeiro!$D$4:$D$503,"Gasto",Financeiro!$H$4:$H$503,"&lt;&gt;Cancelado")</f>
        <v>0</v>
      </c>
      <c r="AA14" s="39" t="n">
        <f aca="false">SUMIFS(Financeiro!$G$4:$G$503,Financeiro!$C$4:$C$503,$A14,Financeiro!$D$4:$D$503,"Imposto",Financeiro!$H$4:$H$503,"&lt;&gt;Cancelado")</f>
        <v>0</v>
      </c>
      <c r="AB14" s="39" t="n">
        <f aca="false">SUMIFS(Financeiro!$G$4:$G$503,Financeiro!$C$4:$C$503,$A14,Financeiro!$D$4:$D$503,"Marketing",Financeiro!$H$4:$H$503,"&lt;&gt;Cancelado")</f>
        <v>0</v>
      </c>
      <c r="AC14" s="39" t="n">
        <f aca="false">Y14-Z14-AA14-AB14</f>
        <v>0</v>
      </c>
      <c r="AD14" s="37" t="n">
        <f aca="false">IF(Config!$C$16=0,"",Y14/Config!$C$16)</f>
        <v>0</v>
      </c>
      <c r="AE14" s="37" t="n">
        <f aca="false">IF(Config!$C$17=0,"",Z14/Config!$C$17)</f>
        <v>0</v>
      </c>
      <c r="AF14" s="39" t="str">
        <f aca="false">IF(Q14=0,"",AB14/Q14)</f>
        <v/>
      </c>
    </row>
    <row r="15" customFormat="false" ht="15" hidden="false" customHeight="false" outlineLevel="0" collapsed="false">
      <c r="A15" s="17" t="s">
        <v>395</v>
      </c>
      <c r="B15" s="36" t="n">
        <f aca="false">SUMIFS(Base_Semanal!$E$4:$E$107,Base_Semanal!$D$4:$D$107,$A15)</f>
        <v>0</v>
      </c>
      <c r="C15" s="36" t="n">
        <f aca="false">SUMIFS(Base_Semanal!$F$4:$F$107,Base_Semanal!$D$4:$D$107,$A15)</f>
        <v>0</v>
      </c>
      <c r="D15" s="36" t="n">
        <f aca="false">SUMIFS(Base_Semanal!$G$4:$G$107,Base_Semanal!$D$4:$D$107,$A15)</f>
        <v>0</v>
      </c>
      <c r="E15" s="36" t="n">
        <f aca="false">SUMIFS(Base_Semanal!$H$4:$H$107,Base_Semanal!$D$4:$D$107,$A15)</f>
        <v>0</v>
      </c>
      <c r="F15" s="36" t="n">
        <f aca="false">SUMIFS(Base_Semanal!$I$4:$I$107,Base_Semanal!$D$4:$D$107,$A15)</f>
        <v>0</v>
      </c>
      <c r="G15" s="36" t="n">
        <f aca="false">E15+F15</f>
        <v>0</v>
      </c>
      <c r="H15" s="37" t="str">
        <f aca="false">IF(C15=0,"",D15/C15)</f>
        <v/>
      </c>
      <c r="I15" s="36" t="n">
        <f aca="false">SUMIFS(Base_Semanal!$J$4:$J$107,Base_Semanal!$D$4:$D$107,$A15)</f>
        <v>0</v>
      </c>
      <c r="J15" s="36" t="n">
        <f aca="false">SUMIFS(Base_Semanal!$K$4:$K$107,Base_Semanal!$D$4:$D$107,$A15)</f>
        <v>0</v>
      </c>
      <c r="K15" s="36" t="n">
        <f aca="false">I15+J15</f>
        <v>0</v>
      </c>
      <c r="L15" s="37" t="str">
        <f aca="false">IF(G15=0,"",K15/G15)</f>
        <v/>
      </c>
      <c r="M15" s="36" t="n">
        <f aca="false">SUMIFS(Base_Semanal!$L$4:$L$107,Base_Semanal!$D$4:$D$107,$A15)</f>
        <v>0</v>
      </c>
      <c r="N15" s="36" t="n">
        <f aca="false">SUMIFS(Base_Semanal!$M$4:$M$107,Base_Semanal!$D$4:$D$107,$A15)</f>
        <v>0</v>
      </c>
      <c r="O15" s="36" t="n">
        <f aca="false">M15+N15</f>
        <v>0</v>
      </c>
      <c r="P15" s="36" t="n">
        <f aca="false">SUMIFS(Base_Semanal!$N$4:$N$107,Base_Semanal!$D$4:$D$107,$A15)</f>
        <v>0</v>
      </c>
      <c r="Q15" s="36" t="n">
        <f aca="false">SUMIFS(Base_Semanal!$O$4:$O$107,Base_Semanal!$D$4:$D$107,$A15)</f>
        <v>0</v>
      </c>
      <c r="R15" s="37" t="str">
        <f aca="false">IF(SUMIFS(Base_Semanal!$P$4:$P$107,Base_Semanal!$D$4:$D$107,$A15)=0,"",SUMIFS(Base_Semanal!$Q$4:$Q$107,Base_Semanal!$D$4:$D$107,$A15)/SUMIFS(Base_Semanal!$P$4:$P$107,Base_Semanal!$D$4:$D$107,$A15))</f>
        <v/>
      </c>
      <c r="S15" s="37" t="str">
        <f aca="false">IF(SUMIFS(Base_Semanal!$R$4:$R$107,Base_Semanal!$D$4:$D$107,$A15)=0,"",SUMIFS(Base_Semanal!$S$4:$S$107,Base_Semanal!$D$4:$D$107,$A15)/SUMIFS(Base_Semanal!$R$4:$R$107,Base_Semanal!$D$4:$D$107,$A15))</f>
        <v/>
      </c>
      <c r="T15" s="37" t="str">
        <f aca="false">IF(SUMIFS(Base_Semanal!$P$4:$P$107,Base_Semanal!$D$4:$D$107,$A15)+SUMIFS(Base_Semanal!$R$4:$R$107,Base_Semanal!$D$4:$D$107,$A15)=0,"",(SUMIFS(Base_Semanal!$Q$4:$Q$107,Base_Semanal!$D$4:$D$107,$A15)+SUMIFS(Base_Semanal!$S$4:$S$107,Base_Semanal!$D$4:$D$107,$A15))/(SUMIFS(Base_Semanal!$P$4:$P$107,Base_Semanal!$D$4:$D$107,$A15)+SUMIFS(Base_Semanal!$R$4:$R$107,Base_Semanal!$D$4:$D$107,$A15)))</f>
        <v/>
      </c>
      <c r="U15" s="36" t="n">
        <f aca="false">COUNTIFS(Contratos!$C$4:$C$503,$A15,Contratos!$E$4:$E$503,"Avaliação")</f>
        <v>0</v>
      </c>
      <c r="V15" s="39" t="n">
        <f aca="false">SUMIFS(Contratos!$I$4:$I$503,Contratos!$C$4:$C$503,$A15,Contratos!$E$4:$E$503,"Avaliação")</f>
        <v>0</v>
      </c>
      <c r="W15" s="36" t="n">
        <f aca="false">COUNTIFS(Contratos!$C$4:$C$503,$A15,Contratos!$E$4:$E$503,"Protocolo")</f>
        <v>0</v>
      </c>
      <c r="X15" s="39" t="n">
        <f aca="false">SUMIFS(Contratos!$I$4:$I$503,Contratos!$C$4:$C$503,$A15,Contratos!$E$4:$E$503,"Protocolo")</f>
        <v>0</v>
      </c>
      <c r="Y15" s="39" t="n">
        <f aca="false">SUMIFS(Financeiro!$G$4:$G$503,Financeiro!$C$4:$C$503,$A15,Financeiro!$D$4:$D$503,"Receita",Financeiro!$H$4:$H$503,"&lt;&gt;Cancelado")</f>
        <v>0</v>
      </c>
      <c r="Z15" s="39" t="n">
        <f aca="false">SUMIFS(Financeiro!$G$4:$G$503,Financeiro!$C$4:$C$503,$A15,Financeiro!$D$4:$D$503,"Gasto",Financeiro!$H$4:$H$503,"&lt;&gt;Cancelado")</f>
        <v>0</v>
      </c>
      <c r="AA15" s="39" t="n">
        <f aca="false">SUMIFS(Financeiro!$G$4:$G$503,Financeiro!$C$4:$C$503,$A15,Financeiro!$D$4:$D$503,"Imposto",Financeiro!$H$4:$H$503,"&lt;&gt;Cancelado")</f>
        <v>0</v>
      </c>
      <c r="AB15" s="39" t="n">
        <f aca="false">SUMIFS(Financeiro!$G$4:$G$503,Financeiro!$C$4:$C$503,$A15,Financeiro!$D$4:$D$503,"Marketing",Financeiro!$H$4:$H$503,"&lt;&gt;Cancelado")</f>
        <v>0</v>
      </c>
      <c r="AC15" s="39" t="n">
        <f aca="false">Y15-Z15-AA15-AB15</f>
        <v>0</v>
      </c>
      <c r="AD15" s="37" t="n">
        <f aca="false">IF(Config!$C$16=0,"",Y15/Config!$C$16)</f>
        <v>0</v>
      </c>
      <c r="AE15" s="37" t="n">
        <f aca="false">IF(Config!$C$17=0,"",Z15/Config!$C$17)</f>
        <v>0</v>
      </c>
      <c r="AF15" s="39" t="str">
        <f aca="false">IF(Q15=0,"",AB15/Q15)</f>
        <v/>
      </c>
    </row>
    <row r="16" customFormat="false" ht="15" hidden="false" customHeight="false" outlineLevel="0" collapsed="false">
      <c r="A16" s="17" t="s">
        <v>400</v>
      </c>
      <c r="B16" s="36" t="n">
        <f aca="false">SUMIFS(Base_Semanal!$E$4:$E$107,Base_Semanal!$D$4:$D$107,$A16)</f>
        <v>0</v>
      </c>
      <c r="C16" s="36" t="n">
        <f aca="false">SUMIFS(Base_Semanal!$F$4:$F$107,Base_Semanal!$D$4:$D$107,$A16)</f>
        <v>0</v>
      </c>
      <c r="D16" s="36" t="n">
        <f aca="false">SUMIFS(Base_Semanal!$G$4:$G$107,Base_Semanal!$D$4:$D$107,$A16)</f>
        <v>0</v>
      </c>
      <c r="E16" s="36" t="n">
        <f aca="false">SUMIFS(Base_Semanal!$H$4:$H$107,Base_Semanal!$D$4:$D$107,$A16)</f>
        <v>0</v>
      </c>
      <c r="F16" s="36" t="n">
        <f aca="false">SUMIFS(Base_Semanal!$I$4:$I$107,Base_Semanal!$D$4:$D$107,$A16)</f>
        <v>0</v>
      </c>
      <c r="G16" s="36" t="n">
        <f aca="false">E16+F16</f>
        <v>0</v>
      </c>
      <c r="H16" s="37" t="str">
        <f aca="false">IF(C16=0,"",D16/C16)</f>
        <v/>
      </c>
      <c r="I16" s="36" t="n">
        <f aca="false">SUMIFS(Base_Semanal!$J$4:$J$107,Base_Semanal!$D$4:$D$107,$A16)</f>
        <v>0</v>
      </c>
      <c r="J16" s="36" t="n">
        <f aca="false">SUMIFS(Base_Semanal!$K$4:$K$107,Base_Semanal!$D$4:$D$107,$A16)</f>
        <v>0</v>
      </c>
      <c r="K16" s="36" t="n">
        <f aca="false">I16+J16</f>
        <v>0</v>
      </c>
      <c r="L16" s="37" t="str">
        <f aca="false">IF(G16=0,"",K16/G16)</f>
        <v/>
      </c>
      <c r="M16" s="36" t="n">
        <f aca="false">SUMIFS(Base_Semanal!$L$4:$L$107,Base_Semanal!$D$4:$D$107,$A16)</f>
        <v>0</v>
      </c>
      <c r="N16" s="36" t="n">
        <f aca="false">SUMIFS(Base_Semanal!$M$4:$M$107,Base_Semanal!$D$4:$D$107,$A16)</f>
        <v>0</v>
      </c>
      <c r="O16" s="36" t="n">
        <f aca="false">M16+N16</f>
        <v>0</v>
      </c>
      <c r="P16" s="36" t="n">
        <f aca="false">SUMIFS(Base_Semanal!$N$4:$N$107,Base_Semanal!$D$4:$D$107,$A16)</f>
        <v>0</v>
      </c>
      <c r="Q16" s="36" t="n">
        <f aca="false">SUMIFS(Base_Semanal!$O$4:$O$107,Base_Semanal!$D$4:$D$107,$A16)</f>
        <v>0</v>
      </c>
      <c r="R16" s="37" t="str">
        <f aca="false">IF(SUMIFS(Base_Semanal!$P$4:$P$107,Base_Semanal!$D$4:$D$107,$A16)=0,"",SUMIFS(Base_Semanal!$Q$4:$Q$107,Base_Semanal!$D$4:$D$107,$A16)/SUMIFS(Base_Semanal!$P$4:$P$107,Base_Semanal!$D$4:$D$107,$A16))</f>
        <v/>
      </c>
      <c r="S16" s="37" t="str">
        <f aca="false">IF(SUMIFS(Base_Semanal!$R$4:$R$107,Base_Semanal!$D$4:$D$107,$A16)=0,"",SUMIFS(Base_Semanal!$S$4:$S$107,Base_Semanal!$D$4:$D$107,$A16)/SUMIFS(Base_Semanal!$R$4:$R$107,Base_Semanal!$D$4:$D$107,$A16))</f>
        <v/>
      </c>
      <c r="T16" s="37" t="str">
        <f aca="false">IF(SUMIFS(Base_Semanal!$P$4:$P$107,Base_Semanal!$D$4:$D$107,$A16)+SUMIFS(Base_Semanal!$R$4:$R$107,Base_Semanal!$D$4:$D$107,$A16)=0,"",(SUMIFS(Base_Semanal!$Q$4:$Q$107,Base_Semanal!$D$4:$D$107,$A16)+SUMIFS(Base_Semanal!$S$4:$S$107,Base_Semanal!$D$4:$D$107,$A16))/(SUMIFS(Base_Semanal!$P$4:$P$107,Base_Semanal!$D$4:$D$107,$A16)+SUMIFS(Base_Semanal!$R$4:$R$107,Base_Semanal!$D$4:$D$107,$A16)))</f>
        <v/>
      </c>
      <c r="U16" s="36" t="n">
        <f aca="false">COUNTIFS(Contratos!$C$4:$C$503,$A16,Contratos!$E$4:$E$503,"Avaliação")</f>
        <v>0</v>
      </c>
      <c r="V16" s="39" t="n">
        <f aca="false">SUMIFS(Contratos!$I$4:$I$503,Contratos!$C$4:$C$503,$A16,Contratos!$E$4:$E$503,"Avaliação")</f>
        <v>0</v>
      </c>
      <c r="W16" s="36" t="n">
        <f aca="false">COUNTIFS(Contratos!$C$4:$C$503,$A16,Contratos!$E$4:$E$503,"Protocolo")</f>
        <v>0</v>
      </c>
      <c r="X16" s="39" t="n">
        <f aca="false">SUMIFS(Contratos!$I$4:$I$503,Contratos!$C$4:$C$503,$A16,Contratos!$E$4:$E$503,"Protocolo")</f>
        <v>0</v>
      </c>
      <c r="Y16" s="39" t="n">
        <f aca="false">SUMIFS(Financeiro!$G$4:$G$503,Financeiro!$C$4:$C$503,$A16,Financeiro!$D$4:$D$503,"Receita",Financeiro!$H$4:$H$503,"&lt;&gt;Cancelado")</f>
        <v>0</v>
      </c>
      <c r="Z16" s="39" t="n">
        <f aca="false">SUMIFS(Financeiro!$G$4:$G$503,Financeiro!$C$4:$C$503,$A16,Financeiro!$D$4:$D$503,"Gasto",Financeiro!$H$4:$H$503,"&lt;&gt;Cancelado")</f>
        <v>0</v>
      </c>
      <c r="AA16" s="39" t="n">
        <f aca="false">SUMIFS(Financeiro!$G$4:$G$503,Financeiro!$C$4:$C$503,$A16,Financeiro!$D$4:$D$503,"Imposto",Financeiro!$H$4:$H$503,"&lt;&gt;Cancelado")</f>
        <v>0</v>
      </c>
      <c r="AB16" s="39" t="n">
        <f aca="false">SUMIFS(Financeiro!$G$4:$G$503,Financeiro!$C$4:$C$503,$A16,Financeiro!$D$4:$D$503,"Marketing",Financeiro!$H$4:$H$503,"&lt;&gt;Cancelado")</f>
        <v>0</v>
      </c>
      <c r="AC16" s="39" t="n">
        <f aca="false">Y16-Z16-AA16-AB16</f>
        <v>0</v>
      </c>
      <c r="AD16" s="37" t="n">
        <f aca="false">IF(Config!$C$16=0,"",Y16/Config!$C$16)</f>
        <v>0</v>
      </c>
      <c r="AE16" s="37" t="n">
        <f aca="false">IF(Config!$C$17=0,"",Z16/Config!$C$17)</f>
        <v>0</v>
      </c>
      <c r="AF16" s="39" t="str">
        <f aca="false">IF(Q16=0,"",AB16/Q16)</f>
        <v/>
      </c>
    </row>
    <row r="17" customFormat="false" ht="15" hidden="false" customHeight="false" outlineLevel="0" collapsed="false">
      <c r="A17" s="17" t="s">
        <v>405</v>
      </c>
      <c r="B17" s="36" t="n">
        <f aca="false">SUMIFS(Base_Semanal!$E$4:$E$107,Base_Semanal!$D$4:$D$107,$A17)</f>
        <v>0</v>
      </c>
      <c r="C17" s="36" t="n">
        <f aca="false">SUMIFS(Base_Semanal!$F$4:$F$107,Base_Semanal!$D$4:$D$107,$A17)</f>
        <v>0</v>
      </c>
      <c r="D17" s="36" t="n">
        <f aca="false">SUMIFS(Base_Semanal!$G$4:$G$107,Base_Semanal!$D$4:$D$107,$A17)</f>
        <v>0</v>
      </c>
      <c r="E17" s="36" t="n">
        <f aca="false">SUMIFS(Base_Semanal!$H$4:$H$107,Base_Semanal!$D$4:$D$107,$A17)</f>
        <v>0</v>
      </c>
      <c r="F17" s="36" t="n">
        <f aca="false">SUMIFS(Base_Semanal!$I$4:$I$107,Base_Semanal!$D$4:$D$107,$A17)</f>
        <v>0</v>
      </c>
      <c r="G17" s="36" t="n">
        <f aca="false">E17+F17</f>
        <v>0</v>
      </c>
      <c r="H17" s="37" t="str">
        <f aca="false">IF(C17=0,"",D17/C17)</f>
        <v/>
      </c>
      <c r="I17" s="36" t="n">
        <f aca="false">SUMIFS(Base_Semanal!$J$4:$J$107,Base_Semanal!$D$4:$D$107,$A17)</f>
        <v>0</v>
      </c>
      <c r="J17" s="36" t="n">
        <f aca="false">SUMIFS(Base_Semanal!$K$4:$K$107,Base_Semanal!$D$4:$D$107,$A17)</f>
        <v>0</v>
      </c>
      <c r="K17" s="36" t="n">
        <f aca="false">I17+J17</f>
        <v>0</v>
      </c>
      <c r="L17" s="37" t="str">
        <f aca="false">IF(G17=0,"",K17/G17)</f>
        <v/>
      </c>
      <c r="M17" s="36" t="n">
        <f aca="false">SUMIFS(Base_Semanal!$L$4:$L$107,Base_Semanal!$D$4:$D$107,$A17)</f>
        <v>0</v>
      </c>
      <c r="N17" s="36" t="n">
        <f aca="false">SUMIFS(Base_Semanal!$M$4:$M$107,Base_Semanal!$D$4:$D$107,$A17)</f>
        <v>0</v>
      </c>
      <c r="O17" s="36" t="n">
        <f aca="false">M17+N17</f>
        <v>0</v>
      </c>
      <c r="P17" s="36" t="n">
        <f aca="false">SUMIFS(Base_Semanal!$N$4:$N$107,Base_Semanal!$D$4:$D$107,$A17)</f>
        <v>0</v>
      </c>
      <c r="Q17" s="36" t="n">
        <f aca="false">SUMIFS(Base_Semanal!$O$4:$O$107,Base_Semanal!$D$4:$D$107,$A17)</f>
        <v>0</v>
      </c>
      <c r="R17" s="37" t="str">
        <f aca="false">IF(SUMIFS(Base_Semanal!$P$4:$P$107,Base_Semanal!$D$4:$D$107,$A17)=0,"",SUMIFS(Base_Semanal!$Q$4:$Q$107,Base_Semanal!$D$4:$D$107,$A17)/SUMIFS(Base_Semanal!$P$4:$P$107,Base_Semanal!$D$4:$D$107,$A17))</f>
        <v/>
      </c>
      <c r="S17" s="37" t="str">
        <f aca="false">IF(SUMIFS(Base_Semanal!$R$4:$R$107,Base_Semanal!$D$4:$D$107,$A17)=0,"",SUMIFS(Base_Semanal!$S$4:$S$107,Base_Semanal!$D$4:$D$107,$A17)/SUMIFS(Base_Semanal!$R$4:$R$107,Base_Semanal!$D$4:$D$107,$A17))</f>
        <v/>
      </c>
      <c r="T17" s="37" t="str">
        <f aca="false">IF(SUMIFS(Base_Semanal!$P$4:$P$107,Base_Semanal!$D$4:$D$107,$A17)+SUMIFS(Base_Semanal!$R$4:$R$107,Base_Semanal!$D$4:$D$107,$A17)=0,"",(SUMIFS(Base_Semanal!$Q$4:$Q$107,Base_Semanal!$D$4:$D$107,$A17)+SUMIFS(Base_Semanal!$S$4:$S$107,Base_Semanal!$D$4:$D$107,$A17))/(SUMIFS(Base_Semanal!$P$4:$P$107,Base_Semanal!$D$4:$D$107,$A17)+SUMIFS(Base_Semanal!$R$4:$R$107,Base_Semanal!$D$4:$D$107,$A17)))</f>
        <v/>
      </c>
      <c r="U17" s="36" t="n">
        <f aca="false">COUNTIFS(Contratos!$C$4:$C$503,$A17,Contratos!$E$4:$E$503,"Avaliação")</f>
        <v>0</v>
      </c>
      <c r="V17" s="39" t="n">
        <f aca="false">SUMIFS(Contratos!$I$4:$I$503,Contratos!$C$4:$C$503,$A17,Contratos!$E$4:$E$503,"Avaliação")</f>
        <v>0</v>
      </c>
      <c r="W17" s="36" t="n">
        <f aca="false">COUNTIFS(Contratos!$C$4:$C$503,$A17,Contratos!$E$4:$E$503,"Protocolo")</f>
        <v>0</v>
      </c>
      <c r="X17" s="39" t="n">
        <f aca="false">SUMIFS(Contratos!$I$4:$I$503,Contratos!$C$4:$C$503,$A17,Contratos!$E$4:$E$503,"Protocolo")</f>
        <v>0</v>
      </c>
      <c r="Y17" s="39" t="n">
        <f aca="false">SUMIFS(Financeiro!$G$4:$G$503,Financeiro!$C$4:$C$503,$A17,Financeiro!$D$4:$D$503,"Receita",Financeiro!$H$4:$H$503,"&lt;&gt;Cancelado")</f>
        <v>0</v>
      </c>
      <c r="Z17" s="39" t="n">
        <f aca="false">SUMIFS(Financeiro!$G$4:$G$503,Financeiro!$C$4:$C$503,$A17,Financeiro!$D$4:$D$503,"Gasto",Financeiro!$H$4:$H$503,"&lt;&gt;Cancelado")</f>
        <v>0</v>
      </c>
      <c r="AA17" s="39" t="n">
        <f aca="false">SUMIFS(Financeiro!$G$4:$G$503,Financeiro!$C$4:$C$503,$A17,Financeiro!$D$4:$D$503,"Imposto",Financeiro!$H$4:$H$503,"&lt;&gt;Cancelado")</f>
        <v>0</v>
      </c>
      <c r="AB17" s="39" t="n">
        <f aca="false">SUMIFS(Financeiro!$G$4:$G$503,Financeiro!$C$4:$C$503,$A17,Financeiro!$D$4:$D$503,"Marketing",Financeiro!$H$4:$H$503,"&lt;&gt;Cancelado")</f>
        <v>0</v>
      </c>
      <c r="AC17" s="39" t="n">
        <f aca="false">Y17-Z17-AA17-AB17</f>
        <v>0</v>
      </c>
      <c r="AD17" s="37" t="n">
        <f aca="false">IF(Config!$C$16=0,"",Y17/Config!$C$16)</f>
        <v>0</v>
      </c>
      <c r="AE17" s="37" t="n">
        <f aca="false">IF(Config!$C$17=0,"",Z17/Config!$C$17)</f>
        <v>0</v>
      </c>
      <c r="AF17" s="39" t="str">
        <f aca="false">IF(Q17=0,"",AB17/Q17)</f>
        <v/>
      </c>
    </row>
    <row r="18" customFormat="false" ht="15" hidden="false" customHeight="false" outlineLevel="0" collapsed="false">
      <c r="A18" s="17" t="s">
        <v>410</v>
      </c>
      <c r="B18" s="36" t="n">
        <f aca="false">SUMIFS(Base_Semanal!$E$4:$E$107,Base_Semanal!$D$4:$D$107,$A18)</f>
        <v>0</v>
      </c>
      <c r="C18" s="36" t="n">
        <f aca="false">SUMIFS(Base_Semanal!$F$4:$F$107,Base_Semanal!$D$4:$D$107,$A18)</f>
        <v>0</v>
      </c>
      <c r="D18" s="36" t="n">
        <f aca="false">SUMIFS(Base_Semanal!$G$4:$G$107,Base_Semanal!$D$4:$D$107,$A18)</f>
        <v>0</v>
      </c>
      <c r="E18" s="36" t="n">
        <f aca="false">SUMIFS(Base_Semanal!$H$4:$H$107,Base_Semanal!$D$4:$D$107,$A18)</f>
        <v>0</v>
      </c>
      <c r="F18" s="36" t="n">
        <f aca="false">SUMIFS(Base_Semanal!$I$4:$I$107,Base_Semanal!$D$4:$D$107,$A18)</f>
        <v>0</v>
      </c>
      <c r="G18" s="36" t="n">
        <f aca="false">E18+F18</f>
        <v>0</v>
      </c>
      <c r="H18" s="37" t="str">
        <f aca="false">IF(C18=0,"",D18/C18)</f>
        <v/>
      </c>
      <c r="I18" s="36" t="n">
        <f aca="false">SUMIFS(Base_Semanal!$J$4:$J$107,Base_Semanal!$D$4:$D$107,$A18)</f>
        <v>0</v>
      </c>
      <c r="J18" s="36" t="n">
        <f aca="false">SUMIFS(Base_Semanal!$K$4:$K$107,Base_Semanal!$D$4:$D$107,$A18)</f>
        <v>0</v>
      </c>
      <c r="K18" s="36" t="n">
        <f aca="false">I18+J18</f>
        <v>0</v>
      </c>
      <c r="L18" s="37" t="str">
        <f aca="false">IF(G18=0,"",K18/G18)</f>
        <v/>
      </c>
      <c r="M18" s="36" t="n">
        <f aca="false">SUMIFS(Base_Semanal!$L$4:$L$107,Base_Semanal!$D$4:$D$107,$A18)</f>
        <v>0</v>
      </c>
      <c r="N18" s="36" t="n">
        <f aca="false">SUMIFS(Base_Semanal!$M$4:$M$107,Base_Semanal!$D$4:$D$107,$A18)</f>
        <v>0</v>
      </c>
      <c r="O18" s="36" t="n">
        <f aca="false">M18+N18</f>
        <v>0</v>
      </c>
      <c r="P18" s="36" t="n">
        <f aca="false">SUMIFS(Base_Semanal!$N$4:$N$107,Base_Semanal!$D$4:$D$107,$A18)</f>
        <v>0</v>
      </c>
      <c r="Q18" s="36" t="n">
        <f aca="false">SUMIFS(Base_Semanal!$O$4:$O$107,Base_Semanal!$D$4:$D$107,$A18)</f>
        <v>0</v>
      </c>
      <c r="R18" s="37" t="str">
        <f aca="false">IF(SUMIFS(Base_Semanal!$P$4:$P$107,Base_Semanal!$D$4:$D$107,$A18)=0,"",SUMIFS(Base_Semanal!$Q$4:$Q$107,Base_Semanal!$D$4:$D$107,$A18)/SUMIFS(Base_Semanal!$P$4:$P$107,Base_Semanal!$D$4:$D$107,$A18))</f>
        <v/>
      </c>
      <c r="S18" s="37" t="str">
        <f aca="false">IF(SUMIFS(Base_Semanal!$R$4:$R$107,Base_Semanal!$D$4:$D$107,$A18)=0,"",SUMIFS(Base_Semanal!$S$4:$S$107,Base_Semanal!$D$4:$D$107,$A18)/SUMIFS(Base_Semanal!$R$4:$R$107,Base_Semanal!$D$4:$D$107,$A18))</f>
        <v/>
      </c>
      <c r="T18" s="37" t="str">
        <f aca="false">IF(SUMIFS(Base_Semanal!$P$4:$P$107,Base_Semanal!$D$4:$D$107,$A18)+SUMIFS(Base_Semanal!$R$4:$R$107,Base_Semanal!$D$4:$D$107,$A18)=0,"",(SUMIFS(Base_Semanal!$Q$4:$Q$107,Base_Semanal!$D$4:$D$107,$A18)+SUMIFS(Base_Semanal!$S$4:$S$107,Base_Semanal!$D$4:$D$107,$A18))/(SUMIFS(Base_Semanal!$P$4:$P$107,Base_Semanal!$D$4:$D$107,$A18)+SUMIFS(Base_Semanal!$R$4:$R$107,Base_Semanal!$D$4:$D$107,$A18)))</f>
        <v/>
      </c>
      <c r="U18" s="36" t="n">
        <f aca="false">COUNTIFS(Contratos!$C$4:$C$503,$A18,Contratos!$E$4:$E$503,"Avaliação")</f>
        <v>0</v>
      </c>
      <c r="V18" s="39" t="n">
        <f aca="false">SUMIFS(Contratos!$I$4:$I$503,Contratos!$C$4:$C$503,$A18,Contratos!$E$4:$E$503,"Avaliação")</f>
        <v>0</v>
      </c>
      <c r="W18" s="36" t="n">
        <f aca="false">COUNTIFS(Contratos!$C$4:$C$503,$A18,Contratos!$E$4:$E$503,"Protocolo")</f>
        <v>0</v>
      </c>
      <c r="X18" s="39" t="n">
        <f aca="false">SUMIFS(Contratos!$I$4:$I$503,Contratos!$C$4:$C$503,$A18,Contratos!$E$4:$E$503,"Protocolo")</f>
        <v>0</v>
      </c>
      <c r="Y18" s="39" t="n">
        <f aca="false">SUMIFS(Financeiro!$G$4:$G$503,Financeiro!$C$4:$C$503,$A18,Financeiro!$D$4:$D$503,"Receita",Financeiro!$H$4:$H$503,"&lt;&gt;Cancelado")</f>
        <v>0</v>
      </c>
      <c r="Z18" s="39" t="n">
        <f aca="false">SUMIFS(Financeiro!$G$4:$G$503,Financeiro!$C$4:$C$503,$A18,Financeiro!$D$4:$D$503,"Gasto",Financeiro!$H$4:$H$503,"&lt;&gt;Cancelado")</f>
        <v>0</v>
      </c>
      <c r="AA18" s="39" t="n">
        <f aca="false">SUMIFS(Financeiro!$G$4:$G$503,Financeiro!$C$4:$C$503,$A18,Financeiro!$D$4:$D$503,"Imposto",Financeiro!$H$4:$H$503,"&lt;&gt;Cancelado")</f>
        <v>0</v>
      </c>
      <c r="AB18" s="39" t="n">
        <f aca="false">SUMIFS(Financeiro!$G$4:$G$503,Financeiro!$C$4:$C$503,$A18,Financeiro!$D$4:$D$503,"Marketing",Financeiro!$H$4:$H$503,"&lt;&gt;Cancelado")</f>
        <v>0</v>
      </c>
      <c r="AC18" s="39" t="n">
        <f aca="false">Y18-Z18-AA18-AB18</f>
        <v>0</v>
      </c>
      <c r="AD18" s="37" t="n">
        <f aca="false">IF(Config!$C$16=0,"",Y18/Config!$C$16)</f>
        <v>0</v>
      </c>
      <c r="AE18" s="37" t="n">
        <f aca="false">IF(Config!$C$17=0,"",Z18/Config!$C$17)</f>
        <v>0</v>
      </c>
      <c r="AF18" s="39" t="str">
        <f aca="false">IF(Q18=0,"",AB18/Q18)</f>
        <v/>
      </c>
    </row>
    <row r="19" customFormat="false" ht="15" hidden="false" customHeight="false" outlineLevel="0" collapsed="false">
      <c r="A19" s="17" t="s">
        <v>416</v>
      </c>
      <c r="B19" s="36" t="n">
        <f aca="false">SUMIFS(Base_Semanal!$E$4:$E$107,Base_Semanal!$D$4:$D$107,$A19)</f>
        <v>0</v>
      </c>
      <c r="C19" s="36" t="n">
        <f aca="false">SUMIFS(Base_Semanal!$F$4:$F$107,Base_Semanal!$D$4:$D$107,$A19)</f>
        <v>0</v>
      </c>
      <c r="D19" s="36" t="n">
        <f aca="false">SUMIFS(Base_Semanal!$G$4:$G$107,Base_Semanal!$D$4:$D$107,$A19)</f>
        <v>0</v>
      </c>
      <c r="E19" s="36" t="n">
        <f aca="false">SUMIFS(Base_Semanal!$H$4:$H$107,Base_Semanal!$D$4:$D$107,$A19)</f>
        <v>0</v>
      </c>
      <c r="F19" s="36" t="n">
        <f aca="false">SUMIFS(Base_Semanal!$I$4:$I$107,Base_Semanal!$D$4:$D$107,$A19)</f>
        <v>0</v>
      </c>
      <c r="G19" s="36" t="n">
        <f aca="false">E19+F19</f>
        <v>0</v>
      </c>
      <c r="H19" s="37" t="str">
        <f aca="false">IF(C19=0,"",D19/C19)</f>
        <v/>
      </c>
      <c r="I19" s="36" t="n">
        <f aca="false">SUMIFS(Base_Semanal!$J$4:$J$107,Base_Semanal!$D$4:$D$107,$A19)</f>
        <v>0</v>
      </c>
      <c r="J19" s="36" t="n">
        <f aca="false">SUMIFS(Base_Semanal!$K$4:$K$107,Base_Semanal!$D$4:$D$107,$A19)</f>
        <v>0</v>
      </c>
      <c r="K19" s="36" t="n">
        <f aca="false">I19+J19</f>
        <v>0</v>
      </c>
      <c r="L19" s="37" t="str">
        <f aca="false">IF(G19=0,"",K19/G19)</f>
        <v/>
      </c>
      <c r="M19" s="36" t="n">
        <f aca="false">SUMIFS(Base_Semanal!$L$4:$L$107,Base_Semanal!$D$4:$D$107,$A19)</f>
        <v>0</v>
      </c>
      <c r="N19" s="36" t="n">
        <f aca="false">SUMIFS(Base_Semanal!$M$4:$M$107,Base_Semanal!$D$4:$D$107,$A19)</f>
        <v>0</v>
      </c>
      <c r="O19" s="36" t="n">
        <f aca="false">M19+N19</f>
        <v>0</v>
      </c>
      <c r="P19" s="36" t="n">
        <f aca="false">SUMIFS(Base_Semanal!$N$4:$N$107,Base_Semanal!$D$4:$D$107,$A19)</f>
        <v>0</v>
      </c>
      <c r="Q19" s="36" t="n">
        <f aca="false">SUMIFS(Base_Semanal!$O$4:$O$107,Base_Semanal!$D$4:$D$107,$A19)</f>
        <v>0</v>
      </c>
      <c r="R19" s="37" t="str">
        <f aca="false">IF(SUMIFS(Base_Semanal!$P$4:$P$107,Base_Semanal!$D$4:$D$107,$A19)=0,"",SUMIFS(Base_Semanal!$Q$4:$Q$107,Base_Semanal!$D$4:$D$107,$A19)/SUMIFS(Base_Semanal!$P$4:$P$107,Base_Semanal!$D$4:$D$107,$A19))</f>
        <v/>
      </c>
      <c r="S19" s="37" t="str">
        <f aca="false">IF(SUMIFS(Base_Semanal!$R$4:$R$107,Base_Semanal!$D$4:$D$107,$A19)=0,"",SUMIFS(Base_Semanal!$S$4:$S$107,Base_Semanal!$D$4:$D$107,$A19)/SUMIFS(Base_Semanal!$R$4:$R$107,Base_Semanal!$D$4:$D$107,$A19))</f>
        <v/>
      </c>
      <c r="T19" s="37" t="str">
        <f aca="false">IF(SUMIFS(Base_Semanal!$P$4:$P$107,Base_Semanal!$D$4:$D$107,$A19)+SUMIFS(Base_Semanal!$R$4:$R$107,Base_Semanal!$D$4:$D$107,$A19)=0,"",(SUMIFS(Base_Semanal!$Q$4:$Q$107,Base_Semanal!$D$4:$D$107,$A19)+SUMIFS(Base_Semanal!$S$4:$S$107,Base_Semanal!$D$4:$D$107,$A19))/(SUMIFS(Base_Semanal!$P$4:$P$107,Base_Semanal!$D$4:$D$107,$A19)+SUMIFS(Base_Semanal!$R$4:$R$107,Base_Semanal!$D$4:$D$107,$A19)))</f>
        <v/>
      </c>
      <c r="U19" s="36" t="n">
        <f aca="false">COUNTIFS(Contratos!$C$4:$C$503,$A19,Contratos!$E$4:$E$503,"Avaliação")</f>
        <v>0</v>
      </c>
      <c r="V19" s="39" t="n">
        <f aca="false">SUMIFS(Contratos!$I$4:$I$503,Contratos!$C$4:$C$503,$A19,Contratos!$E$4:$E$503,"Avaliação")</f>
        <v>0</v>
      </c>
      <c r="W19" s="36" t="n">
        <f aca="false">COUNTIFS(Contratos!$C$4:$C$503,$A19,Contratos!$E$4:$E$503,"Protocolo")</f>
        <v>0</v>
      </c>
      <c r="X19" s="39" t="n">
        <f aca="false">SUMIFS(Contratos!$I$4:$I$503,Contratos!$C$4:$C$503,$A19,Contratos!$E$4:$E$503,"Protocolo")</f>
        <v>0</v>
      </c>
      <c r="Y19" s="39" t="n">
        <f aca="false">SUMIFS(Financeiro!$G$4:$G$503,Financeiro!$C$4:$C$503,$A19,Financeiro!$D$4:$D$503,"Receita",Financeiro!$H$4:$H$503,"&lt;&gt;Cancelado")</f>
        <v>0</v>
      </c>
      <c r="Z19" s="39" t="n">
        <f aca="false">SUMIFS(Financeiro!$G$4:$G$503,Financeiro!$C$4:$C$503,$A19,Financeiro!$D$4:$D$503,"Gasto",Financeiro!$H$4:$H$503,"&lt;&gt;Cancelado")</f>
        <v>0</v>
      </c>
      <c r="AA19" s="39" t="n">
        <f aca="false">SUMIFS(Financeiro!$G$4:$G$503,Financeiro!$C$4:$C$503,$A19,Financeiro!$D$4:$D$503,"Imposto",Financeiro!$H$4:$H$503,"&lt;&gt;Cancelado")</f>
        <v>0</v>
      </c>
      <c r="AB19" s="39" t="n">
        <f aca="false">SUMIFS(Financeiro!$G$4:$G$503,Financeiro!$C$4:$C$503,$A19,Financeiro!$D$4:$D$503,"Marketing",Financeiro!$H$4:$H$503,"&lt;&gt;Cancelado")</f>
        <v>0</v>
      </c>
      <c r="AC19" s="39" t="n">
        <f aca="false">Y19-Z19-AA19-AB19</f>
        <v>0</v>
      </c>
      <c r="AD19" s="37" t="n">
        <f aca="false">IF(Config!$C$16=0,"",Y19/Config!$C$16)</f>
        <v>0</v>
      </c>
      <c r="AE19" s="37" t="n">
        <f aca="false">IF(Config!$C$17=0,"",Z19/Config!$C$17)</f>
        <v>0</v>
      </c>
      <c r="AF19" s="39" t="str">
        <f aca="false">IF(Q19=0,"",AB19/Q19)</f>
        <v/>
      </c>
    </row>
    <row r="20" customFormat="false" ht="15" hidden="false" customHeight="false" outlineLevel="0" collapsed="false">
      <c r="A20" s="17" t="s">
        <v>421</v>
      </c>
      <c r="B20" s="36" t="n">
        <f aca="false">SUMIFS(Base_Semanal!$E$4:$E$107,Base_Semanal!$D$4:$D$107,$A20)</f>
        <v>0</v>
      </c>
      <c r="C20" s="36" t="n">
        <f aca="false">SUMIFS(Base_Semanal!$F$4:$F$107,Base_Semanal!$D$4:$D$107,$A20)</f>
        <v>0</v>
      </c>
      <c r="D20" s="36" t="n">
        <f aca="false">SUMIFS(Base_Semanal!$G$4:$G$107,Base_Semanal!$D$4:$D$107,$A20)</f>
        <v>0</v>
      </c>
      <c r="E20" s="36" t="n">
        <f aca="false">SUMIFS(Base_Semanal!$H$4:$H$107,Base_Semanal!$D$4:$D$107,$A20)</f>
        <v>0</v>
      </c>
      <c r="F20" s="36" t="n">
        <f aca="false">SUMIFS(Base_Semanal!$I$4:$I$107,Base_Semanal!$D$4:$D$107,$A20)</f>
        <v>0</v>
      </c>
      <c r="G20" s="36" t="n">
        <f aca="false">E20+F20</f>
        <v>0</v>
      </c>
      <c r="H20" s="37" t="str">
        <f aca="false">IF(C20=0,"",D20/C20)</f>
        <v/>
      </c>
      <c r="I20" s="36" t="n">
        <f aca="false">SUMIFS(Base_Semanal!$J$4:$J$107,Base_Semanal!$D$4:$D$107,$A20)</f>
        <v>0</v>
      </c>
      <c r="J20" s="36" t="n">
        <f aca="false">SUMIFS(Base_Semanal!$K$4:$K$107,Base_Semanal!$D$4:$D$107,$A20)</f>
        <v>0</v>
      </c>
      <c r="K20" s="36" t="n">
        <f aca="false">I20+J20</f>
        <v>0</v>
      </c>
      <c r="L20" s="37" t="str">
        <f aca="false">IF(G20=0,"",K20/G20)</f>
        <v/>
      </c>
      <c r="M20" s="36" t="n">
        <f aca="false">SUMIFS(Base_Semanal!$L$4:$L$107,Base_Semanal!$D$4:$D$107,$A20)</f>
        <v>0</v>
      </c>
      <c r="N20" s="36" t="n">
        <f aca="false">SUMIFS(Base_Semanal!$M$4:$M$107,Base_Semanal!$D$4:$D$107,$A20)</f>
        <v>0</v>
      </c>
      <c r="O20" s="36" t="n">
        <f aca="false">M20+N20</f>
        <v>0</v>
      </c>
      <c r="P20" s="36" t="n">
        <f aca="false">SUMIFS(Base_Semanal!$N$4:$N$107,Base_Semanal!$D$4:$D$107,$A20)</f>
        <v>0</v>
      </c>
      <c r="Q20" s="36" t="n">
        <f aca="false">SUMIFS(Base_Semanal!$O$4:$O$107,Base_Semanal!$D$4:$D$107,$A20)</f>
        <v>0</v>
      </c>
      <c r="R20" s="37" t="str">
        <f aca="false">IF(SUMIFS(Base_Semanal!$P$4:$P$107,Base_Semanal!$D$4:$D$107,$A20)=0,"",SUMIFS(Base_Semanal!$Q$4:$Q$107,Base_Semanal!$D$4:$D$107,$A20)/SUMIFS(Base_Semanal!$P$4:$P$107,Base_Semanal!$D$4:$D$107,$A20))</f>
        <v/>
      </c>
      <c r="S20" s="37" t="str">
        <f aca="false">IF(SUMIFS(Base_Semanal!$R$4:$R$107,Base_Semanal!$D$4:$D$107,$A20)=0,"",SUMIFS(Base_Semanal!$S$4:$S$107,Base_Semanal!$D$4:$D$107,$A20)/SUMIFS(Base_Semanal!$R$4:$R$107,Base_Semanal!$D$4:$D$107,$A20))</f>
        <v/>
      </c>
      <c r="T20" s="37" t="str">
        <f aca="false">IF(SUMIFS(Base_Semanal!$P$4:$P$107,Base_Semanal!$D$4:$D$107,$A20)+SUMIFS(Base_Semanal!$R$4:$R$107,Base_Semanal!$D$4:$D$107,$A20)=0,"",(SUMIFS(Base_Semanal!$Q$4:$Q$107,Base_Semanal!$D$4:$D$107,$A20)+SUMIFS(Base_Semanal!$S$4:$S$107,Base_Semanal!$D$4:$D$107,$A20))/(SUMIFS(Base_Semanal!$P$4:$P$107,Base_Semanal!$D$4:$D$107,$A20)+SUMIFS(Base_Semanal!$R$4:$R$107,Base_Semanal!$D$4:$D$107,$A20)))</f>
        <v/>
      </c>
      <c r="U20" s="36" t="n">
        <f aca="false">COUNTIFS(Contratos!$C$4:$C$503,$A20,Contratos!$E$4:$E$503,"Avaliação")</f>
        <v>0</v>
      </c>
      <c r="V20" s="39" t="n">
        <f aca="false">SUMIFS(Contratos!$I$4:$I$503,Contratos!$C$4:$C$503,$A20,Contratos!$E$4:$E$503,"Avaliação")</f>
        <v>0</v>
      </c>
      <c r="W20" s="36" t="n">
        <f aca="false">COUNTIFS(Contratos!$C$4:$C$503,$A20,Contratos!$E$4:$E$503,"Protocolo")</f>
        <v>0</v>
      </c>
      <c r="X20" s="39" t="n">
        <f aca="false">SUMIFS(Contratos!$I$4:$I$503,Contratos!$C$4:$C$503,$A20,Contratos!$E$4:$E$503,"Protocolo")</f>
        <v>0</v>
      </c>
      <c r="Y20" s="39" t="n">
        <f aca="false">SUMIFS(Financeiro!$G$4:$G$503,Financeiro!$C$4:$C$503,$A20,Financeiro!$D$4:$D$503,"Receita",Financeiro!$H$4:$H$503,"&lt;&gt;Cancelado")</f>
        <v>0</v>
      </c>
      <c r="Z20" s="39" t="n">
        <f aca="false">SUMIFS(Financeiro!$G$4:$G$503,Financeiro!$C$4:$C$503,$A20,Financeiro!$D$4:$D$503,"Gasto",Financeiro!$H$4:$H$503,"&lt;&gt;Cancelado")</f>
        <v>0</v>
      </c>
      <c r="AA20" s="39" t="n">
        <f aca="false">SUMIFS(Financeiro!$G$4:$G$503,Financeiro!$C$4:$C$503,$A20,Financeiro!$D$4:$D$503,"Imposto",Financeiro!$H$4:$H$503,"&lt;&gt;Cancelado")</f>
        <v>0</v>
      </c>
      <c r="AB20" s="39" t="n">
        <f aca="false">SUMIFS(Financeiro!$G$4:$G$503,Financeiro!$C$4:$C$503,$A20,Financeiro!$D$4:$D$503,"Marketing",Financeiro!$H$4:$H$503,"&lt;&gt;Cancelado")</f>
        <v>0</v>
      </c>
      <c r="AC20" s="39" t="n">
        <f aca="false">Y20-Z20-AA20-AB20</f>
        <v>0</v>
      </c>
      <c r="AD20" s="37" t="n">
        <f aca="false">IF(Config!$C$16=0,"",Y20/Config!$C$16)</f>
        <v>0</v>
      </c>
      <c r="AE20" s="37" t="n">
        <f aca="false">IF(Config!$C$17=0,"",Z20/Config!$C$17)</f>
        <v>0</v>
      </c>
      <c r="AF20" s="39" t="str">
        <f aca="false">IF(Q20=0,"",AB20/Q20)</f>
        <v/>
      </c>
    </row>
    <row r="21" customFormat="false" ht="15" hidden="false" customHeight="false" outlineLevel="0" collapsed="false">
      <c r="A21" s="17" t="s">
        <v>427</v>
      </c>
      <c r="B21" s="36" t="n">
        <f aca="false">SUMIFS(Base_Semanal!$E$4:$E$107,Base_Semanal!$D$4:$D$107,$A21)</f>
        <v>0</v>
      </c>
      <c r="C21" s="36" t="n">
        <f aca="false">SUMIFS(Base_Semanal!$F$4:$F$107,Base_Semanal!$D$4:$D$107,$A21)</f>
        <v>0</v>
      </c>
      <c r="D21" s="36" t="n">
        <f aca="false">SUMIFS(Base_Semanal!$G$4:$G$107,Base_Semanal!$D$4:$D$107,$A21)</f>
        <v>0</v>
      </c>
      <c r="E21" s="36" t="n">
        <f aca="false">SUMIFS(Base_Semanal!$H$4:$H$107,Base_Semanal!$D$4:$D$107,$A21)</f>
        <v>0</v>
      </c>
      <c r="F21" s="36" t="n">
        <f aca="false">SUMIFS(Base_Semanal!$I$4:$I$107,Base_Semanal!$D$4:$D$107,$A21)</f>
        <v>0</v>
      </c>
      <c r="G21" s="36" t="n">
        <f aca="false">E21+F21</f>
        <v>0</v>
      </c>
      <c r="H21" s="37" t="str">
        <f aca="false">IF(C21=0,"",D21/C21)</f>
        <v/>
      </c>
      <c r="I21" s="36" t="n">
        <f aca="false">SUMIFS(Base_Semanal!$J$4:$J$107,Base_Semanal!$D$4:$D$107,$A21)</f>
        <v>0</v>
      </c>
      <c r="J21" s="36" t="n">
        <f aca="false">SUMIFS(Base_Semanal!$K$4:$K$107,Base_Semanal!$D$4:$D$107,$A21)</f>
        <v>0</v>
      </c>
      <c r="K21" s="36" t="n">
        <f aca="false">I21+J21</f>
        <v>0</v>
      </c>
      <c r="L21" s="37" t="str">
        <f aca="false">IF(G21=0,"",K21/G21)</f>
        <v/>
      </c>
      <c r="M21" s="36" t="n">
        <f aca="false">SUMIFS(Base_Semanal!$L$4:$L$107,Base_Semanal!$D$4:$D$107,$A21)</f>
        <v>0</v>
      </c>
      <c r="N21" s="36" t="n">
        <f aca="false">SUMIFS(Base_Semanal!$M$4:$M$107,Base_Semanal!$D$4:$D$107,$A21)</f>
        <v>0</v>
      </c>
      <c r="O21" s="36" t="n">
        <f aca="false">M21+N21</f>
        <v>0</v>
      </c>
      <c r="P21" s="36" t="n">
        <f aca="false">SUMIFS(Base_Semanal!$N$4:$N$107,Base_Semanal!$D$4:$D$107,$A21)</f>
        <v>0</v>
      </c>
      <c r="Q21" s="36" t="n">
        <f aca="false">SUMIFS(Base_Semanal!$O$4:$O$107,Base_Semanal!$D$4:$D$107,$A21)</f>
        <v>0</v>
      </c>
      <c r="R21" s="37" t="str">
        <f aca="false">IF(SUMIFS(Base_Semanal!$P$4:$P$107,Base_Semanal!$D$4:$D$107,$A21)=0,"",SUMIFS(Base_Semanal!$Q$4:$Q$107,Base_Semanal!$D$4:$D$107,$A21)/SUMIFS(Base_Semanal!$P$4:$P$107,Base_Semanal!$D$4:$D$107,$A21))</f>
        <v/>
      </c>
      <c r="S21" s="37" t="str">
        <f aca="false">IF(SUMIFS(Base_Semanal!$R$4:$R$107,Base_Semanal!$D$4:$D$107,$A21)=0,"",SUMIFS(Base_Semanal!$S$4:$S$107,Base_Semanal!$D$4:$D$107,$A21)/SUMIFS(Base_Semanal!$R$4:$R$107,Base_Semanal!$D$4:$D$107,$A21))</f>
        <v/>
      </c>
      <c r="T21" s="37" t="str">
        <f aca="false">IF(SUMIFS(Base_Semanal!$P$4:$P$107,Base_Semanal!$D$4:$D$107,$A21)+SUMIFS(Base_Semanal!$R$4:$R$107,Base_Semanal!$D$4:$D$107,$A21)=0,"",(SUMIFS(Base_Semanal!$Q$4:$Q$107,Base_Semanal!$D$4:$D$107,$A21)+SUMIFS(Base_Semanal!$S$4:$S$107,Base_Semanal!$D$4:$D$107,$A21))/(SUMIFS(Base_Semanal!$P$4:$P$107,Base_Semanal!$D$4:$D$107,$A21)+SUMIFS(Base_Semanal!$R$4:$R$107,Base_Semanal!$D$4:$D$107,$A21)))</f>
        <v/>
      </c>
      <c r="U21" s="36" t="n">
        <f aca="false">COUNTIFS(Contratos!$C$4:$C$503,$A21,Contratos!$E$4:$E$503,"Avaliação")</f>
        <v>0</v>
      </c>
      <c r="V21" s="39" t="n">
        <f aca="false">SUMIFS(Contratos!$I$4:$I$503,Contratos!$C$4:$C$503,$A21,Contratos!$E$4:$E$503,"Avaliação")</f>
        <v>0</v>
      </c>
      <c r="W21" s="36" t="n">
        <f aca="false">COUNTIFS(Contratos!$C$4:$C$503,$A21,Contratos!$E$4:$E$503,"Protocolo")</f>
        <v>0</v>
      </c>
      <c r="X21" s="39" t="n">
        <f aca="false">SUMIFS(Contratos!$I$4:$I$503,Contratos!$C$4:$C$503,$A21,Contratos!$E$4:$E$503,"Protocolo")</f>
        <v>0</v>
      </c>
      <c r="Y21" s="39" t="n">
        <f aca="false">SUMIFS(Financeiro!$G$4:$G$503,Financeiro!$C$4:$C$503,$A21,Financeiro!$D$4:$D$503,"Receita",Financeiro!$H$4:$H$503,"&lt;&gt;Cancelado")</f>
        <v>0</v>
      </c>
      <c r="Z21" s="39" t="n">
        <f aca="false">SUMIFS(Financeiro!$G$4:$G$503,Financeiro!$C$4:$C$503,$A21,Financeiro!$D$4:$D$503,"Gasto",Financeiro!$H$4:$H$503,"&lt;&gt;Cancelado")</f>
        <v>0</v>
      </c>
      <c r="AA21" s="39" t="n">
        <f aca="false">SUMIFS(Financeiro!$G$4:$G$503,Financeiro!$C$4:$C$503,$A21,Financeiro!$D$4:$D$503,"Imposto",Financeiro!$H$4:$H$503,"&lt;&gt;Cancelado")</f>
        <v>0</v>
      </c>
      <c r="AB21" s="39" t="n">
        <f aca="false">SUMIFS(Financeiro!$G$4:$G$503,Financeiro!$C$4:$C$503,$A21,Financeiro!$D$4:$D$503,"Marketing",Financeiro!$H$4:$H$503,"&lt;&gt;Cancelado")</f>
        <v>0</v>
      </c>
      <c r="AC21" s="39" t="n">
        <f aca="false">Y21-Z21-AA21-AB21</f>
        <v>0</v>
      </c>
      <c r="AD21" s="37" t="n">
        <f aca="false">IF(Config!$C$16=0,"",Y21/Config!$C$16)</f>
        <v>0</v>
      </c>
      <c r="AE21" s="37" t="n">
        <f aca="false">IF(Config!$C$17=0,"",Z21/Config!$C$17)</f>
        <v>0</v>
      </c>
      <c r="AF21" s="39" t="str">
        <f aca="false">IF(Q21=0,"",AB21/Q21)</f>
        <v/>
      </c>
    </row>
    <row r="22" customFormat="false" ht="15" hidden="false" customHeight="false" outlineLevel="0" collapsed="false">
      <c r="A22" s="17" t="s">
        <v>432</v>
      </c>
      <c r="B22" s="36" t="n">
        <f aca="false">SUMIFS(Base_Semanal!$E$4:$E$107,Base_Semanal!$D$4:$D$107,$A22)</f>
        <v>0</v>
      </c>
      <c r="C22" s="36" t="n">
        <f aca="false">SUMIFS(Base_Semanal!$F$4:$F$107,Base_Semanal!$D$4:$D$107,$A22)</f>
        <v>0</v>
      </c>
      <c r="D22" s="36" t="n">
        <f aca="false">SUMIFS(Base_Semanal!$G$4:$G$107,Base_Semanal!$D$4:$D$107,$A22)</f>
        <v>0</v>
      </c>
      <c r="E22" s="36" t="n">
        <f aca="false">SUMIFS(Base_Semanal!$H$4:$H$107,Base_Semanal!$D$4:$D$107,$A22)</f>
        <v>0</v>
      </c>
      <c r="F22" s="36" t="n">
        <f aca="false">SUMIFS(Base_Semanal!$I$4:$I$107,Base_Semanal!$D$4:$D$107,$A22)</f>
        <v>0</v>
      </c>
      <c r="G22" s="36" t="n">
        <f aca="false">E22+F22</f>
        <v>0</v>
      </c>
      <c r="H22" s="37" t="str">
        <f aca="false">IF(C22=0,"",D22/C22)</f>
        <v/>
      </c>
      <c r="I22" s="36" t="n">
        <f aca="false">SUMIFS(Base_Semanal!$J$4:$J$107,Base_Semanal!$D$4:$D$107,$A22)</f>
        <v>0</v>
      </c>
      <c r="J22" s="36" t="n">
        <f aca="false">SUMIFS(Base_Semanal!$K$4:$K$107,Base_Semanal!$D$4:$D$107,$A22)</f>
        <v>0</v>
      </c>
      <c r="K22" s="36" t="n">
        <f aca="false">I22+J22</f>
        <v>0</v>
      </c>
      <c r="L22" s="37" t="str">
        <f aca="false">IF(G22=0,"",K22/G22)</f>
        <v/>
      </c>
      <c r="M22" s="36" t="n">
        <f aca="false">SUMIFS(Base_Semanal!$L$4:$L$107,Base_Semanal!$D$4:$D$107,$A22)</f>
        <v>0</v>
      </c>
      <c r="N22" s="36" t="n">
        <f aca="false">SUMIFS(Base_Semanal!$M$4:$M$107,Base_Semanal!$D$4:$D$107,$A22)</f>
        <v>0</v>
      </c>
      <c r="O22" s="36" t="n">
        <f aca="false">M22+N22</f>
        <v>0</v>
      </c>
      <c r="P22" s="36" t="n">
        <f aca="false">SUMIFS(Base_Semanal!$N$4:$N$107,Base_Semanal!$D$4:$D$107,$A22)</f>
        <v>0</v>
      </c>
      <c r="Q22" s="36" t="n">
        <f aca="false">SUMIFS(Base_Semanal!$O$4:$O$107,Base_Semanal!$D$4:$D$107,$A22)</f>
        <v>0</v>
      </c>
      <c r="R22" s="37" t="str">
        <f aca="false">IF(SUMIFS(Base_Semanal!$P$4:$P$107,Base_Semanal!$D$4:$D$107,$A22)=0,"",SUMIFS(Base_Semanal!$Q$4:$Q$107,Base_Semanal!$D$4:$D$107,$A22)/SUMIFS(Base_Semanal!$P$4:$P$107,Base_Semanal!$D$4:$D$107,$A22))</f>
        <v/>
      </c>
      <c r="S22" s="37" t="str">
        <f aca="false">IF(SUMIFS(Base_Semanal!$R$4:$R$107,Base_Semanal!$D$4:$D$107,$A22)=0,"",SUMIFS(Base_Semanal!$S$4:$S$107,Base_Semanal!$D$4:$D$107,$A22)/SUMIFS(Base_Semanal!$R$4:$R$107,Base_Semanal!$D$4:$D$107,$A22))</f>
        <v/>
      </c>
      <c r="T22" s="37" t="str">
        <f aca="false">IF(SUMIFS(Base_Semanal!$P$4:$P$107,Base_Semanal!$D$4:$D$107,$A22)+SUMIFS(Base_Semanal!$R$4:$R$107,Base_Semanal!$D$4:$D$107,$A22)=0,"",(SUMIFS(Base_Semanal!$Q$4:$Q$107,Base_Semanal!$D$4:$D$107,$A22)+SUMIFS(Base_Semanal!$S$4:$S$107,Base_Semanal!$D$4:$D$107,$A22))/(SUMIFS(Base_Semanal!$P$4:$P$107,Base_Semanal!$D$4:$D$107,$A22)+SUMIFS(Base_Semanal!$R$4:$R$107,Base_Semanal!$D$4:$D$107,$A22)))</f>
        <v/>
      </c>
      <c r="U22" s="36" t="n">
        <f aca="false">COUNTIFS(Contratos!$C$4:$C$503,$A22,Contratos!$E$4:$E$503,"Avaliação")</f>
        <v>0</v>
      </c>
      <c r="V22" s="39" t="n">
        <f aca="false">SUMIFS(Contratos!$I$4:$I$503,Contratos!$C$4:$C$503,$A22,Contratos!$E$4:$E$503,"Avaliação")</f>
        <v>0</v>
      </c>
      <c r="W22" s="36" t="n">
        <f aca="false">COUNTIFS(Contratos!$C$4:$C$503,$A22,Contratos!$E$4:$E$503,"Protocolo")</f>
        <v>0</v>
      </c>
      <c r="X22" s="39" t="n">
        <f aca="false">SUMIFS(Contratos!$I$4:$I$503,Contratos!$C$4:$C$503,$A22,Contratos!$E$4:$E$503,"Protocolo")</f>
        <v>0</v>
      </c>
      <c r="Y22" s="39" t="n">
        <f aca="false">SUMIFS(Financeiro!$G$4:$G$503,Financeiro!$C$4:$C$503,$A22,Financeiro!$D$4:$D$503,"Receita",Financeiro!$H$4:$H$503,"&lt;&gt;Cancelado")</f>
        <v>0</v>
      </c>
      <c r="Z22" s="39" t="n">
        <f aca="false">SUMIFS(Financeiro!$G$4:$G$503,Financeiro!$C$4:$C$503,$A22,Financeiro!$D$4:$D$503,"Gasto",Financeiro!$H$4:$H$503,"&lt;&gt;Cancelado")</f>
        <v>0</v>
      </c>
      <c r="AA22" s="39" t="n">
        <f aca="false">SUMIFS(Financeiro!$G$4:$G$503,Financeiro!$C$4:$C$503,$A22,Financeiro!$D$4:$D$503,"Imposto",Financeiro!$H$4:$H$503,"&lt;&gt;Cancelado")</f>
        <v>0</v>
      </c>
      <c r="AB22" s="39" t="n">
        <f aca="false">SUMIFS(Financeiro!$G$4:$G$503,Financeiro!$C$4:$C$503,$A22,Financeiro!$D$4:$D$503,"Marketing",Financeiro!$H$4:$H$503,"&lt;&gt;Cancelado")</f>
        <v>0</v>
      </c>
      <c r="AC22" s="39" t="n">
        <f aca="false">Y22-Z22-AA22-AB22</f>
        <v>0</v>
      </c>
      <c r="AD22" s="37" t="n">
        <f aca="false">IF(Config!$C$16=0,"",Y22/Config!$C$16)</f>
        <v>0</v>
      </c>
      <c r="AE22" s="37" t="n">
        <f aca="false">IF(Config!$C$17=0,"",Z22/Config!$C$17)</f>
        <v>0</v>
      </c>
      <c r="AF22" s="39" t="str">
        <f aca="false">IF(Q22=0,"",AB22/Q22)</f>
        <v/>
      </c>
    </row>
    <row r="23" customFormat="false" ht="15" hidden="false" customHeight="false" outlineLevel="0" collapsed="false">
      <c r="A23" s="17" t="s">
        <v>437</v>
      </c>
      <c r="B23" s="36" t="n">
        <f aca="false">SUMIFS(Base_Semanal!$E$4:$E$107,Base_Semanal!$D$4:$D$107,$A23)</f>
        <v>0</v>
      </c>
      <c r="C23" s="36" t="n">
        <f aca="false">SUMIFS(Base_Semanal!$F$4:$F$107,Base_Semanal!$D$4:$D$107,$A23)</f>
        <v>0</v>
      </c>
      <c r="D23" s="36" t="n">
        <f aca="false">SUMIFS(Base_Semanal!$G$4:$G$107,Base_Semanal!$D$4:$D$107,$A23)</f>
        <v>0</v>
      </c>
      <c r="E23" s="36" t="n">
        <f aca="false">SUMIFS(Base_Semanal!$H$4:$H$107,Base_Semanal!$D$4:$D$107,$A23)</f>
        <v>0</v>
      </c>
      <c r="F23" s="36" t="n">
        <f aca="false">SUMIFS(Base_Semanal!$I$4:$I$107,Base_Semanal!$D$4:$D$107,$A23)</f>
        <v>0</v>
      </c>
      <c r="G23" s="36" t="n">
        <f aca="false">E23+F23</f>
        <v>0</v>
      </c>
      <c r="H23" s="37" t="str">
        <f aca="false">IF(C23=0,"",D23/C23)</f>
        <v/>
      </c>
      <c r="I23" s="36" t="n">
        <f aca="false">SUMIFS(Base_Semanal!$J$4:$J$107,Base_Semanal!$D$4:$D$107,$A23)</f>
        <v>0</v>
      </c>
      <c r="J23" s="36" t="n">
        <f aca="false">SUMIFS(Base_Semanal!$K$4:$K$107,Base_Semanal!$D$4:$D$107,$A23)</f>
        <v>0</v>
      </c>
      <c r="K23" s="36" t="n">
        <f aca="false">I23+J23</f>
        <v>0</v>
      </c>
      <c r="L23" s="37" t="str">
        <f aca="false">IF(G23=0,"",K23/G23)</f>
        <v/>
      </c>
      <c r="M23" s="36" t="n">
        <f aca="false">SUMIFS(Base_Semanal!$L$4:$L$107,Base_Semanal!$D$4:$D$107,$A23)</f>
        <v>0</v>
      </c>
      <c r="N23" s="36" t="n">
        <f aca="false">SUMIFS(Base_Semanal!$M$4:$M$107,Base_Semanal!$D$4:$D$107,$A23)</f>
        <v>0</v>
      </c>
      <c r="O23" s="36" t="n">
        <f aca="false">M23+N23</f>
        <v>0</v>
      </c>
      <c r="P23" s="36" t="n">
        <f aca="false">SUMIFS(Base_Semanal!$N$4:$N$107,Base_Semanal!$D$4:$D$107,$A23)</f>
        <v>0</v>
      </c>
      <c r="Q23" s="36" t="n">
        <f aca="false">SUMIFS(Base_Semanal!$O$4:$O$107,Base_Semanal!$D$4:$D$107,$A23)</f>
        <v>0</v>
      </c>
      <c r="R23" s="37" t="str">
        <f aca="false">IF(SUMIFS(Base_Semanal!$P$4:$P$107,Base_Semanal!$D$4:$D$107,$A23)=0,"",SUMIFS(Base_Semanal!$Q$4:$Q$107,Base_Semanal!$D$4:$D$107,$A23)/SUMIFS(Base_Semanal!$P$4:$P$107,Base_Semanal!$D$4:$D$107,$A23))</f>
        <v/>
      </c>
      <c r="S23" s="37" t="str">
        <f aca="false">IF(SUMIFS(Base_Semanal!$R$4:$R$107,Base_Semanal!$D$4:$D$107,$A23)=0,"",SUMIFS(Base_Semanal!$S$4:$S$107,Base_Semanal!$D$4:$D$107,$A23)/SUMIFS(Base_Semanal!$R$4:$R$107,Base_Semanal!$D$4:$D$107,$A23))</f>
        <v/>
      </c>
      <c r="T23" s="37" t="str">
        <f aca="false">IF(SUMIFS(Base_Semanal!$P$4:$P$107,Base_Semanal!$D$4:$D$107,$A23)+SUMIFS(Base_Semanal!$R$4:$R$107,Base_Semanal!$D$4:$D$107,$A23)=0,"",(SUMIFS(Base_Semanal!$Q$4:$Q$107,Base_Semanal!$D$4:$D$107,$A23)+SUMIFS(Base_Semanal!$S$4:$S$107,Base_Semanal!$D$4:$D$107,$A23))/(SUMIFS(Base_Semanal!$P$4:$P$107,Base_Semanal!$D$4:$D$107,$A23)+SUMIFS(Base_Semanal!$R$4:$R$107,Base_Semanal!$D$4:$D$107,$A23)))</f>
        <v/>
      </c>
      <c r="U23" s="36" t="n">
        <f aca="false">COUNTIFS(Contratos!$C$4:$C$503,$A23,Contratos!$E$4:$E$503,"Avaliação")</f>
        <v>0</v>
      </c>
      <c r="V23" s="39" t="n">
        <f aca="false">SUMIFS(Contratos!$I$4:$I$503,Contratos!$C$4:$C$503,$A23,Contratos!$E$4:$E$503,"Avaliação")</f>
        <v>0</v>
      </c>
      <c r="W23" s="36" t="n">
        <f aca="false">COUNTIFS(Contratos!$C$4:$C$503,$A23,Contratos!$E$4:$E$503,"Protocolo")</f>
        <v>0</v>
      </c>
      <c r="X23" s="39" t="n">
        <f aca="false">SUMIFS(Contratos!$I$4:$I$503,Contratos!$C$4:$C$503,$A23,Contratos!$E$4:$E$503,"Protocolo")</f>
        <v>0</v>
      </c>
      <c r="Y23" s="39" t="n">
        <f aca="false">SUMIFS(Financeiro!$G$4:$G$503,Financeiro!$C$4:$C$503,$A23,Financeiro!$D$4:$D$503,"Receita",Financeiro!$H$4:$H$503,"&lt;&gt;Cancelado")</f>
        <v>0</v>
      </c>
      <c r="Z23" s="39" t="n">
        <f aca="false">SUMIFS(Financeiro!$G$4:$G$503,Financeiro!$C$4:$C$503,$A23,Financeiro!$D$4:$D$503,"Gasto",Financeiro!$H$4:$H$503,"&lt;&gt;Cancelado")</f>
        <v>0</v>
      </c>
      <c r="AA23" s="39" t="n">
        <f aca="false">SUMIFS(Financeiro!$G$4:$G$503,Financeiro!$C$4:$C$503,$A23,Financeiro!$D$4:$D$503,"Imposto",Financeiro!$H$4:$H$503,"&lt;&gt;Cancelado")</f>
        <v>0</v>
      </c>
      <c r="AB23" s="39" t="n">
        <f aca="false">SUMIFS(Financeiro!$G$4:$G$503,Financeiro!$C$4:$C$503,$A23,Financeiro!$D$4:$D$503,"Marketing",Financeiro!$H$4:$H$503,"&lt;&gt;Cancelado")</f>
        <v>0</v>
      </c>
      <c r="AC23" s="39" t="n">
        <f aca="false">Y23-Z23-AA23-AB23</f>
        <v>0</v>
      </c>
      <c r="AD23" s="37" t="n">
        <f aca="false">IF(Config!$C$16=0,"",Y23/Config!$C$16)</f>
        <v>0</v>
      </c>
      <c r="AE23" s="37" t="n">
        <f aca="false">IF(Config!$C$17=0,"",Z23/Config!$C$17)</f>
        <v>0</v>
      </c>
      <c r="AF23" s="39" t="str">
        <f aca="false">IF(Q23=0,"",AB23/Q23)</f>
        <v/>
      </c>
    </row>
    <row r="24" customFormat="false" ht="15" hidden="false" customHeight="false" outlineLevel="0" collapsed="false">
      <c r="A24" s="17" t="s">
        <v>443</v>
      </c>
      <c r="B24" s="36" t="n">
        <f aca="false">SUMIFS(Base_Semanal!$E$4:$E$107,Base_Semanal!$D$4:$D$107,$A24)</f>
        <v>0</v>
      </c>
      <c r="C24" s="36" t="n">
        <f aca="false">SUMIFS(Base_Semanal!$F$4:$F$107,Base_Semanal!$D$4:$D$107,$A24)</f>
        <v>0</v>
      </c>
      <c r="D24" s="36" t="n">
        <f aca="false">SUMIFS(Base_Semanal!$G$4:$G$107,Base_Semanal!$D$4:$D$107,$A24)</f>
        <v>0</v>
      </c>
      <c r="E24" s="36" t="n">
        <f aca="false">SUMIFS(Base_Semanal!$H$4:$H$107,Base_Semanal!$D$4:$D$107,$A24)</f>
        <v>0</v>
      </c>
      <c r="F24" s="36" t="n">
        <f aca="false">SUMIFS(Base_Semanal!$I$4:$I$107,Base_Semanal!$D$4:$D$107,$A24)</f>
        <v>0</v>
      </c>
      <c r="G24" s="36" t="n">
        <f aca="false">E24+F24</f>
        <v>0</v>
      </c>
      <c r="H24" s="37" t="str">
        <f aca="false">IF(C24=0,"",D24/C24)</f>
        <v/>
      </c>
      <c r="I24" s="36" t="n">
        <f aca="false">SUMIFS(Base_Semanal!$J$4:$J$107,Base_Semanal!$D$4:$D$107,$A24)</f>
        <v>0</v>
      </c>
      <c r="J24" s="36" t="n">
        <f aca="false">SUMIFS(Base_Semanal!$K$4:$K$107,Base_Semanal!$D$4:$D$107,$A24)</f>
        <v>0</v>
      </c>
      <c r="K24" s="36" t="n">
        <f aca="false">I24+J24</f>
        <v>0</v>
      </c>
      <c r="L24" s="37" t="str">
        <f aca="false">IF(G24=0,"",K24/G24)</f>
        <v/>
      </c>
      <c r="M24" s="36" t="n">
        <f aca="false">SUMIFS(Base_Semanal!$L$4:$L$107,Base_Semanal!$D$4:$D$107,$A24)</f>
        <v>0</v>
      </c>
      <c r="N24" s="36" t="n">
        <f aca="false">SUMIFS(Base_Semanal!$M$4:$M$107,Base_Semanal!$D$4:$D$107,$A24)</f>
        <v>0</v>
      </c>
      <c r="O24" s="36" t="n">
        <f aca="false">M24+N24</f>
        <v>0</v>
      </c>
      <c r="P24" s="36" t="n">
        <f aca="false">SUMIFS(Base_Semanal!$N$4:$N$107,Base_Semanal!$D$4:$D$107,$A24)</f>
        <v>0</v>
      </c>
      <c r="Q24" s="36" t="n">
        <f aca="false">SUMIFS(Base_Semanal!$O$4:$O$107,Base_Semanal!$D$4:$D$107,$A24)</f>
        <v>0</v>
      </c>
      <c r="R24" s="37" t="str">
        <f aca="false">IF(SUMIFS(Base_Semanal!$P$4:$P$107,Base_Semanal!$D$4:$D$107,$A24)=0,"",SUMIFS(Base_Semanal!$Q$4:$Q$107,Base_Semanal!$D$4:$D$107,$A24)/SUMIFS(Base_Semanal!$P$4:$P$107,Base_Semanal!$D$4:$D$107,$A24))</f>
        <v/>
      </c>
      <c r="S24" s="37" t="str">
        <f aca="false">IF(SUMIFS(Base_Semanal!$R$4:$R$107,Base_Semanal!$D$4:$D$107,$A24)=0,"",SUMIFS(Base_Semanal!$S$4:$S$107,Base_Semanal!$D$4:$D$107,$A24)/SUMIFS(Base_Semanal!$R$4:$R$107,Base_Semanal!$D$4:$D$107,$A24))</f>
        <v/>
      </c>
      <c r="T24" s="37" t="str">
        <f aca="false">IF(SUMIFS(Base_Semanal!$P$4:$P$107,Base_Semanal!$D$4:$D$107,$A24)+SUMIFS(Base_Semanal!$R$4:$R$107,Base_Semanal!$D$4:$D$107,$A24)=0,"",(SUMIFS(Base_Semanal!$Q$4:$Q$107,Base_Semanal!$D$4:$D$107,$A24)+SUMIFS(Base_Semanal!$S$4:$S$107,Base_Semanal!$D$4:$D$107,$A24))/(SUMIFS(Base_Semanal!$P$4:$P$107,Base_Semanal!$D$4:$D$107,$A24)+SUMIFS(Base_Semanal!$R$4:$R$107,Base_Semanal!$D$4:$D$107,$A24)))</f>
        <v/>
      </c>
      <c r="U24" s="36" t="n">
        <f aca="false">COUNTIFS(Contratos!$C$4:$C$503,$A24,Contratos!$E$4:$E$503,"Avaliação")</f>
        <v>0</v>
      </c>
      <c r="V24" s="39" t="n">
        <f aca="false">SUMIFS(Contratos!$I$4:$I$503,Contratos!$C$4:$C$503,$A24,Contratos!$E$4:$E$503,"Avaliação")</f>
        <v>0</v>
      </c>
      <c r="W24" s="36" t="n">
        <f aca="false">COUNTIFS(Contratos!$C$4:$C$503,$A24,Contratos!$E$4:$E$503,"Protocolo")</f>
        <v>0</v>
      </c>
      <c r="X24" s="39" t="n">
        <f aca="false">SUMIFS(Contratos!$I$4:$I$503,Contratos!$C$4:$C$503,$A24,Contratos!$E$4:$E$503,"Protocolo")</f>
        <v>0</v>
      </c>
      <c r="Y24" s="39" t="n">
        <f aca="false">SUMIFS(Financeiro!$G$4:$G$503,Financeiro!$C$4:$C$503,$A24,Financeiro!$D$4:$D$503,"Receita",Financeiro!$H$4:$H$503,"&lt;&gt;Cancelado")</f>
        <v>0</v>
      </c>
      <c r="Z24" s="39" t="n">
        <f aca="false">SUMIFS(Financeiro!$G$4:$G$503,Financeiro!$C$4:$C$503,$A24,Financeiro!$D$4:$D$503,"Gasto",Financeiro!$H$4:$H$503,"&lt;&gt;Cancelado")</f>
        <v>0</v>
      </c>
      <c r="AA24" s="39" t="n">
        <f aca="false">SUMIFS(Financeiro!$G$4:$G$503,Financeiro!$C$4:$C$503,$A24,Financeiro!$D$4:$D$503,"Imposto",Financeiro!$H$4:$H$503,"&lt;&gt;Cancelado")</f>
        <v>0</v>
      </c>
      <c r="AB24" s="39" t="n">
        <f aca="false">SUMIFS(Financeiro!$G$4:$G$503,Financeiro!$C$4:$C$503,$A24,Financeiro!$D$4:$D$503,"Marketing",Financeiro!$H$4:$H$503,"&lt;&gt;Cancelado")</f>
        <v>0</v>
      </c>
      <c r="AC24" s="39" t="n">
        <f aca="false">Y24-Z24-AA24-AB24</f>
        <v>0</v>
      </c>
      <c r="AD24" s="37" t="n">
        <f aca="false">IF(Config!$C$16=0,"",Y24/Config!$C$16)</f>
        <v>0</v>
      </c>
      <c r="AE24" s="37" t="n">
        <f aca="false">IF(Config!$C$17=0,"",Z24/Config!$C$17)</f>
        <v>0</v>
      </c>
      <c r="AF24" s="39" t="str">
        <f aca="false">IF(Q24=0,"",AB24/Q24)</f>
        <v/>
      </c>
    </row>
    <row r="25" customFormat="false" ht="15" hidden="false" customHeight="false" outlineLevel="0" collapsed="false">
      <c r="A25" s="17" t="s">
        <v>448</v>
      </c>
      <c r="B25" s="36" t="n">
        <f aca="false">SUMIFS(Base_Semanal!$E$4:$E$107,Base_Semanal!$D$4:$D$107,$A25)</f>
        <v>0</v>
      </c>
      <c r="C25" s="36" t="n">
        <f aca="false">SUMIFS(Base_Semanal!$F$4:$F$107,Base_Semanal!$D$4:$D$107,$A25)</f>
        <v>0</v>
      </c>
      <c r="D25" s="36" t="n">
        <f aca="false">SUMIFS(Base_Semanal!$G$4:$G$107,Base_Semanal!$D$4:$D$107,$A25)</f>
        <v>0</v>
      </c>
      <c r="E25" s="36" t="n">
        <f aca="false">SUMIFS(Base_Semanal!$H$4:$H$107,Base_Semanal!$D$4:$D$107,$A25)</f>
        <v>0</v>
      </c>
      <c r="F25" s="36" t="n">
        <f aca="false">SUMIFS(Base_Semanal!$I$4:$I$107,Base_Semanal!$D$4:$D$107,$A25)</f>
        <v>0</v>
      </c>
      <c r="G25" s="36" t="n">
        <f aca="false">E25+F25</f>
        <v>0</v>
      </c>
      <c r="H25" s="37" t="str">
        <f aca="false">IF(C25=0,"",D25/C25)</f>
        <v/>
      </c>
      <c r="I25" s="36" t="n">
        <f aca="false">SUMIFS(Base_Semanal!$J$4:$J$107,Base_Semanal!$D$4:$D$107,$A25)</f>
        <v>0</v>
      </c>
      <c r="J25" s="36" t="n">
        <f aca="false">SUMIFS(Base_Semanal!$K$4:$K$107,Base_Semanal!$D$4:$D$107,$A25)</f>
        <v>0</v>
      </c>
      <c r="K25" s="36" t="n">
        <f aca="false">I25+J25</f>
        <v>0</v>
      </c>
      <c r="L25" s="37" t="str">
        <f aca="false">IF(G25=0,"",K25/G25)</f>
        <v/>
      </c>
      <c r="M25" s="36" t="n">
        <f aca="false">SUMIFS(Base_Semanal!$L$4:$L$107,Base_Semanal!$D$4:$D$107,$A25)</f>
        <v>0</v>
      </c>
      <c r="N25" s="36" t="n">
        <f aca="false">SUMIFS(Base_Semanal!$M$4:$M$107,Base_Semanal!$D$4:$D$107,$A25)</f>
        <v>0</v>
      </c>
      <c r="O25" s="36" t="n">
        <f aca="false">M25+N25</f>
        <v>0</v>
      </c>
      <c r="P25" s="36" t="n">
        <f aca="false">SUMIFS(Base_Semanal!$N$4:$N$107,Base_Semanal!$D$4:$D$107,$A25)</f>
        <v>0</v>
      </c>
      <c r="Q25" s="36" t="n">
        <f aca="false">SUMIFS(Base_Semanal!$O$4:$O$107,Base_Semanal!$D$4:$D$107,$A25)</f>
        <v>0</v>
      </c>
      <c r="R25" s="37" t="str">
        <f aca="false">IF(SUMIFS(Base_Semanal!$P$4:$P$107,Base_Semanal!$D$4:$D$107,$A25)=0,"",SUMIFS(Base_Semanal!$Q$4:$Q$107,Base_Semanal!$D$4:$D$107,$A25)/SUMIFS(Base_Semanal!$P$4:$P$107,Base_Semanal!$D$4:$D$107,$A25))</f>
        <v/>
      </c>
      <c r="S25" s="37" t="str">
        <f aca="false">IF(SUMIFS(Base_Semanal!$R$4:$R$107,Base_Semanal!$D$4:$D$107,$A25)=0,"",SUMIFS(Base_Semanal!$S$4:$S$107,Base_Semanal!$D$4:$D$107,$A25)/SUMIFS(Base_Semanal!$R$4:$R$107,Base_Semanal!$D$4:$D$107,$A25))</f>
        <v/>
      </c>
      <c r="T25" s="37" t="str">
        <f aca="false">IF(SUMIFS(Base_Semanal!$P$4:$P$107,Base_Semanal!$D$4:$D$107,$A25)+SUMIFS(Base_Semanal!$R$4:$R$107,Base_Semanal!$D$4:$D$107,$A25)=0,"",(SUMIFS(Base_Semanal!$Q$4:$Q$107,Base_Semanal!$D$4:$D$107,$A25)+SUMIFS(Base_Semanal!$S$4:$S$107,Base_Semanal!$D$4:$D$107,$A25))/(SUMIFS(Base_Semanal!$P$4:$P$107,Base_Semanal!$D$4:$D$107,$A25)+SUMIFS(Base_Semanal!$R$4:$R$107,Base_Semanal!$D$4:$D$107,$A25)))</f>
        <v/>
      </c>
      <c r="U25" s="36" t="n">
        <f aca="false">COUNTIFS(Contratos!$C$4:$C$503,$A25,Contratos!$E$4:$E$503,"Avaliação")</f>
        <v>0</v>
      </c>
      <c r="V25" s="39" t="n">
        <f aca="false">SUMIFS(Contratos!$I$4:$I$503,Contratos!$C$4:$C$503,$A25,Contratos!$E$4:$E$503,"Avaliação")</f>
        <v>0</v>
      </c>
      <c r="W25" s="36" t="n">
        <f aca="false">COUNTIFS(Contratos!$C$4:$C$503,$A25,Contratos!$E$4:$E$503,"Protocolo")</f>
        <v>0</v>
      </c>
      <c r="X25" s="39" t="n">
        <f aca="false">SUMIFS(Contratos!$I$4:$I$503,Contratos!$C$4:$C$503,$A25,Contratos!$E$4:$E$503,"Protocolo")</f>
        <v>0</v>
      </c>
      <c r="Y25" s="39" t="n">
        <f aca="false">SUMIFS(Financeiro!$G$4:$G$503,Financeiro!$C$4:$C$503,$A25,Financeiro!$D$4:$D$503,"Receita",Financeiro!$H$4:$H$503,"&lt;&gt;Cancelado")</f>
        <v>0</v>
      </c>
      <c r="Z25" s="39" t="n">
        <f aca="false">SUMIFS(Financeiro!$G$4:$G$503,Financeiro!$C$4:$C$503,$A25,Financeiro!$D$4:$D$503,"Gasto",Financeiro!$H$4:$H$503,"&lt;&gt;Cancelado")</f>
        <v>0</v>
      </c>
      <c r="AA25" s="39" t="n">
        <f aca="false">SUMIFS(Financeiro!$G$4:$G$503,Financeiro!$C$4:$C$503,$A25,Financeiro!$D$4:$D$503,"Imposto",Financeiro!$H$4:$H$503,"&lt;&gt;Cancelado")</f>
        <v>0</v>
      </c>
      <c r="AB25" s="39" t="n">
        <f aca="false">SUMIFS(Financeiro!$G$4:$G$503,Financeiro!$C$4:$C$503,$A25,Financeiro!$D$4:$D$503,"Marketing",Financeiro!$H$4:$H$503,"&lt;&gt;Cancelado")</f>
        <v>0</v>
      </c>
      <c r="AC25" s="39" t="n">
        <f aca="false">Y25-Z25-AA25-AB25</f>
        <v>0</v>
      </c>
      <c r="AD25" s="37" t="n">
        <f aca="false">IF(Config!$C$16=0,"",Y25/Config!$C$16)</f>
        <v>0</v>
      </c>
      <c r="AE25" s="37" t="n">
        <f aca="false">IF(Config!$C$17=0,"",Z25/Config!$C$17)</f>
        <v>0</v>
      </c>
      <c r="AF25" s="39" t="str">
        <f aca="false">IF(Q25=0,"",AB25/Q25)</f>
        <v/>
      </c>
    </row>
    <row r="26" customFormat="false" ht="15" hidden="false" customHeight="false" outlineLevel="0" collapsed="false">
      <c r="A26" s="17" t="s">
        <v>453</v>
      </c>
      <c r="B26" s="36" t="n">
        <f aca="false">SUMIFS(Base_Semanal!$E$4:$E$107,Base_Semanal!$D$4:$D$107,$A26)</f>
        <v>0</v>
      </c>
      <c r="C26" s="36" t="n">
        <f aca="false">SUMIFS(Base_Semanal!$F$4:$F$107,Base_Semanal!$D$4:$D$107,$A26)</f>
        <v>0</v>
      </c>
      <c r="D26" s="36" t="n">
        <f aca="false">SUMIFS(Base_Semanal!$G$4:$G$107,Base_Semanal!$D$4:$D$107,$A26)</f>
        <v>0</v>
      </c>
      <c r="E26" s="36" t="n">
        <f aca="false">SUMIFS(Base_Semanal!$H$4:$H$107,Base_Semanal!$D$4:$D$107,$A26)</f>
        <v>0</v>
      </c>
      <c r="F26" s="36" t="n">
        <f aca="false">SUMIFS(Base_Semanal!$I$4:$I$107,Base_Semanal!$D$4:$D$107,$A26)</f>
        <v>0</v>
      </c>
      <c r="G26" s="36" t="n">
        <f aca="false">E26+F26</f>
        <v>0</v>
      </c>
      <c r="H26" s="37" t="str">
        <f aca="false">IF(C26=0,"",D26/C26)</f>
        <v/>
      </c>
      <c r="I26" s="36" t="n">
        <f aca="false">SUMIFS(Base_Semanal!$J$4:$J$107,Base_Semanal!$D$4:$D$107,$A26)</f>
        <v>0</v>
      </c>
      <c r="J26" s="36" t="n">
        <f aca="false">SUMIFS(Base_Semanal!$K$4:$K$107,Base_Semanal!$D$4:$D$107,$A26)</f>
        <v>0</v>
      </c>
      <c r="K26" s="36" t="n">
        <f aca="false">I26+J26</f>
        <v>0</v>
      </c>
      <c r="L26" s="37" t="str">
        <f aca="false">IF(G26=0,"",K26/G26)</f>
        <v/>
      </c>
      <c r="M26" s="36" t="n">
        <f aca="false">SUMIFS(Base_Semanal!$L$4:$L$107,Base_Semanal!$D$4:$D$107,$A26)</f>
        <v>0</v>
      </c>
      <c r="N26" s="36" t="n">
        <f aca="false">SUMIFS(Base_Semanal!$M$4:$M$107,Base_Semanal!$D$4:$D$107,$A26)</f>
        <v>0</v>
      </c>
      <c r="O26" s="36" t="n">
        <f aca="false">M26+N26</f>
        <v>0</v>
      </c>
      <c r="P26" s="36" t="n">
        <f aca="false">SUMIFS(Base_Semanal!$N$4:$N$107,Base_Semanal!$D$4:$D$107,$A26)</f>
        <v>0</v>
      </c>
      <c r="Q26" s="36" t="n">
        <f aca="false">SUMIFS(Base_Semanal!$O$4:$O$107,Base_Semanal!$D$4:$D$107,$A26)</f>
        <v>0</v>
      </c>
      <c r="R26" s="37" t="str">
        <f aca="false">IF(SUMIFS(Base_Semanal!$P$4:$P$107,Base_Semanal!$D$4:$D$107,$A26)=0,"",SUMIFS(Base_Semanal!$Q$4:$Q$107,Base_Semanal!$D$4:$D$107,$A26)/SUMIFS(Base_Semanal!$P$4:$P$107,Base_Semanal!$D$4:$D$107,$A26))</f>
        <v/>
      </c>
      <c r="S26" s="37" t="str">
        <f aca="false">IF(SUMIFS(Base_Semanal!$R$4:$R$107,Base_Semanal!$D$4:$D$107,$A26)=0,"",SUMIFS(Base_Semanal!$S$4:$S$107,Base_Semanal!$D$4:$D$107,$A26)/SUMIFS(Base_Semanal!$R$4:$R$107,Base_Semanal!$D$4:$D$107,$A26))</f>
        <v/>
      </c>
      <c r="T26" s="37" t="str">
        <f aca="false">IF(SUMIFS(Base_Semanal!$P$4:$P$107,Base_Semanal!$D$4:$D$107,$A26)+SUMIFS(Base_Semanal!$R$4:$R$107,Base_Semanal!$D$4:$D$107,$A26)=0,"",(SUMIFS(Base_Semanal!$Q$4:$Q$107,Base_Semanal!$D$4:$D$107,$A26)+SUMIFS(Base_Semanal!$S$4:$S$107,Base_Semanal!$D$4:$D$107,$A26))/(SUMIFS(Base_Semanal!$P$4:$P$107,Base_Semanal!$D$4:$D$107,$A26)+SUMIFS(Base_Semanal!$R$4:$R$107,Base_Semanal!$D$4:$D$107,$A26)))</f>
        <v/>
      </c>
      <c r="U26" s="36" t="n">
        <f aca="false">COUNTIFS(Contratos!$C$4:$C$503,$A26,Contratos!$E$4:$E$503,"Avaliação")</f>
        <v>0</v>
      </c>
      <c r="V26" s="39" t="n">
        <f aca="false">SUMIFS(Contratos!$I$4:$I$503,Contratos!$C$4:$C$503,$A26,Contratos!$E$4:$E$503,"Avaliação")</f>
        <v>0</v>
      </c>
      <c r="W26" s="36" t="n">
        <f aca="false">COUNTIFS(Contratos!$C$4:$C$503,$A26,Contratos!$E$4:$E$503,"Protocolo")</f>
        <v>0</v>
      </c>
      <c r="X26" s="39" t="n">
        <f aca="false">SUMIFS(Contratos!$I$4:$I$503,Contratos!$C$4:$C$503,$A26,Contratos!$E$4:$E$503,"Protocolo")</f>
        <v>0</v>
      </c>
      <c r="Y26" s="39" t="n">
        <f aca="false">SUMIFS(Financeiro!$G$4:$G$503,Financeiro!$C$4:$C$503,$A26,Financeiro!$D$4:$D$503,"Receita",Financeiro!$H$4:$H$503,"&lt;&gt;Cancelado")</f>
        <v>0</v>
      </c>
      <c r="Z26" s="39" t="n">
        <f aca="false">SUMIFS(Financeiro!$G$4:$G$503,Financeiro!$C$4:$C$503,$A26,Financeiro!$D$4:$D$503,"Gasto",Financeiro!$H$4:$H$503,"&lt;&gt;Cancelado")</f>
        <v>0</v>
      </c>
      <c r="AA26" s="39" t="n">
        <f aca="false">SUMIFS(Financeiro!$G$4:$G$503,Financeiro!$C$4:$C$503,$A26,Financeiro!$D$4:$D$503,"Imposto",Financeiro!$H$4:$H$503,"&lt;&gt;Cancelado")</f>
        <v>0</v>
      </c>
      <c r="AB26" s="39" t="n">
        <f aca="false">SUMIFS(Financeiro!$G$4:$G$503,Financeiro!$C$4:$C$503,$A26,Financeiro!$D$4:$D$503,"Marketing",Financeiro!$H$4:$H$503,"&lt;&gt;Cancelado")</f>
        <v>0</v>
      </c>
      <c r="AC26" s="39" t="n">
        <f aca="false">Y26-Z26-AA26-AB26</f>
        <v>0</v>
      </c>
      <c r="AD26" s="37" t="n">
        <f aca="false">IF(Config!$C$16=0,"",Y26/Config!$C$16)</f>
        <v>0</v>
      </c>
      <c r="AE26" s="37" t="n">
        <f aca="false">IF(Config!$C$17=0,"",Z26/Config!$C$17)</f>
        <v>0</v>
      </c>
      <c r="AF26" s="39" t="str">
        <f aca="false">IF(Q26=0,"",AB26/Q26)</f>
        <v/>
      </c>
    </row>
    <row r="27" customFormat="false" ht="15" hidden="false" customHeight="false" outlineLevel="0" collapsed="false">
      <c r="A27" s="17" t="s">
        <v>459</v>
      </c>
      <c r="B27" s="36" t="n">
        <f aca="false">SUMIFS(Base_Semanal!$E$4:$E$107,Base_Semanal!$D$4:$D$107,$A27)</f>
        <v>0</v>
      </c>
      <c r="C27" s="36" t="n">
        <f aca="false">SUMIFS(Base_Semanal!$F$4:$F$107,Base_Semanal!$D$4:$D$107,$A27)</f>
        <v>0</v>
      </c>
      <c r="D27" s="36" t="n">
        <f aca="false">SUMIFS(Base_Semanal!$G$4:$G$107,Base_Semanal!$D$4:$D$107,$A27)</f>
        <v>0</v>
      </c>
      <c r="E27" s="36" t="n">
        <f aca="false">SUMIFS(Base_Semanal!$H$4:$H$107,Base_Semanal!$D$4:$D$107,$A27)</f>
        <v>0</v>
      </c>
      <c r="F27" s="36" t="n">
        <f aca="false">SUMIFS(Base_Semanal!$I$4:$I$107,Base_Semanal!$D$4:$D$107,$A27)</f>
        <v>0</v>
      </c>
      <c r="G27" s="36" t="n">
        <f aca="false">E27+F27</f>
        <v>0</v>
      </c>
      <c r="H27" s="37" t="str">
        <f aca="false">IF(C27=0,"",D27/C27)</f>
        <v/>
      </c>
      <c r="I27" s="36" t="n">
        <f aca="false">SUMIFS(Base_Semanal!$J$4:$J$107,Base_Semanal!$D$4:$D$107,$A27)</f>
        <v>0</v>
      </c>
      <c r="J27" s="36" t="n">
        <f aca="false">SUMIFS(Base_Semanal!$K$4:$K$107,Base_Semanal!$D$4:$D$107,$A27)</f>
        <v>0</v>
      </c>
      <c r="K27" s="36" t="n">
        <f aca="false">I27+J27</f>
        <v>0</v>
      </c>
      <c r="L27" s="37" t="str">
        <f aca="false">IF(G27=0,"",K27/G27)</f>
        <v/>
      </c>
      <c r="M27" s="36" t="n">
        <f aca="false">SUMIFS(Base_Semanal!$L$4:$L$107,Base_Semanal!$D$4:$D$107,$A27)</f>
        <v>0</v>
      </c>
      <c r="N27" s="36" t="n">
        <f aca="false">SUMIFS(Base_Semanal!$M$4:$M$107,Base_Semanal!$D$4:$D$107,$A27)</f>
        <v>0</v>
      </c>
      <c r="O27" s="36" t="n">
        <f aca="false">M27+N27</f>
        <v>0</v>
      </c>
      <c r="P27" s="36" t="n">
        <f aca="false">SUMIFS(Base_Semanal!$N$4:$N$107,Base_Semanal!$D$4:$D$107,$A27)</f>
        <v>0</v>
      </c>
      <c r="Q27" s="36" t="n">
        <f aca="false">SUMIFS(Base_Semanal!$O$4:$O$107,Base_Semanal!$D$4:$D$107,$A27)</f>
        <v>0</v>
      </c>
      <c r="R27" s="37" t="str">
        <f aca="false">IF(SUMIFS(Base_Semanal!$P$4:$P$107,Base_Semanal!$D$4:$D$107,$A27)=0,"",SUMIFS(Base_Semanal!$Q$4:$Q$107,Base_Semanal!$D$4:$D$107,$A27)/SUMIFS(Base_Semanal!$P$4:$P$107,Base_Semanal!$D$4:$D$107,$A27))</f>
        <v/>
      </c>
      <c r="S27" s="37" t="str">
        <f aca="false">IF(SUMIFS(Base_Semanal!$R$4:$R$107,Base_Semanal!$D$4:$D$107,$A27)=0,"",SUMIFS(Base_Semanal!$S$4:$S$107,Base_Semanal!$D$4:$D$107,$A27)/SUMIFS(Base_Semanal!$R$4:$R$107,Base_Semanal!$D$4:$D$107,$A27))</f>
        <v/>
      </c>
      <c r="T27" s="37" t="str">
        <f aca="false">IF(SUMIFS(Base_Semanal!$P$4:$P$107,Base_Semanal!$D$4:$D$107,$A27)+SUMIFS(Base_Semanal!$R$4:$R$107,Base_Semanal!$D$4:$D$107,$A27)=0,"",(SUMIFS(Base_Semanal!$Q$4:$Q$107,Base_Semanal!$D$4:$D$107,$A27)+SUMIFS(Base_Semanal!$S$4:$S$107,Base_Semanal!$D$4:$D$107,$A27))/(SUMIFS(Base_Semanal!$P$4:$P$107,Base_Semanal!$D$4:$D$107,$A27)+SUMIFS(Base_Semanal!$R$4:$R$107,Base_Semanal!$D$4:$D$107,$A27)))</f>
        <v/>
      </c>
      <c r="U27" s="36" t="n">
        <f aca="false">COUNTIFS(Contratos!$C$4:$C$503,$A27,Contratos!$E$4:$E$503,"Avaliação")</f>
        <v>0</v>
      </c>
      <c r="V27" s="39" t="n">
        <f aca="false">SUMIFS(Contratos!$I$4:$I$503,Contratos!$C$4:$C$503,$A27,Contratos!$E$4:$E$503,"Avaliação")</f>
        <v>0</v>
      </c>
      <c r="W27" s="36" t="n">
        <f aca="false">COUNTIFS(Contratos!$C$4:$C$503,$A27,Contratos!$E$4:$E$503,"Protocolo")</f>
        <v>0</v>
      </c>
      <c r="X27" s="39" t="n">
        <f aca="false">SUMIFS(Contratos!$I$4:$I$503,Contratos!$C$4:$C$503,$A27,Contratos!$E$4:$E$503,"Protocolo")</f>
        <v>0</v>
      </c>
      <c r="Y27" s="39" t="n">
        <f aca="false">SUMIFS(Financeiro!$G$4:$G$503,Financeiro!$C$4:$C$503,$A27,Financeiro!$D$4:$D$503,"Receita",Financeiro!$H$4:$H$503,"&lt;&gt;Cancelado")</f>
        <v>0</v>
      </c>
      <c r="Z27" s="39" t="n">
        <f aca="false">SUMIFS(Financeiro!$G$4:$G$503,Financeiro!$C$4:$C$503,$A27,Financeiro!$D$4:$D$503,"Gasto",Financeiro!$H$4:$H$503,"&lt;&gt;Cancelado")</f>
        <v>0</v>
      </c>
      <c r="AA27" s="39" t="n">
        <f aca="false">SUMIFS(Financeiro!$G$4:$G$503,Financeiro!$C$4:$C$503,$A27,Financeiro!$D$4:$D$503,"Imposto",Financeiro!$H$4:$H$503,"&lt;&gt;Cancelado")</f>
        <v>0</v>
      </c>
      <c r="AB27" s="39" t="n">
        <f aca="false">SUMIFS(Financeiro!$G$4:$G$503,Financeiro!$C$4:$C$503,$A27,Financeiro!$D$4:$D$503,"Marketing",Financeiro!$H$4:$H$503,"&lt;&gt;Cancelado")</f>
        <v>0</v>
      </c>
      <c r="AC27" s="39" t="n">
        <f aca="false">Y27-Z27-AA27-AB27</f>
        <v>0</v>
      </c>
      <c r="AD27" s="37" t="n">
        <f aca="false">IF(Config!$C$16=0,"",Y27/Config!$C$16)</f>
        <v>0</v>
      </c>
      <c r="AE27" s="37" t="n">
        <f aca="false">IF(Config!$C$17=0,"",Z27/Config!$C$17)</f>
        <v>0</v>
      </c>
      <c r="AF27" s="39" t="str">
        <f aca="false">IF(Q27=0,"",AB27/Q27)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2026-10-07T19:39:32Z</dcterms:created>
  <dc:creator>openpyxl</dc:creator>
  <dc:description/>
  <dc:language>en-US</dc:language>
  <cp:lastModifiedBy/>
  <dcterms:modified xsi:type="dcterms:W3CDTF">2026-10-07T19:39:33Z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